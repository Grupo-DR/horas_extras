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EstaPastaDeTrabalho" hidePivotFieldList="1"/>
  <xr:revisionPtr revIDLastSave="161" documentId="13_ncr:1_{EBF47F35-F694-451B-9EDE-59B48658B731}" xr6:coauthVersionLast="47" xr6:coauthVersionMax="47" xr10:uidLastSave="{EE1D6CD8-833C-42B6-8133-183B8E7D4CDF}"/>
  <bookViews>
    <workbookView xWindow="-108" yWindow="-108" windowWidth="23256" windowHeight="12456" tabRatio="883" xr2:uid="{00000000-000D-0000-FFFF-FFFF00000000}"/>
  </bookViews>
  <sheets>
    <sheet name="Catálogo SAP" sheetId="39" r:id="rId1"/>
    <sheet name="RESUMO DR" sheetId="35" state="hidden" r:id="rId2"/>
    <sheet name="Planilha1" sheetId="41" state="hidden" r:id="rId3"/>
    <sheet name="ITENS SAP" sheetId="37" state="hidden" r:id="rId4"/>
    <sheet name="REAL DR" sheetId="34" state="hidden" r:id="rId5"/>
    <sheet name="Dinamica" sheetId="45" state="hidden" r:id="rId6"/>
    <sheet name="Medição VL-041 SAVEIRO" sheetId="44" state="hidden" r:id="rId7"/>
    <sheet name="Medição VL-051 SAVEIRO" sheetId="38" state="hidden" r:id="rId8"/>
    <sheet name="ROMANEIRO DE TRANSPORTE" sheetId="40" state="hidden" r:id="rId9"/>
  </sheets>
  <externalReferences>
    <externalReference r:id="rId10"/>
  </externalReferences>
  <definedNames>
    <definedName name="_xlnm._FilterDatabase" localSheetId="0" hidden="1">'Catálogo SAP'!$A$1:$F$83</definedName>
    <definedName name="_xlnm._FilterDatabase" localSheetId="5" hidden="1">Dinamica!$V$5:$AC$5</definedName>
    <definedName name="_xlnm._FilterDatabase" localSheetId="4" hidden="1">'REAL DR'!$A$5:$Z$1004</definedName>
    <definedName name="_xlnm._FilterDatabase" localSheetId="1" hidden="1">'RESUMO DR'!$B$8:$E$41</definedName>
    <definedName name="A" localSheetId="0">#REF!</definedName>
    <definedName name="A" localSheetId="4">#REF!</definedName>
    <definedName name="A" localSheetId="1">#REF!</definedName>
    <definedName name="A">#REF!</definedName>
    <definedName name="_xlnm.Print_Area" localSheetId="0">'Catálogo SAP'!$C$1:$F$44</definedName>
    <definedName name="_xlnm.Print_Area" localSheetId="3">'ITENS SAP'!$A$1:$E$153</definedName>
    <definedName name="_xlnm.Print_Area" localSheetId="6">'Medição VL-041 SAVEIRO'!$A$1:$J$47</definedName>
    <definedName name="_xlnm.Print_Area" localSheetId="7">'Medição VL-051 SAVEIRO'!$A$1:$J$47</definedName>
    <definedName name="_xlnm.Print_Area" localSheetId="2">Planilha1!$A$1:$M$31</definedName>
    <definedName name="BMM" localSheetId="0">#REF!</definedName>
    <definedName name="BMM" localSheetId="4">#REF!</definedName>
    <definedName name="BMM" localSheetId="1">#REF!</definedName>
    <definedName name="BMM">#REF!</definedName>
    <definedName name="idhoi" localSheetId="0">#REF!</definedName>
    <definedName name="idhoi" localSheetId="4">#REF!</definedName>
    <definedName name="idhoi" localSheetId="1">#REF!</definedName>
    <definedName name="idhoi">#REF!</definedName>
    <definedName name="QQP" localSheetId="0">'Catálogo SAP'!$D$2:$F$41</definedName>
    <definedName name="QQP">#REF!</definedName>
    <definedName name="qqqq" localSheetId="0">#REF!</definedName>
    <definedName name="qqqq" localSheetId="4">#REF!</definedName>
    <definedName name="qqqq" localSheetId="1">#REF!</definedName>
    <definedName name="qqqq">#REF!</definedName>
    <definedName name="TURMA" localSheetId="0">#REF!</definedName>
    <definedName name="TURMA" localSheetId="4">#REF!</definedName>
    <definedName name="TURMA" localSheetId="1">#REF!</definedName>
    <definedName name="TURMA">#REF!</definedName>
    <definedName name="w" localSheetId="0">#REF!</definedName>
    <definedName name="w" localSheetId="4">#REF!</definedName>
    <definedName name="w" localSheetId="1">#REF!</definedName>
    <definedName name="w">#REF!</definedName>
  </definedNames>
  <calcPr calcId="191028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4" i="35" l="1"/>
  <c r="N13" i="35" l="1"/>
  <c r="P13" i="35" s="1"/>
  <c r="N14" i="35"/>
  <c r="P14" i="35" s="1"/>
  <c r="N15" i="35"/>
  <c r="P15" i="35" s="1"/>
  <c r="N16" i="35"/>
  <c r="P16" i="35" s="1"/>
  <c r="N17" i="35"/>
  <c r="P17" i="35" s="1"/>
  <c r="N18" i="35"/>
  <c r="P18" i="35" s="1"/>
  <c r="N19" i="35"/>
  <c r="P19" i="35" s="1"/>
  <c r="N20" i="35"/>
  <c r="P20" i="35" s="1"/>
  <c r="N21" i="35"/>
  <c r="P21" i="35" s="1"/>
  <c r="N22" i="35"/>
  <c r="P22" i="35" s="1"/>
  <c r="N23" i="35"/>
  <c r="P23" i="35" s="1"/>
  <c r="N24" i="35"/>
  <c r="P24" i="35" s="1"/>
  <c r="N25" i="35"/>
  <c r="P25" i="35" s="1"/>
  <c r="N26" i="35"/>
  <c r="P26" i="35" s="1"/>
  <c r="N27" i="35"/>
  <c r="P27" i="35" s="1"/>
  <c r="N12" i="35"/>
  <c r="P12" i="35" s="1"/>
  <c r="P7" i="34"/>
  <c r="P8" i="34"/>
  <c r="P9" i="34"/>
  <c r="P10" i="34"/>
  <c r="P11" i="34"/>
  <c r="P12" i="34"/>
  <c r="P13" i="34"/>
  <c r="P14" i="34"/>
  <c r="P15" i="34"/>
  <c r="P16" i="34"/>
  <c r="P17" i="34"/>
  <c r="P18" i="34"/>
  <c r="P19" i="34"/>
  <c r="P20" i="34"/>
  <c r="P21" i="34"/>
  <c r="P22" i="34"/>
  <c r="P23" i="34"/>
  <c r="P24" i="34"/>
  <c r="P25" i="34"/>
  <c r="P26" i="34"/>
  <c r="P27" i="34"/>
  <c r="P28" i="34"/>
  <c r="P29" i="34"/>
  <c r="P30" i="34"/>
  <c r="P31" i="34"/>
  <c r="P32" i="34"/>
  <c r="P33" i="34"/>
  <c r="P34" i="34"/>
  <c r="P35" i="34"/>
  <c r="P36" i="34"/>
  <c r="P37" i="34"/>
  <c r="P38" i="34"/>
  <c r="P39" i="34"/>
  <c r="P40" i="34"/>
  <c r="P41" i="34"/>
  <c r="P42" i="34"/>
  <c r="P43" i="34"/>
  <c r="P44" i="34"/>
  <c r="P45" i="34"/>
  <c r="P46" i="34"/>
  <c r="P47" i="34"/>
  <c r="P48" i="34"/>
  <c r="P49" i="34"/>
  <c r="P50" i="34"/>
  <c r="P51" i="34"/>
  <c r="P52" i="34"/>
  <c r="P53" i="34"/>
  <c r="P54" i="34"/>
  <c r="P55" i="34"/>
  <c r="P56" i="34"/>
  <c r="P57" i="34"/>
  <c r="P58" i="34"/>
  <c r="P59" i="34"/>
  <c r="P60" i="34"/>
  <c r="P61" i="34"/>
  <c r="P62" i="34"/>
  <c r="P63" i="34"/>
  <c r="P64" i="34"/>
  <c r="P65" i="34"/>
  <c r="P66" i="34"/>
  <c r="P67" i="34"/>
  <c r="P68" i="34"/>
  <c r="P69" i="34"/>
  <c r="P70" i="34"/>
  <c r="P71" i="34"/>
  <c r="P72" i="34"/>
  <c r="P73" i="34"/>
  <c r="P74" i="34"/>
  <c r="P75" i="34"/>
  <c r="P76" i="34"/>
  <c r="P77" i="34"/>
  <c r="P78" i="34"/>
  <c r="P79" i="34"/>
  <c r="P80" i="34"/>
  <c r="P81" i="34"/>
  <c r="P82" i="34"/>
  <c r="P83" i="34"/>
  <c r="P84" i="34"/>
  <c r="P85" i="34"/>
  <c r="P86" i="34"/>
  <c r="P87" i="34"/>
  <c r="P88" i="34"/>
  <c r="P89" i="34"/>
  <c r="P90" i="34"/>
  <c r="P91" i="34"/>
  <c r="P92" i="34"/>
  <c r="P93" i="34"/>
  <c r="P94" i="34"/>
  <c r="P95" i="34"/>
  <c r="P96" i="34"/>
  <c r="P97" i="34"/>
  <c r="P98" i="34"/>
  <c r="P99" i="34"/>
  <c r="P100" i="34"/>
  <c r="P101" i="34"/>
  <c r="P102" i="34"/>
  <c r="P103" i="34"/>
  <c r="P104" i="34"/>
  <c r="P105" i="34"/>
  <c r="P106" i="34"/>
  <c r="P107" i="34"/>
  <c r="P108" i="34"/>
  <c r="P109" i="34"/>
  <c r="P110" i="34"/>
  <c r="P111" i="34"/>
  <c r="P112" i="34"/>
  <c r="P113" i="34"/>
  <c r="P114" i="34"/>
  <c r="P115" i="34"/>
  <c r="P116" i="34"/>
  <c r="P117" i="34"/>
  <c r="P118" i="34"/>
  <c r="P119" i="34"/>
  <c r="P120" i="34"/>
  <c r="P121" i="34"/>
  <c r="P122" i="34"/>
  <c r="P123" i="34"/>
  <c r="P124" i="34"/>
  <c r="P125" i="34"/>
  <c r="P126" i="34"/>
  <c r="P127" i="34"/>
  <c r="P128" i="34"/>
  <c r="P129" i="34"/>
  <c r="P130" i="34"/>
  <c r="P131" i="34"/>
  <c r="P132" i="34"/>
  <c r="P133" i="34"/>
  <c r="P134" i="34"/>
  <c r="P135" i="34"/>
  <c r="P136" i="34"/>
  <c r="P137" i="34"/>
  <c r="P138" i="34"/>
  <c r="P139" i="34"/>
  <c r="P140" i="34"/>
  <c r="P141" i="34"/>
  <c r="P142" i="34"/>
  <c r="P143" i="34"/>
  <c r="P144" i="34"/>
  <c r="P145" i="34"/>
  <c r="P146" i="34"/>
  <c r="P147" i="34"/>
  <c r="P148" i="34"/>
  <c r="P149" i="34"/>
  <c r="P150" i="34"/>
  <c r="P151" i="34"/>
  <c r="P152" i="34"/>
  <c r="P153" i="34"/>
  <c r="P154" i="34"/>
  <c r="P155" i="34"/>
  <c r="P156" i="34"/>
  <c r="P157" i="34"/>
  <c r="P158" i="34"/>
  <c r="P159" i="34"/>
  <c r="P160" i="34"/>
  <c r="P161" i="34"/>
  <c r="P162" i="34"/>
  <c r="P163" i="34"/>
  <c r="P164" i="34"/>
  <c r="P165" i="34"/>
  <c r="P166" i="34"/>
  <c r="P167" i="34"/>
  <c r="P168" i="34"/>
  <c r="P169" i="34"/>
  <c r="P170" i="34"/>
  <c r="P171" i="34"/>
  <c r="P172" i="34"/>
  <c r="P173" i="34"/>
  <c r="P174" i="34"/>
  <c r="P175" i="34"/>
  <c r="P176" i="34"/>
  <c r="P177" i="34"/>
  <c r="P178" i="34"/>
  <c r="P179" i="34"/>
  <c r="P180" i="34"/>
  <c r="P181" i="34"/>
  <c r="P182" i="34"/>
  <c r="P183" i="34"/>
  <c r="P184" i="34"/>
  <c r="P185" i="34"/>
  <c r="P186" i="34"/>
  <c r="P187" i="34"/>
  <c r="P188" i="34"/>
  <c r="P189" i="34"/>
  <c r="P190" i="34"/>
  <c r="P191" i="34"/>
  <c r="P192" i="34"/>
  <c r="P193" i="34"/>
  <c r="P194" i="34"/>
  <c r="P195" i="34"/>
  <c r="P196" i="34"/>
  <c r="P197" i="34"/>
  <c r="P198" i="34"/>
  <c r="P199" i="34"/>
  <c r="P200" i="34"/>
  <c r="P201" i="34"/>
  <c r="P202" i="34"/>
  <c r="P203" i="34"/>
  <c r="P204" i="34"/>
  <c r="P205" i="34"/>
  <c r="P206" i="34"/>
  <c r="P207" i="34"/>
  <c r="P208" i="34"/>
  <c r="P209" i="34"/>
  <c r="P210" i="34"/>
  <c r="P211" i="34"/>
  <c r="P212" i="34"/>
  <c r="P213" i="34"/>
  <c r="P214" i="34"/>
  <c r="P215" i="34"/>
  <c r="P216" i="34"/>
  <c r="P217" i="34"/>
  <c r="P218" i="34"/>
  <c r="P219" i="34"/>
  <c r="P220" i="34"/>
  <c r="P221" i="34"/>
  <c r="P222" i="34"/>
  <c r="P223" i="34"/>
  <c r="P224" i="34"/>
  <c r="P225" i="34"/>
  <c r="P226" i="34"/>
  <c r="P227" i="34"/>
  <c r="P228" i="34"/>
  <c r="P229" i="34"/>
  <c r="P230" i="34"/>
  <c r="P231" i="34"/>
  <c r="P232" i="34"/>
  <c r="P233" i="34"/>
  <c r="P234" i="34"/>
  <c r="P235" i="34"/>
  <c r="P236" i="34"/>
  <c r="P237" i="34"/>
  <c r="P238" i="34"/>
  <c r="P239" i="34"/>
  <c r="P240" i="34"/>
  <c r="P241" i="34"/>
  <c r="P242" i="34"/>
  <c r="P243" i="34"/>
  <c r="P244" i="34"/>
  <c r="P245" i="34"/>
  <c r="P246" i="34"/>
  <c r="P247" i="34"/>
  <c r="P248" i="34"/>
  <c r="P249" i="34"/>
  <c r="P250" i="34"/>
  <c r="P251" i="34"/>
  <c r="P252" i="34"/>
  <c r="P253" i="34"/>
  <c r="P254" i="34"/>
  <c r="P255" i="34"/>
  <c r="P256" i="34"/>
  <c r="P257" i="34"/>
  <c r="P258" i="34"/>
  <c r="P259" i="34"/>
  <c r="P260" i="34"/>
  <c r="P261" i="34"/>
  <c r="P262" i="34"/>
  <c r="P263" i="34"/>
  <c r="P264" i="34"/>
  <c r="P265" i="34"/>
  <c r="P266" i="34"/>
  <c r="P267" i="34"/>
  <c r="P268" i="34"/>
  <c r="P269" i="34"/>
  <c r="P270" i="34"/>
  <c r="P271" i="34"/>
  <c r="P272" i="34"/>
  <c r="P273" i="34"/>
  <c r="P274" i="34"/>
  <c r="P275" i="34"/>
  <c r="P276" i="34"/>
  <c r="P277" i="34"/>
  <c r="P278" i="34"/>
  <c r="P279" i="34"/>
  <c r="P280" i="34"/>
  <c r="P281" i="34"/>
  <c r="P282" i="34"/>
  <c r="P283" i="34"/>
  <c r="P284" i="34"/>
  <c r="P285" i="34"/>
  <c r="P286" i="34"/>
  <c r="P287" i="34"/>
  <c r="P288" i="34"/>
  <c r="P289" i="34"/>
  <c r="P290" i="34"/>
  <c r="P291" i="34"/>
  <c r="P292" i="34"/>
  <c r="P293" i="34"/>
  <c r="P294" i="34"/>
  <c r="P295" i="34"/>
  <c r="P296" i="34"/>
  <c r="P297" i="34"/>
  <c r="P298" i="34"/>
  <c r="P299" i="34"/>
  <c r="P300" i="34"/>
  <c r="P301" i="34"/>
  <c r="P302" i="34"/>
  <c r="P303" i="34"/>
  <c r="P304" i="34"/>
  <c r="P305" i="34"/>
  <c r="P306" i="34"/>
  <c r="P307" i="34"/>
  <c r="P308" i="34"/>
  <c r="P309" i="34"/>
  <c r="P310" i="34"/>
  <c r="P311" i="34"/>
  <c r="P312" i="34"/>
  <c r="P313" i="34"/>
  <c r="P314" i="34"/>
  <c r="P315" i="34"/>
  <c r="P316" i="34"/>
  <c r="P317" i="34"/>
  <c r="P318" i="34"/>
  <c r="P319" i="34"/>
  <c r="P320" i="34"/>
  <c r="P321" i="34"/>
  <c r="P322" i="34"/>
  <c r="P323" i="34"/>
  <c r="P324" i="34"/>
  <c r="P325" i="34"/>
  <c r="P326" i="34"/>
  <c r="P327" i="34"/>
  <c r="P328" i="34"/>
  <c r="P329" i="34"/>
  <c r="P330" i="34"/>
  <c r="P331" i="34"/>
  <c r="P332" i="34"/>
  <c r="P333" i="34"/>
  <c r="P334" i="34"/>
  <c r="P335" i="34"/>
  <c r="P336" i="34"/>
  <c r="P337" i="34"/>
  <c r="P338" i="34"/>
  <c r="P339" i="34"/>
  <c r="P340" i="34"/>
  <c r="P341" i="34"/>
  <c r="P342" i="34"/>
  <c r="P343" i="34"/>
  <c r="P344" i="34"/>
  <c r="P345" i="34"/>
  <c r="P346" i="34"/>
  <c r="P347" i="34"/>
  <c r="P348" i="34"/>
  <c r="P349" i="34"/>
  <c r="P350" i="34"/>
  <c r="P351" i="34"/>
  <c r="P352" i="34"/>
  <c r="P353" i="34"/>
  <c r="P354" i="34"/>
  <c r="P355" i="34"/>
  <c r="P356" i="34"/>
  <c r="P357" i="34"/>
  <c r="P358" i="34"/>
  <c r="P359" i="34"/>
  <c r="P360" i="34"/>
  <c r="P361" i="34"/>
  <c r="P362" i="34"/>
  <c r="P363" i="34"/>
  <c r="P364" i="34"/>
  <c r="P365" i="34"/>
  <c r="P366" i="34"/>
  <c r="P367" i="34"/>
  <c r="P368" i="34"/>
  <c r="P369" i="34"/>
  <c r="P370" i="34"/>
  <c r="P371" i="34"/>
  <c r="P372" i="34"/>
  <c r="P373" i="34"/>
  <c r="P374" i="34"/>
  <c r="P375" i="34"/>
  <c r="P376" i="34"/>
  <c r="P377" i="34"/>
  <c r="P378" i="34"/>
  <c r="P379" i="34"/>
  <c r="P380" i="34"/>
  <c r="P381" i="34"/>
  <c r="P382" i="34"/>
  <c r="P383" i="34"/>
  <c r="P384" i="34"/>
  <c r="P385" i="34"/>
  <c r="P386" i="34"/>
  <c r="P387" i="34"/>
  <c r="P388" i="34"/>
  <c r="P389" i="34"/>
  <c r="P390" i="34"/>
  <c r="P391" i="34"/>
  <c r="P392" i="34"/>
  <c r="P393" i="34"/>
  <c r="P394" i="34"/>
  <c r="P395" i="34"/>
  <c r="P396" i="34"/>
  <c r="P397" i="34"/>
  <c r="P398" i="34"/>
  <c r="P399" i="34"/>
  <c r="P400" i="34"/>
  <c r="P401" i="34"/>
  <c r="P402" i="34"/>
  <c r="P403" i="34"/>
  <c r="P404" i="34"/>
  <c r="P405" i="34"/>
  <c r="P406" i="34"/>
  <c r="P407" i="34"/>
  <c r="P408" i="34"/>
  <c r="P409" i="34"/>
  <c r="P410" i="34"/>
  <c r="P411" i="34"/>
  <c r="P412" i="34"/>
  <c r="P413" i="34"/>
  <c r="P414" i="34"/>
  <c r="P415" i="34"/>
  <c r="P416" i="34"/>
  <c r="P417" i="34"/>
  <c r="P418" i="34"/>
  <c r="P419" i="34"/>
  <c r="P420" i="34"/>
  <c r="P421" i="34"/>
  <c r="P422" i="34"/>
  <c r="P423" i="34"/>
  <c r="P424" i="34"/>
  <c r="P425" i="34"/>
  <c r="P426" i="34"/>
  <c r="P427" i="34"/>
  <c r="P428" i="34"/>
  <c r="P429" i="34"/>
  <c r="P430" i="34"/>
  <c r="P431" i="34"/>
  <c r="P432" i="34"/>
  <c r="P433" i="34"/>
  <c r="P434" i="34"/>
  <c r="P435" i="34"/>
  <c r="P436" i="34"/>
  <c r="P437" i="34"/>
  <c r="P438" i="34"/>
  <c r="P439" i="34"/>
  <c r="P440" i="34"/>
  <c r="P441" i="34"/>
  <c r="P442" i="34"/>
  <c r="P443" i="34"/>
  <c r="P444" i="34"/>
  <c r="P445" i="34"/>
  <c r="P446" i="34"/>
  <c r="P447" i="34"/>
  <c r="P448" i="34"/>
  <c r="P449" i="34"/>
  <c r="P450" i="34"/>
  <c r="P451" i="34"/>
  <c r="P452" i="34"/>
  <c r="P453" i="34"/>
  <c r="P454" i="34"/>
  <c r="P455" i="34"/>
  <c r="P456" i="34"/>
  <c r="P457" i="34"/>
  <c r="P458" i="34"/>
  <c r="P459" i="34"/>
  <c r="P460" i="34"/>
  <c r="P461" i="34"/>
  <c r="P462" i="34"/>
  <c r="P463" i="34"/>
  <c r="P464" i="34"/>
  <c r="P465" i="34"/>
  <c r="P466" i="34"/>
  <c r="P467" i="34"/>
  <c r="P468" i="34"/>
  <c r="P469" i="34"/>
  <c r="P470" i="34"/>
  <c r="P471" i="34"/>
  <c r="P472" i="34"/>
  <c r="P473" i="34"/>
  <c r="P474" i="34"/>
  <c r="P475" i="34"/>
  <c r="P476" i="34"/>
  <c r="P477" i="34"/>
  <c r="P478" i="34"/>
  <c r="P479" i="34"/>
  <c r="P480" i="34"/>
  <c r="P481" i="34"/>
  <c r="P482" i="34"/>
  <c r="P483" i="34"/>
  <c r="P484" i="34"/>
  <c r="P485" i="34"/>
  <c r="P486" i="34"/>
  <c r="P487" i="34"/>
  <c r="P488" i="34"/>
  <c r="P489" i="34"/>
  <c r="P490" i="34"/>
  <c r="P491" i="34"/>
  <c r="P492" i="34"/>
  <c r="P493" i="34"/>
  <c r="P494" i="34"/>
  <c r="P495" i="34"/>
  <c r="P496" i="34"/>
  <c r="P497" i="34"/>
  <c r="P498" i="34"/>
  <c r="P499" i="34"/>
  <c r="P500" i="34"/>
  <c r="P501" i="34"/>
  <c r="P502" i="34"/>
  <c r="P503" i="34"/>
  <c r="P504" i="34"/>
  <c r="P505" i="34"/>
  <c r="P506" i="34"/>
  <c r="P507" i="34"/>
  <c r="P508" i="34"/>
  <c r="P509" i="34"/>
  <c r="P510" i="34"/>
  <c r="P511" i="34"/>
  <c r="P512" i="34"/>
  <c r="P513" i="34"/>
  <c r="P514" i="34"/>
  <c r="P515" i="34"/>
  <c r="P516" i="34"/>
  <c r="P517" i="34"/>
  <c r="P518" i="34"/>
  <c r="P519" i="34"/>
  <c r="P520" i="34"/>
  <c r="P521" i="34"/>
  <c r="P522" i="34"/>
  <c r="P523" i="34"/>
  <c r="P524" i="34"/>
  <c r="P525" i="34"/>
  <c r="P526" i="34"/>
  <c r="P527" i="34"/>
  <c r="P528" i="34"/>
  <c r="P529" i="34"/>
  <c r="P530" i="34"/>
  <c r="P531" i="34"/>
  <c r="P532" i="34"/>
  <c r="P533" i="34"/>
  <c r="P534" i="34"/>
  <c r="P535" i="34"/>
  <c r="P536" i="34"/>
  <c r="P537" i="34"/>
  <c r="P538" i="34"/>
  <c r="P539" i="34"/>
  <c r="P540" i="34"/>
  <c r="P541" i="34"/>
  <c r="P542" i="34"/>
  <c r="P543" i="34"/>
  <c r="P544" i="34"/>
  <c r="P545" i="34"/>
  <c r="P546" i="34"/>
  <c r="P547" i="34"/>
  <c r="P548" i="34"/>
  <c r="P549" i="34"/>
  <c r="P550" i="34"/>
  <c r="P551" i="34"/>
  <c r="P552" i="34"/>
  <c r="P553" i="34"/>
  <c r="P554" i="34"/>
  <c r="P555" i="34"/>
  <c r="P556" i="34"/>
  <c r="P557" i="34"/>
  <c r="P558" i="34"/>
  <c r="P559" i="34"/>
  <c r="P560" i="34"/>
  <c r="P561" i="34"/>
  <c r="P562" i="34"/>
  <c r="P563" i="34"/>
  <c r="P564" i="34"/>
  <c r="P565" i="34"/>
  <c r="P566" i="34"/>
  <c r="P567" i="34"/>
  <c r="P568" i="34"/>
  <c r="P569" i="34"/>
  <c r="P570" i="34"/>
  <c r="P571" i="34"/>
  <c r="P572" i="34"/>
  <c r="P573" i="34"/>
  <c r="P574" i="34"/>
  <c r="P575" i="34"/>
  <c r="P576" i="34"/>
  <c r="P577" i="34"/>
  <c r="P578" i="34"/>
  <c r="P579" i="34"/>
  <c r="P580" i="34"/>
  <c r="P581" i="34"/>
  <c r="P582" i="34"/>
  <c r="P583" i="34"/>
  <c r="P584" i="34"/>
  <c r="P585" i="34"/>
  <c r="P586" i="34"/>
  <c r="P587" i="34"/>
  <c r="P588" i="34"/>
  <c r="P589" i="34"/>
  <c r="P590" i="34"/>
  <c r="P591" i="34"/>
  <c r="P592" i="34"/>
  <c r="P593" i="34"/>
  <c r="P594" i="34"/>
  <c r="P595" i="34"/>
  <c r="P596" i="34"/>
  <c r="P597" i="34"/>
  <c r="P598" i="34"/>
  <c r="P599" i="34"/>
  <c r="P600" i="34"/>
  <c r="P601" i="34"/>
  <c r="P602" i="34"/>
  <c r="P603" i="34"/>
  <c r="P604" i="34"/>
  <c r="P605" i="34"/>
  <c r="P606" i="34"/>
  <c r="P607" i="34"/>
  <c r="P608" i="34"/>
  <c r="P609" i="34"/>
  <c r="P610" i="34"/>
  <c r="P611" i="34"/>
  <c r="P612" i="34"/>
  <c r="P613" i="34"/>
  <c r="P614" i="34"/>
  <c r="P615" i="34"/>
  <c r="P616" i="34"/>
  <c r="P617" i="34"/>
  <c r="P618" i="34"/>
  <c r="P619" i="34"/>
  <c r="P620" i="34"/>
  <c r="P621" i="34"/>
  <c r="P622" i="34"/>
  <c r="P623" i="34"/>
  <c r="P624" i="34"/>
  <c r="P625" i="34"/>
  <c r="P626" i="34"/>
  <c r="P627" i="34"/>
  <c r="P628" i="34"/>
  <c r="P629" i="34"/>
  <c r="P630" i="34"/>
  <c r="P631" i="34"/>
  <c r="P632" i="34"/>
  <c r="P633" i="34"/>
  <c r="P634" i="34"/>
  <c r="P635" i="34"/>
  <c r="P636" i="34"/>
  <c r="P637" i="34"/>
  <c r="P638" i="34"/>
  <c r="P639" i="34"/>
  <c r="P640" i="34"/>
  <c r="P641" i="34"/>
  <c r="P642" i="34"/>
  <c r="P643" i="34"/>
  <c r="P644" i="34"/>
  <c r="P645" i="34"/>
  <c r="P646" i="34"/>
  <c r="P647" i="34"/>
  <c r="P648" i="34"/>
  <c r="P649" i="34"/>
  <c r="P650" i="34"/>
  <c r="P651" i="34"/>
  <c r="P652" i="34"/>
  <c r="P653" i="34"/>
  <c r="P654" i="34"/>
  <c r="P655" i="34"/>
  <c r="P656" i="34"/>
  <c r="P657" i="34"/>
  <c r="P658" i="34"/>
  <c r="P659" i="34"/>
  <c r="P660" i="34"/>
  <c r="P661" i="34"/>
  <c r="P662" i="34"/>
  <c r="P663" i="34"/>
  <c r="P664" i="34"/>
  <c r="P665" i="34"/>
  <c r="P666" i="34"/>
  <c r="P667" i="34"/>
  <c r="P668" i="34"/>
  <c r="P669" i="34"/>
  <c r="P670" i="34"/>
  <c r="P671" i="34"/>
  <c r="P672" i="34"/>
  <c r="P673" i="34"/>
  <c r="P674" i="34"/>
  <c r="P675" i="34"/>
  <c r="P676" i="34"/>
  <c r="P677" i="34"/>
  <c r="P678" i="34"/>
  <c r="P679" i="34"/>
  <c r="P680" i="34"/>
  <c r="P681" i="34"/>
  <c r="P682" i="34"/>
  <c r="P683" i="34"/>
  <c r="P684" i="34"/>
  <c r="P685" i="34"/>
  <c r="P686" i="34"/>
  <c r="P687" i="34"/>
  <c r="P688" i="34"/>
  <c r="P689" i="34"/>
  <c r="P690" i="34"/>
  <c r="P691" i="34"/>
  <c r="P692" i="34"/>
  <c r="P693" i="34"/>
  <c r="P694" i="34"/>
  <c r="P695" i="34"/>
  <c r="P696" i="34"/>
  <c r="P697" i="34"/>
  <c r="P698" i="34"/>
  <c r="P699" i="34"/>
  <c r="P700" i="34"/>
  <c r="P701" i="34"/>
  <c r="P702" i="34"/>
  <c r="P703" i="34"/>
  <c r="P704" i="34"/>
  <c r="P705" i="34"/>
  <c r="P706" i="34"/>
  <c r="P707" i="34"/>
  <c r="P708" i="34"/>
  <c r="P709" i="34"/>
  <c r="P710" i="34"/>
  <c r="P711" i="34"/>
  <c r="P712" i="34"/>
  <c r="P713" i="34"/>
  <c r="P714" i="34"/>
  <c r="P715" i="34"/>
  <c r="P716" i="34"/>
  <c r="P717" i="34"/>
  <c r="P718" i="34"/>
  <c r="P719" i="34"/>
  <c r="P720" i="34"/>
  <c r="P721" i="34"/>
  <c r="P722" i="34"/>
  <c r="P723" i="34"/>
  <c r="P724" i="34"/>
  <c r="P725" i="34"/>
  <c r="P726" i="34"/>
  <c r="P727" i="34"/>
  <c r="P728" i="34"/>
  <c r="P729" i="34"/>
  <c r="P730" i="34"/>
  <c r="P731" i="34"/>
  <c r="P732" i="34"/>
  <c r="P733" i="34"/>
  <c r="P734" i="34"/>
  <c r="P735" i="34"/>
  <c r="P736" i="34"/>
  <c r="P737" i="34"/>
  <c r="P738" i="34"/>
  <c r="P739" i="34"/>
  <c r="P740" i="34"/>
  <c r="P741" i="34"/>
  <c r="P742" i="34"/>
  <c r="P743" i="34"/>
  <c r="P744" i="34"/>
  <c r="P745" i="34"/>
  <c r="P746" i="34"/>
  <c r="P747" i="34"/>
  <c r="P748" i="34"/>
  <c r="P749" i="34"/>
  <c r="P750" i="34"/>
  <c r="P751" i="34"/>
  <c r="P752" i="34"/>
  <c r="P753" i="34"/>
  <c r="P754" i="34"/>
  <c r="P755" i="34"/>
  <c r="P756" i="34"/>
  <c r="P757" i="34"/>
  <c r="P758" i="34"/>
  <c r="P759" i="34"/>
  <c r="P760" i="34"/>
  <c r="P761" i="34"/>
  <c r="P762" i="34"/>
  <c r="P763" i="34"/>
  <c r="P764" i="34"/>
  <c r="P765" i="34"/>
  <c r="P766" i="34"/>
  <c r="P767" i="34"/>
  <c r="P768" i="34"/>
  <c r="P769" i="34"/>
  <c r="P770" i="34"/>
  <c r="P771" i="34"/>
  <c r="P772" i="34"/>
  <c r="P773" i="34"/>
  <c r="P774" i="34"/>
  <c r="P775" i="34"/>
  <c r="P776" i="34"/>
  <c r="P777" i="34"/>
  <c r="P778" i="34"/>
  <c r="P779" i="34"/>
  <c r="P780" i="34"/>
  <c r="P781" i="34"/>
  <c r="P782" i="34"/>
  <c r="P783" i="34"/>
  <c r="P784" i="34"/>
  <c r="P785" i="34"/>
  <c r="P786" i="34"/>
  <c r="P787" i="34"/>
  <c r="P788" i="34"/>
  <c r="P789" i="34"/>
  <c r="P790" i="34"/>
  <c r="P791" i="34"/>
  <c r="P792" i="34"/>
  <c r="P793" i="34"/>
  <c r="P794" i="34"/>
  <c r="P795" i="34"/>
  <c r="P796" i="34"/>
  <c r="P797" i="34"/>
  <c r="P798" i="34"/>
  <c r="P799" i="34"/>
  <c r="P800" i="34"/>
  <c r="P801" i="34"/>
  <c r="P802" i="34"/>
  <c r="P803" i="34"/>
  <c r="P804" i="34"/>
  <c r="P805" i="34"/>
  <c r="P806" i="34"/>
  <c r="P807" i="34"/>
  <c r="P808" i="34"/>
  <c r="P809" i="34"/>
  <c r="P810" i="34"/>
  <c r="P811" i="34"/>
  <c r="P812" i="34"/>
  <c r="P813" i="34"/>
  <c r="P814" i="34"/>
  <c r="P815" i="34"/>
  <c r="P816" i="34"/>
  <c r="P817" i="34"/>
  <c r="P818" i="34"/>
  <c r="P819" i="34"/>
  <c r="P820" i="34"/>
  <c r="P821" i="34"/>
  <c r="P822" i="34"/>
  <c r="P823" i="34"/>
  <c r="P824" i="34"/>
  <c r="P825" i="34"/>
  <c r="P826" i="34"/>
  <c r="P827" i="34"/>
  <c r="P828" i="34"/>
  <c r="P829" i="34"/>
  <c r="P830" i="34"/>
  <c r="P831" i="34"/>
  <c r="P832" i="34"/>
  <c r="P833" i="34"/>
  <c r="P834" i="34"/>
  <c r="P835" i="34"/>
  <c r="P836" i="34"/>
  <c r="P837" i="34"/>
  <c r="P838" i="34"/>
  <c r="P839" i="34"/>
  <c r="P840" i="34"/>
  <c r="P841" i="34"/>
  <c r="P842" i="34"/>
  <c r="P843" i="34"/>
  <c r="P844" i="34"/>
  <c r="P845" i="34"/>
  <c r="P846" i="34"/>
  <c r="P847" i="34"/>
  <c r="P848" i="34"/>
  <c r="P849" i="34"/>
  <c r="P850" i="34"/>
  <c r="P851" i="34"/>
  <c r="P852" i="34"/>
  <c r="P853" i="34"/>
  <c r="P854" i="34"/>
  <c r="P855" i="34"/>
  <c r="P856" i="34"/>
  <c r="P857" i="34"/>
  <c r="P858" i="34"/>
  <c r="P859" i="34"/>
  <c r="P860" i="34"/>
  <c r="P861" i="34"/>
  <c r="P862" i="34"/>
  <c r="P863" i="34"/>
  <c r="P864" i="34"/>
  <c r="P865" i="34"/>
  <c r="P866" i="34"/>
  <c r="P867" i="34"/>
  <c r="P868" i="34"/>
  <c r="P869" i="34"/>
  <c r="P870" i="34"/>
  <c r="P871" i="34"/>
  <c r="P872" i="34"/>
  <c r="P873" i="34"/>
  <c r="P874" i="34"/>
  <c r="P875" i="34"/>
  <c r="P876" i="34"/>
  <c r="P877" i="34"/>
  <c r="P878" i="34"/>
  <c r="P879" i="34"/>
  <c r="P880" i="34"/>
  <c r="P881" i="34"/>
  <c r="P882" i="34"/>
  <c r="P883" i="34"/>
  <c r="P884" i="34"/>
  <c r="P885" i="34"/>
  <c r="P886" i="34"/>
  <c r="P887" i="34"/>
  <c r="P888" i="34"/>
  <c r="P889" i="34"/>
  <c r="P890" i="34"/>
  <c r="P891" i="34"/>
  <c r="P892" i="34"/>
  <c r="P893" i="34"/>
  <c r="P894" i="34"/>
  <c r="P895" i="34"/>
  <c r="P896" i="34"/>
  <c r="P897" i="34"/>
  <c r="P898" i="34"/>
  <c r="P899" i="34"/>
  <c r="P900" i="34"/>
  <c r="P901" i="34"/>
  <c r="P902" i="34"/>
  <c r="P903" i="34"/>
  <c r="P904" i="34"/>
  <c r="P905" i="34"/>
  <c r="P906" i="34"/>
  <c r="P907" i="34"/>
  <c r="P908" i="34"/>
  <c r="P909" i="34"/>
  <c r="P910" i="34"/>
  <c r="P911" i="34"/>
  <c r="P912" i="34"/>
  <c r="P913" i="34"/>
  <c r="P914" i="34"/>
  <c r="P915" i="34"/>
  <c r="P916" i="34"/>
  <c r="P917" i="34"/>
  <c r="P918" i="34"/>
  <c r="P919" i="34"/>
  <c r="P920" i="34"/>
  <c r="P921" i="34"/>
  <c r="P922" i="34"/>
  <c r="P923" i="34"/>
  <c r="P924" i="34"/>
  <c r="P925" i="34"/>
  <c r="P926" i="34"/>
  <c r="P927" i="34"/>
  <c r="P928" i="34"/>
  <c r="P929" i="34"/>
  <c r="P930" i="34"/>
  <c r="P931" i="34"/>
  <c r="P932" i="34"/>
  <c r="P933" i="34"/>
  <c r="P934" i="34"/>
  <c r="P935" i="34"/>
  <c r="P936" i="34"/>
  <c r="P937" i="34"/>
  <c r="P938" i="34"/>
  <c r="P939" i="34"/>
  <c r="P940" i="34"/>
  <c r="P941" i="34"/>
  <c r="P942" i="34"/>
  <c r="P943" i="34"/>
  <c r="P944" i="34"/>
  <c r="P945" i="34"/>
  <c r="P946" i="34"/>
  <c r="P947" i="34"/>
  <c r="P948" i="34"/>
  <c r="P949" i="34"/>
  <c r="P950" i="34"/>
  <c r="P951" i="34"/>
  <c r="P952" i="34"/>
  <c r="P953" i="34"/>
  <c r="P954" i="34"/>
  <c r="P955" i="34"/>
  <c r="P956" i="34"/>
  <c r="P957" i="34"/>
  <c r="P958" i="34"/>
  <c r="P959" i="34"/>
  <c r="P960" i="34"/>
  <c r="P961" i="34"/>
  <c r="P962" i="34"/>
  <c r="P963" i="34"/>
  <c r="P964" i="34"/>
  <c r="P965" i="34"/>
  <c r="P966" i="34"/>
  <c r="P967" i="34"/>
  <c r="P968" i="34"/>
  <c r="P969" i="34"/>
  <c r="P970" i="34"/>
  <c r="P971" i="34"/>
  <c r="P972" i="34"/>
  <c r="P973" i="34"/>
  <c r="P974" i="34"/>
  <c r="P975" i="34"/>
  <c r="P976" i="34"/>
  <c r="P977" i="34"/>
  <c r="P978" i="34"/>
  <c r="P979" i="34"/>
  <c r="P980" i="34"/>
  <c r="P981" i="34"/>
  <c r="P982" i="34"/>
  <c r="P983" i="34"/>
  <c r="P984" i="34"/>
  <c r="P985" i="34"/>
  <c r="P986" i="34"/>
  <c r="P987" i="34"/>
  <c r="P988" i="34"/>
  <c r="P989" i="34"/>
  <c r="P990" i="34"/>
  <c r="P991" i="34"/>
  <c r="P992" i="34"/>
  <c r="P993" i="34"/>
  <c r="P994" i="34"/>
  <c r="P995" i="34"/>
  <c r="P996" i="34"/>
  <c r="P997" i="34"/>
  <c r="P998" i="34"/>
  <c r="P999" i="34"/>
  <c r="P1000" i="34"/>
  <c r="P1001" i="34"/>
  <c r="P1002" i="34"/>
  <c r="P1003" i="34"/>
  <c r="P1004" i="34"/>
  <c r="M316" i="34"/>
  <c r="N316" i="34"/>
  <c r="M317" i="34"/>
  <c r="N317" i="34"/>
  <c r="M318" i="34"/>
  <c r="N318" i="34"/>
  <c r="M319" i="34"/>
  <c r="N319" i="34"/>
  <c r="M320" i="34"/>
  <c r="N320" i="34"/>
  <c r="M321" i="34"/>
  <c r="N321" i="34"/>
  <c r="M322" i="34"/>
  <c r="N322" i="34"/>
  <c r="M323" i="34"/>
  <c r="N323" i="34"/>
  <c r="M324" i="34"/>
  <c r="N324" i="34"/>
  <c r="M325" i="34"/>
  <c r="N325" i="34"/>
  <c r="M326" i="34"/>
  <c r="N326" i="34"/>
  <c r="M327" i="34"/>
  <c r="N327" i="34"/>
  <c r="M328" i="34"/>
  <c r="N328" i="34"/>
  <c r="M329" i="34"/>
  <c r="N329" i="34"/>
  <c r="M330" i="34"/>
  <c r="N330" i="34"/>
  <c r="M331" i="34"/>
  <c r="N331" i="34"/>
  <c r="M332" i="34"/>
  <c r="N332" i="34"/>
  <c r="M333" i="34"/>
  <c r="N333" i="34"/>
  <c r="M334" i="34"/>
  <c r="N334" i="34"/>
  <c r="M335" i="34"/>
  <c r="N335" i="34"/>
  <c r="M336" i="34"/>
  <c r="N336" i="34"/>
  <c r="M337" i="34"/>
  <c r="N337" i="34"/>
  <c r="M338" i="34"/>
  <c r="N338" i="34"/>
  <c r="M339" i="34"/>
  <c r="N339" i="34"/>
  <c r="M340" i="34"/>
  <c r="N340" i="34"/>
  <c r="M341" i="34"/>
  <c r="N341" i="34"/>
  <c r="M342" i="34"/>
  <c r="N342" i="34"/>
  <c r="M343" i="34"/>
  <c r="N343" i="34"/>
  <c r="M344" i="34"/>
  <c r="N344" i="34"/>
  <c r="M345" i="34"/>
  <c r="N345" i="34"/>
  <c r="M346" i="34"/>
  <c r="N346" i="34"/>
  <c r="M347" i="34"/>
  <c r="N347" i="34"/>
  <c r="M348" i="34"/>
  <c r="N348" i="34"/>
  <c r="M349" i="34"/>
  <c r="N349" i="34"/>
  <c r="M350" i="34"/>
  <c r="N350" i="34"/>
  <c r="M351" i="34"/>
  <c r="N351" i="34"/>
  <c r="M352" i="34"/>
  <c r="N352" i="34"/>
  <c r="M353" i="34"/>
  <c r="N353" i="34"/>
  <c r="M354" i="34"/>
  <c r="N354" i="34"/>
  <c r="M355" i="34"/>
  <c r="N355" i="34"/>
  <c r="M356" i="34"/>
  <c r="N356" i="34"/>
  <c r="M357" i="34"/>
  <c r="N357" i="34"/>
  <c r="M358" i="34"/>
  <c r="N358" i="34"/>
  <c r="M359" i="34"/>
  <c r="N359" i="34"/>
  <c r="M360" i="34"/>
  <c r="N360" i="34"/>
  <c r="M361" i="34"/>
  <c r="N361" i="34"/>
  <c r="M362" i="34"/>
  <c r="N362" i="34"/>
  <c r="M363" i="34"/>
  <c r="N363" i="34"/>
  <c r="M364" i="34"/>
  <c r="N364" i="34"/>
  <c r="M365" i="34"/>
  <c r="N365" i="34"/>
  <c r="M366" i="34"/>
  <c r="N366" i="34"/>
  <c r="M367" i="34"/>
  <c r="N367" i="34"/>
  <c r="M368" i="34"/>
  <c r="N368" i="34"/>
  <c r="M369" i="34"/>
  <c r="N369" i="34"/>
  <c r="M370" i="34"/>
  <c r="N370" i="34"/>
  <c r="M371" i="34"/>
  <c r="N371" i="34"/>
  <c r="M372" i="34"/>
  <c r="N372" i="34"/>
  <c r="M373" i="34"/>
  <c r="N373" i="34"/>
  <c r="M374" i="34"/>
  <c r="N374" i="34"/>
  <c r="M375" i="34"/>
  <c r="N375" i="34"/>
  <c r="M376" i="34"/>
  <c r="N376" i="34"/>
  <c r="M377" i="34"/>
  <c r="N377" i="34"/>
  <c r="M378" i="34"/>
  <c r="N378" i="34"/>
  <c r="M379" i="34"/>
  <c r="N379" i="34"/>
  <c r="M380" i="34"/>
  <c r="N380" i="34"/>
  <c r="M381" i="34"/>
  <c r="N381" i="34"/>
  <c r="M382" i="34"/>
  <c r="N382" i="34"/>
  <c r="M383" i="34"/>
  <c r="N383" i="34"/>
  <c r="M384" i="34"/>
  <c r="N384" i="34"/>
  <c r="M385" i="34"/>
  <c r="N385" i="34"/>
  <c r="M386" i="34"/>
  <c r="N386" i="34"/>
  <c r="M387" i="34"/>
  <c r="N387" i="34"/>
  <c r="M388" i="34"/>
  <c r="N388" i="34"/>
  <c r="M389" i="34"/>
  <c r="N389" i="34"/>
  <c r="M390" i="34"/>
  <c r="N390" i="34"/>
  <c r="M391" i="34"/>
  <c r="N391" i="34"/>
  <c r="M392" i="34"/>
  <c r="N392" i="34"/>
  <c r="M393" i="34"/>
  <c r="N393" i="34"/>
  <c r="M394" i="34"/>
  <c r="N394" i="34"/>
  <c r="M395" i="34"/>
  <c r="N395" i="34"/>
  <c r="M396" i="34"/>
  <c r="N396" i="34"/>
  <c r="M397" i="34"/>
  <c r="N397" i="34"/>
  <c r="M398" i="34"/>
  <c r="N398" i="34"/>
  <c r="M399" i="34"/>
  <c r="N399" i="34"/>
  <c r="M400" i="34"/>
  <c r="N400" i="34"/>
  <c r="M401" i="34"/>
  <c r="N401" i="34"/>
  <c r="M402" i="34"/>
  <c r="N402" i="34"/>
  <c r="M403" i="34"/>
  <c r="N403" i="34"/>
  <c r="M404" i="34"/>
  <c r="N404" i="34"/>
  <c r="M405" i="34"/>
  <c r="N405" i="34"/>
  <c r="M406" i="34"/>
  <c r="N406" i="34"/>
  <c r="M407" i="34"/>
  <c r="N407" i="34"/>
  <c r="M408" i="34"/>
  <c r="N408" i="34"/>
  <c r="M409" i="34"/>
  <c r="N409" i="34"/>
  <c r="M410" i="34"/>
  <c r="N410" i="34"/>
  <c r="M411" i="34"/>
  <c r="N411" i="34"/>
  <c r="M412" i="34"/>
  <c r="N412" i="34"/>
  <c r="M413" i="34"/>
  <c r="N413" i="34"/>
  <c r="M414" i="34"/>
  <c r="N414" i="34"/>
  <c r="M415" i="34"/>
  <c r="N415" i="34"/>
  <c r="M416" i="34"/>
  <c r="N416" i="34"/>
  <c r="M417" i="34"/>
  <c r="N417" i="34"/>
  <c r="M418" i="34"/>
  <c r="N418" i="34"/>
  <c r="M419" i="34"/>
  <c r="N419" i="34"/>
  <c r="M420" i="34"/>
  <c r="N420" i="34"/>
  <c r="M421" i="34"/>
  <c r="N421" i="34"/>
  <c r="M422" i="34"/>
  <c r="N422" i="34"/>
  <c r="M423" i="34"/>
  <c r="N423" i="34"/>
  <c r="M424" i="34"/>
  <c r="N424" i="34"/>
  <c r="M425" i="34"/>
  <c r="N425" i="34"/>
  <c r="M426" i="34"/>
  <c r="N426" i="34"/>
  <c r="M427" i="34"/>
  <c r="N427" i="34"/>
  <c r="M428" i="34"/>
  <c r="N428" i="34"/>
  <c r="M429" i="34"/>
  <c r="N429" i="34"/>
  <c r="M430" i="34"/>
  <c r="N430" i="34"/>
  <c r="M431" i="34"/>
  <c r="N431" i="34"/>
  <c r="M432" i="34"/>
  <c r="N432" i="34"/>
  <c r="M433" i="34"/>
  <c r="N433" i="34"/>
  <c r="M434" i="34"/>
  <c r="N434" i="34"/>
  <c r="M435" i="34"/>
  <c r="N435" i="34"/>
  <c r="M436" i="34"/>
  <c r="N436" i="34"/>
  <c r="M437" i="34"/>
  <c r="N437" i="34"/>
  <c r="M438" i="34"/>
  <c r="N438" i="34"/>
  <c r="M439" i="34"/>
  <c r="N439" i="34"/>
  <c r="M440" i="34"/>
  <c r="N440" i="34"/>
  <c r="M441" i="34"/>
  <c r="N441" i="34"/>
  <c r="M442" i="34"/>
  <c r="N442" i="34"/>
  <c r="M443" i="34"/>
  <c r="N443" i="34"/>
  <c r="M444" i="34"/>
  <c r="N444" i="34"/>
  <c r="M445" i="34"/>
  <c r="N445" i="34"/>
  <c r="M446" i="34"/>
  <c r="N446" i="34"/>
  <c r="M447" i="34"/>
  <c r="N447" i="34"/>
  <c r="M448" i="34"/>
  <c r="N448" i="34"/>
  <c r="M449" i="34"/>
  <c r="N449" i="34"/>
  <c r="M450" i="34"/>
  <c r="N450" i="34"/>
  <c r="M451" i="34"/>
  <c r="N451" i="34"/>
  <c r="M452" i="34"/>
  <c r="N452" i="34"/>
  <c r="M453" i="34"/>
  <c r="N453" i="34"/>
  <c r="M454" i="34"/>
  <c r="N454" i="34"/>
  <c r="M455" i="34"/>
  <c r="N455" i="34"/>
  <c r="M456" i="34"/>
  <c r="N456" i="34"/>
  <c r="M457" i="34"/>
  <c r="N457" i="34"/>
  <c r="M458" i="34"/>
  <c r="N458" i="34"/>
  <c r="M459" i="34"/>
  <c r="N459" i="34"/>
  <c r="M460" i="34"/>
  <c r="N460" i="34"/>
  <c r="M461" i="34"/>
  <c r="N461" i="34"/>
  <c r="M462" i="34"/>
  <c r="N462" i="34"/>
  <c r="M463" i="34"/>
  <c r="N463" i="34"/>
  <c r="M464" i="34"/>
  <c r="N464" i="34"/>
  <c r="M465" i="34"/>
  <c r="N465" i="34"/>
  <c r="M466" i="34"/>
  <c r="N466" i="34"/>
  <c r="M467" i="34"/>
  <c r="N467" i="34"/>
  <c r="M468" i="34"/>
  <c r="N468" i="34"/>
  <c r="M469" i="34"/>
  <c r="N469" i="34"/>
  <c r="M470" i="34"/>
  <c r="N470" i="34"/>
  <c r="M471" i="34"/>
  <c r="N471" i="34"/>
  <c r="M472" i="34"/>
  <c r="N472" i="34"/>
  <c r="M473" i="34"/>
  <c r="N473" i="34"/>
  <c r="M474" i="34"/>
  <c r="N474" i="34"/>
  <c r="M475" i="34"/>
  <c r="N475" i="34"/>
  <c r="M476" i="34"/>
  <c r="N476" i="34"/>
  <c r="M477" i="34"/>
  <c r="N477" i="34"/>
  <c r="M478" i="34"/>
  <c r="N478" i="34"/>
  <c r="M479" i="34"/>
  <c r="N479" i="34"/>
  <c r="M480" i="34"/>
  <c r="N480" i="34"/>
  <c r="M481" i="34"/>
  <c r="N481" i="34"/>
  <c r="M482" i="34"/>
  <c r="N482" i="34"/>
  <c r="M483" i="34"/>
  <c r="N483" i="34"/>
  <c r="M484" i="34"/>
  <c r="N484" i="34"/>
  <c r="M485" i="34"/>
  <c r="N485" i="34"/>
  <c r="M486" i="34"/>
  <c r="N486" i="34"/>
  <c r="M487" i="34"/>
  <c r="N487" i="34"/>
  <c r="M488" i="34"/>
  <c r="N488" i="34"/>
  <c r="M489" i="34"/>
  <c r="N489" i="34"/>
  <c r="M490" i="34"/>
  <c r="N490" i="34"/>
  <c r="M491" i="34"/>
  <c r="N491" i="34"/>
  <c r="M492" i="34"/>
  <c r="N492" i="34"/>
  <c r="M493" i="34"/>
  <c r="N493" i="34"/>
  <c r="M494" i="34"/>
  <c r="N494" i="34"/>
  <c r="M495" i="34"/>
  <c r="N495" i="34"/>
  <c r="M496" i="34"/>
  <c r="N496" i="34"/>
  <c r="M497" i="34"/>
  <c r="N497" i="34"/>
  <c r="M498" i="34"/>
  <c r="N498" i="34"/>
  <c r="M499" i="34"/>
  <c r="N499" i="34"/>
  <c r="M500" i="34"/>
  <c r="N500" i="34"/>
  <c r="M501" i="34"/>
  <c r="N501" i="34"/>
  <c r="M502" i="34"/>
  <c r="N502" i="34"/>
  <c r="M503" i="34"/>
  <c r="N503" i="34"/>
  <c r="M504" i="34"/>
  <c r="N504" i="34"/>
  <c r="M505" i="34"/>
  <c r="N505" i="34"/>
  <c r="M506" i="34"/>
  <c r="N506" i="34"/>
  <c r="M507" i="34"/>
  <c r="N507" i="34"/>
  <c r="M508" i="34"/>
  <c r="N508" i="34"/>
  <c r="M509" i="34"/>
  <c r="N509" i="34"/>
  <c r="M510" i="34"/>
  <c r="N510" i="34"/>
  <c r="M511" i="34"/>
  <c r="N511" i="34"/>
  <c r="M512" i="34"/>
  <c r="N512" i="34"/>
  <c r="M513" i="34"/>
  <c r="N513" i="34"/>
  <c r="M514" i="34"/>
  <c r="N514" i="34"/>
  <c r="M515" i="34"/>
  <c r="N515" i="34"/>
  <c r="M516" i="34"/>
  <c r="N516" i="34"/>
  <c r="M517" i="34"/>
  <c r="N517" i="34"/>
  <c r="M518" i="34"/>
  <c r="N518" i="34"/>
  <c r="M519" i="34"/>
  <c r="N519" i="34"/>
  <c r="M520" i="34"/>
  <c r="N520" i="34"/>
  <c r="M521" i="34"/>
  <c r="N521" i="34"/>
  <c r="M522" i="34"/>
  <c r="N522" i="34"/>
  <c r="M523" i="34"/>
  <c r="N523" i="34"/>
  <c r="M524" i="34"/>
  <c r="N524" i="34"/>
  <c r="M525" i="34"/>
  <c r="N525" i="34"/>
  <c r="M526" i="34"/>
  <c r="N526" i="34"/>
  <c r="M527" i="34"/>
  <c r="N527" i="34"/>
  <c r="M528" i="34"/>
  <c r="N528" i="34"/>
  <c r="M529" i="34"/>
  <c r="N529" i="34"/>
  <c r="M530" i="34"/>
  <c r="N530" i="34"/>
  <c r="M531" i="34"/>
  <c r="N531" i="34"/>
  <c r="M532" i="34"/>
  <c r="N532" i="34"/>
  <c r="M533" i="34"/>
  <c r="N533" i="34"/>
  <c r="M534" i="34"/>
  <c r="N534" i="34"/>
  <c r="M535" i="34"/>
  <c r="N535" i="34"/>
  <c r="M536" i="34"/>
  <c r="N536" i="34"/>
  <c r="M537" i="34"/>
  <c r="N537" i="34"/>
  <c r="M538" i="34"/>
  <c r="N538" i="34"/>
  <c r="M539" i="34"/>
  <c r="N539" i="34"/>
  <c r="M540" i="34"/>
  <c r="N540" i="34"/>
  <c r="M541" i="34"/>
  <c r="N541" i="34"/>
  <c r="M542" i="34"/>
  <c r="N542" i="34"/>
  <c r="M543" i="34"/>
  <c r="N543" i="34"/>
  <c r="M544" i="34"/>
  <c r="N544" i="34"/>
  <c r="M545" i="34"/>
  <c r="N545" i="34"/>
  <c r="M546" i="34"/>
  <c r="N546" i="34"/>
  <c r="M547" i="34"/>
  <c r="N547" i="34"/>
  <c r="M548" i="34"/>
  <c r="N548" i="34"/>
  <c r="M549" i="34"/>
  <c r="N549" i="34"/>
  <c r="M550" i="34"/>
  <c r="N550" i="34"/>
  <c r="M551" i="34"/>
  <c r="N551" i="34"/>
  <c r="M552" i="34"/>
  <c r="N552" i="34"/>
  <c r="M553" i="34"/>
  <c r="N553" i="34"/>
  <c r="M554" i="34"/>
  <c r="N554" i="34"/>
  <c r="M555" i="34"/>
  <c r="N555" i="34"/>
  <c r="M556" i="34"/>
  <c r="N556" i="34"/>
  <c r="M557" i="34"/>
  <c r="N557" i="34"/>
  <c r="M558" i="34"/>
  <c r="N558" i="34"/>
  <c r="M559" i="34"/>
  <c r="N559" i="34"/>
  <c r="M560" i="34"/>
  <c r="N560" i="34"/>
  <c r="M561" i="34"/>
  <c r="N561" i="34"/>
  <c r="M562" i="34"/>
  <c r="N562" i="34"/>
  <c r="M563" i="34"/>
  <c r="N563" i="34"/>
  <c r="M564" i="34"/>
  <c r="N564" i="34"/>
  <c r="M565" i="34"/>
  <c r="N565" i="34"/>
  <c r="M566" i="34"/>
  <c r="N566" i="34"/>
  <c r="M567" i="34"/>
  <c r="N567" i="34"/>
  <c r="M568" i="34"/>
  <c r="N568" i="34"/>
  <c r="M569" i="34"/>
  <c r="N569" i="34"/>
  <c r="M570" i="34"/>
  <c r="N570" i="34"/>
  <c r="M571" i="34"/>
  <c r="N571" i="34"/>
  <c r="M572" i="34"/>
  <c r="N572" i="34"/>
  <c r="M573" i="34"/>
  <c r="N573" i="34"/>
  <c r="M574" i="34"/>
  <c r="N574" i="34"/>
  <c r="M575" i="34"/>
  <c r="N575" i="34"/>
  <c r="M576" i="34"/>
  <c r="N576" i="34"/>
  <c r="M577" i="34"/>
  <c r="N577" i="34"/>
  <c r="M578" i="34"/>
  <c r="N578" i="34"/>
  <c r="M579" i="34"/>
  <c r="N579" i="34"/>
  <c r="M580" i="34"/>
  <c r="N580" i="34"/>
  <c r="M581" i="34"/>
  <c r="N581" i="34"/>
  <c r="M582" i="34"/>
  <c r="N582" i="34"/>
  <c r="M583" i="34"/>
  <c r="N583" i="34"/>
  <c r="M584" i="34"/>
  <c r="N584" i="34"/>
  <c r="M585" i="34"/>
  <c r="N585" i="34"/>
  <c r="M586" i="34"/>
  <c r="N586" i="34"/>
  <c r="M587" i="34"/>
  <c r="N587" i="34"/>
  <c r="M588" i="34"/>
  <c r="N588" i="34"/>
  <c r="M589" i="34"/>
  <c r="N589" i="34"/>
  <c r="M590" i="34"/>
  <c r="N590" i="34"/>
  <c r="M591" i="34"/>
  <c r="N591" i="34"/>
  <c r="M592" i="34"/>
  <c r="N592" i="34"/>
  <c r="M593" i="34"/>
  <c r="N593" i="34"/>
  <c r="M594" i="34"/>
  <c r="N594" i="34"/>
  <c r="M595" i="34"/>
  <c r="N595" i="34"/>
  <c r="M596" i="34"/>
  <c r="N596" i="34"/>
  <c r="M597" i="34"/>
  <c r="N597" i="34"/>
  <c r="M598" i="34"/>
  <c r="N598" i="34"/>
  <c r="M599" i="34"/>
  <c r="N599" i="34"/>
  <c r="M600" i="34"/>
  <c r="N600" i="34"/>
  <c r="M601" i="34"/>
  <c r="N601" i="34"/>
  <c r="M602" i="34"/>
  <c r="N602" i="34"/>
  <c r="M603" i="34"/>
  <c r="N603" i="34"/>
  <c r="M604" i="34"/>
  <c r="N604" i="34"/>
  <c r="M605" i="34"/>
  <c r="N605" i="34"/>
  <c r="M606" i="34"/>
  <c r="N606" i="34"/>
  <c r="M607" i="34"/>
  <c r="N607" i="34"/>
  <c r="M608" i="34"/>
  <c r="N608" i="34"/>
  <c r="M609" i="34"/>
  <c r="N609" i="34"/>
  <c r="M610" i="34"/>
  <c r="N610" i="34"/>
  <c r="M611" i="34"/>
  <c r="N611" i="34"/>
  <c r="M612" i="34"/>
  <c r="N612" i="34"/>
  <c r="M613" i="34"/>
  <c r="N613" i="34"/>
  <c r="M614" i="34"/>
  <c r="N614" i="34"/>
  <c r="M615" i="34"/>
  <c r="N615" i="34"/>
  <c r="M616" i="34"/>
  <c r="N616" i="34"/>
  <c r="M617" i="34"/>
  <c r="N617" i="34"/>
  <c r="M618" i="34"/>
  <c r="N618" i="34"/>
  <c r="M619" i="34"/>
  <c r="N619" i="34"/>
  <c r="M620" i="34"/>
  <c r="N620" i="34"/>
  <c r="M621" i="34"/>
  <c r="N621" i="34"/>
  <c r="M622" i="34"/>
  <c r="N622" i="34"/>
  <c r="M623" i="34"/>
  <c r="N623" i="34"/>
  <c r="M624" i="34"/>
  <c r="N624" i="34"/>
  <c r="M625" i="34"/>
  <c r="N625" i="34"/>
  <c r="M626" i="34"/>
  <c r="N626" i="34"/>
  <c r="M627" i="34"/>
  <c r="N627" i="34"/>
  <c r="M628" i="34"/>
  <c r="N628" i="34"/>
  <c r="M629" i="34"/>
  <c r="N629" i="34"/>
  <c r="M630" i="34"/>
  <c r="N630" i="34"/>
  <c r="M631" i="34"/>
  <c r="N631" i="34"/>
  <c r="M632" i="34"/>
  <c r="N632" i="34"/>
  <c r="M633" i="34"/>
  <c r="N633" i="34"/>
  <c r="M634" i="34"/>
  <c r="N634" i="34"/>
  <c r="M635" i="34"/>
  <c r="N635" i="34"/>
  <c r="M636" i="34"/>
  <c r="N636" i="34"/>
  <c r="M637" i="34"/>
  <c r="N637" i="34"/>
  <c r="M638" i="34"/>
  <c r="N638" i="34"/>
  <c r="M639" i="34"/>
  <c r="N639" i="34"/>
  <c r="M640" i="34"/>
  <c r="N640" i="34"/>
  <c r="M641" i="34"/>
  <c r="N641" i="34"/>
  <c r="M642" i="34"/>
  <c r="N642" i="34"/>
  <c r="M643" i="34"/>
  <c r="N643" i="34"/>
  <c r="M644" i="34"/>
  <c r="N644" i="34"/>
  <c r="M645" i="34"/>
  <c r="N645" i="34"/>
  <c r="M646" i="34"/>
  <c r="N646" i="34"/>
  <c r="M647" i="34"/>
  <c r="N647" i="34"/>
  <c r="M648" i="34"/>
  <c r="N648" i="34"/>
  <c r="M649" i="34"/>
  <c r="N649" i="34"/>
  <c r="M650" i="34"/>
  <c r="N650" i="34"/>
  <c r="M651" i="34"/>
  <c r="N651" i="34"/>
  <c r="M652" i="34"/>
  <c r="N652" i="34"/>
  <c r="M653" i="34"/>
  <c r="N653" i="34"/>
  <c r="M654" i="34"/>
  <c r="N654" i="34"/>
  <c r="M655" i="34"/>
  <c r="N655" i="34"/>
  <c r="M656" i="34"/>
  <c r="N656" i="34"/>
  <c r="M657" i="34"/>
  <c r="N657" i="34"/>
  <c r="M658" i="34"/>
  <c r="N658" i="34"/>
  <c r="M659" i="34"/>
  <c r="N659" i="34"/>
  <c r="M660" i="34"/>
  <c r="N660" i="34"/>
  <c r="M661" i="34"/>
  <c r="N661" i="34"/>
  <c r="M662" i="34"/>
  <c r="N662" i="34"/>
  <c r="M663" i="34"/>
  <c r="N663" i="34"/>
  <c r="M664" i="34"/>
  <c r="N664" i="34"/>
  <c r="M665" i="34"/>
  <c r="N665" i="34"/>
  <c r="M666" i="34"/>
  <c r="N666" i="34"/>
  <c r="M667" i="34"/>
  <c r="N667" i="34"/>
  <c r="M668" i="34"/>
  <c r="N668" i="34"/>
  <c r="M669" i="34"/>
  <c r="N669" i="34"/>
  <c r="M670" i="34"/>
  <c r="N670" i="34"/>
  <c r="M671" i="34"/>
  <c r="N671" i="34"/>
  <c r="M672" i="34"/>
  <c r="N672" i="34"/>
  <c r="M673" i="34"/>
  <c r="N673" i="34"/>
  <c r="M674" i="34"/>
  <c r="N674" i="34"/>
  <c r="M675" i="34"/>
  <c r="N675" i="34"/>
  <c r="M676" i="34"/>
  <c r="N676" i="34"/>
  <c r="M677" i="34"/>
  <c r="N677" i="34"/>
  <c r="M678" i="34"/>
  <c r="N678" i="34"/>
  <c r="M679" i="34"/>
  <c r="N679" i="34"/>
  <c r="M680" i="34"/>
  <c r="N680" i="34"/>
  <c r="M681" i="34"/>
  <c r="N681" i="34"/>
  <c r="M682" i="34"/>
  <c r="N682" i="34"/>
  <c r="M683" i="34"/>
  <c r="N683" i="34"/>
  <c r="M684" i="34"/>
  <c r="N684" i="34"/>
  <c r="M685" i="34"/>
  <c r="N685" i="34"/>
  <c r="M686" i="34"/>
  <c r="N686" i="34"/>
  <c r="M687" i="34"/>
  <c r="N687" i="34"/>
  <c r="M688" i="34"/>
  <c r="N688" i="34"/>
  <c r="M689" i="34"/>
  <c r="N689" i="34"/>
  <c r="M690" i="34"/>
  <c r="N690" i="34"/>
  <c r="M691" i="34"/>
  <c r="N691" i="34"/>
  <c r="M692" i="34"/>
  <c r="N692" i="34"/>
  <c r="M693" i="34"/>
  <c r="N693" i="34"/>
  <c r="M694" i="34"/>
  <c r="N694" i="34"/>
  <c r="M695" i="34"/>
  <c r="N695" i="34"/>
  <c r="M696" i="34"/>
  <c r="N696" i="34"/>
  <c r="M697" i="34"/>
  <c r="N697" i="34"/>
  <c r="M698" i="34"/>
  <c r="N698" i="34"/>
  <c r="M699" i="34"/>
  <c r="N699" i="34"/>
  <c r="M700" i="34"/>
  <c r="N700" i="34"/>
  <c r="M701" i="34"/>
  <c r="N701" i="34"/>
  <c r="M702" i="34"/>
  <c r="N702" i="34"/>
  <c r="M703" i="34"/>
  <c r="N703" i="34"/>
  <c r="M704" i="34"/>
  <c r="N704" i="34"/>
  <c r="M705" i="34"/>
  <c r="N705" i="34"/>
  <c r="M706" i="34"/>
  <c r="N706" i="34"/>
  <c r="M707" i="34"/>
  <c r="N707" i="34"/>
  <c r="M708" i="34"/>
  <c r="N708" i="34"/>
  <c r="M709" i="34"/>
  <c r="N709" i="34"/>
  <c r="M710" i="34"/>
  <c r="N710" i="34"/>
  <c r="M711" i="34"/>
  <c r="N711" i="34"/>
  <c r="M712" i="34"/>
  <c r="N712" i="34"/>
  <c r="M713" i="34"/>
  <c r="N713" i="34"/>
  <c r="M714" i="34"/>
  <c r="N714" i="34"/>
  <c r="M715" i="34"/>
  <c r="N715" i="34"/>
  <c r="M716" i="34"/>
  <c r="N716" i="34"/>
  <c r="M717" i="34"/>
  <c r="N717" i="34"/>
  <c r="M718" i="34"/>
  <c r="N718" i="34"/>
  <c r="M719" i="34"/>
  <c r="N719" i="34"/>
  <c r="M720" i="34"/>
  <c r="N720" i="34"/>
  <c r="M721" i="34"/>
  <c r="N721" i="34"/>
  <c r="M722" i="34"/>
  <c r="N722" i="34"/>
  <c r="M723" i="34"/>
  <c r="N723" i="34"/>
  <c r="M724" i="34"/>
  <c r="N724" i="34"/>
  <c r="M725" i="34"/>
  <c r="N725" i="34"/>
  <c r="M726" i="34"/>
  <c r="N726" i="34"/>
  <c r="M727" i="34"/>
  <c r="N727" i="34"/>
  <c r="M728" i="34"/>
  <c r="N728" i="34"/>
  <c r="M729" i="34"/>
  <c r="N729" i="34"/>
  <c r="M730" i="34"/>
  <c r="N730" i="34"/>
  <c r="M731" i="34"/>
  <c r="N731" i="34"/>
  <c r="M732" i="34"/>
  <c r="N732" i="34"/>
  <c r="M733" i="34"/>
  <c r="N733" i="34"/>
  <c r="M734" i="34"/>
  <c r="N734" i="34"/>
  <c r="M735" i="34"/>
  <c r="N735" i="34"/>
  <c r="M736" i="34"/>
  <c r="N736" i="34"/>
  <c r="M737" i="34"/>
  <c r="N737" i="34"/>
  <c r="M738" i="34"/>
  <c r="N738" i="34"/>
  <c r="M739" i="34"/>
  <c r="N739" i="34"/>
  <c r="M740" i="34"/>
  <c r="N740" i="34"/>
  <c r="M741" i="34"/>
  <c r="N741" i="34"/>
  <c r="M742" i="34"/>
  <c r="N742" i="34"/>
  <c r="M743" i="34"/>
  <c r="N743" i="34"/>
  <c r="M744" i="34"/>
  <c r="N744" i="34"/>
  <c r="M745" i="34"/>
  <c r="N745" i="34"/>
  <c r="M746" i="34"/>
  <c r="N746" i="34"/>
  <c r="M747" i="34"/>
  <c r="N747" i="34"/>
  <c r="M748" i="34"/>
  <c r="N748" i="34"/>
  <c r="M749" i="34"/>
  <c r="N749" i="34"/>
  <c r="M750" i="34"/>
  <c r="N750" i="34"/>
  <c r="M751" i="34"/>
  <c r="N751" i="34"/>
  <c r="M752" i="34"/>
  <c r="N752" i="34"/>
  <c r="M753" i="34"/>
  <c r="N753" i="34"/>
  <c r="M754" i="34"/>
  <c r="N754" i="34"/>
  <c r="M755" i="34"/>
  <c r="N755" i="34"/>
  <c r="M756" i="34"/>
  <c r="N756" i="34"/>
  <c r="M757" i="34"/>
  <c r="N757" i="34"/>
  <c r="M758" i="34"/>
  <c r="N758" i="34"/>
  <c r="M759" i="34"/>
  <c r="N759" i="34"/>
  <c r="M760" i="34"/>
  <c r="N760" i="34"/>
  <c r="M761" i="34"/>
  <c r="N761" i="34"/>
  <c r="M762" i="34"/>
  <c r="N762" i="34"/>
  <c r="M763" i="34"/>
  <c r="N763" i="34"/>
  <c r="M764" i="34"/>
  <c r="N764" i="34"/>
  <c r="M765" i="34"/>
  <c r="N765" i="34"/>
  <c r="M766" i="34"/>
  <c r="N766" i="34"/>
  <c r="M767" i="34"/>
  <c r="N767" i="34"/>
  <c r="M768" i="34"/>
  <c r="N768" i="34"/>
  <c r="M769" i="34"/>
  <c r="N769" i="34"/>
  <c r="M770" i="34"/>
  <c r="N770" i="34"/>
  <c r="M771" i="34"/>
  <c r="N771" i="34"/>
  <c r="M772" i="34"/>
  <c r="N772" i="34"/>
  <c r="M773" i="34"/>
  <c r="N773" i="34"/>
  <c r="M774" i="34"/>
  <c r="N774" i="34"/>
  <c r="M775" i="34"/>
  <c r="N775" i="34"/>
  <c r="M776" i="34"/>
  <c r="N776" i="34"/>
  <c r="M777" i="34"/>
  <c r="N777" i="34"/>
  <c r="M778" i="34"/>
  <c r="N778" i="34"/>
  <c r="M779" i="34"/>
  <c r="N779" i="34"/>
  <c r="M780" i="34"/>
  <c r="N780" i="34"/>
  <c r="M781" i="34"/>
  <c r="N781" i="34"/>
  <c r="M782" i="34"/>
  <c r="N782" i="34"/>
  <c r="M783" i="34"/>
  <c r="N783" i="34"/>
  <c r="M784" i="34"/>
  <c r="N784" i="34"/>
  <c r="M785" i="34"/>
  <c r="N785" i="34"/>
  <c r="M786" i="34"/>
  <c r="N786" i="34"/>
  <c r="M787" i="34"/>
  <c r="N787" i="34"/>
  <c r="M788" i="34"/>
  <c r="N788" i="34"/>
  <c r="M789" i="34"/>
  <c r="N789" i="34"/>
  <c r="M790" i="34"/>
  <c r="N790" i="34"/>
  <c r="M791" i="34"/>
  <c r="N791" i="34"/>
  <c r="M792" i="34"/>
  <c r="N792" i="34"/>
  <c r="M793" i="34"/>
  <c r="N793" i="34"/>
  <c r="M794" i="34"/>
  <c r="N794" i="34"/>
  <c r="M795" i="34"/>
  <c r="N795" i="34"/>
  <c r="M796" i="34"/>
  <c r="N796" i="34"/>
  <c r="M797" i="34"/>
  <c r="N797" i="34"/>
  <c r="M798" i="34"/>
  <c r="N798" i="34"/>
  <c r="M799" i="34"/>
  <c r="N799" i="34"/>
  <c r="M800" i="34"/>
  <c r="N800" i="34"/>
  <c r="M801" i="34"/>
  <c r="N801" i="34"/>
  <c r="M802" i="34"/>
  <c r="N802" i="34"/>
  <c r="M803" i="34"/>
  <c r="N803" i="34"/>
  <c r="M804" i="34"/>
  <c r="N804" i="34"/>
  <c r="M805" i="34"/>
  <c r="N805" i="34"/>
  <c r="M806" i="34"/>
  <c r="N806" i="34"/>
  <c r="M807" i="34"/>
  <c r="N807" i="34"/>
  <c r="M808" i="34"/>
  <c r="N808" i="34"/>
  <c r="M809" i="34"/>
  <c r="N809" i="34"/>
  <c r="M810" i="34"/>
  <c r="N810" i="34"/>
  <c r="M811" i="34"/>
  <c r="N811" i="34"/>
  <c r="M812" i="34"/>
  <c r="N812" i="34"/>
  <c r="M813" i="34"/>
  <c r="N813" i="34"/>
  <c r="M814" i="34"/>
  <c r="N814" i="34"/>
  <c r="M815" i="34"/>
  <c r="N815" i="34"/>
  <c r="M816" i="34"/>
  <c r="N816" i="34"/>
  <c r="M817" i="34"/>
  <c r="N817" i="34"/>
  <c r="M818" i="34"/>
  <c r="N818" i="34"/>
  <c r="M819" i="34"/>
  <c r="N819" i="34"/>
  <c r="M820" i="34"/>
  <c r="N820" i="34"/>
  <c r="M821" i="34"/>
  <c r="N821" i="34"/>
  <c r="M822" i="34"/>
  <c r="N822" i="34"/>
  <c r="M823" i="34"/>
  <c r="N823" i="34"/>
  <c r="M824" i="34"/>
  <c r="N824" i="34"/>
  <c r="M825" i="34"/>
  <c r="N825" i="34"/>
  <c r="M826" i="34"/>
  <c r="N826" i="34"/>
  <c r="M827" i="34"/>
  <c r="N827" i="34"/>
  <c r="M828" i="34"/>
  <c r="N828" i="34"/>
  <c r="M829" i="34"/>
  <c r="N829" i="34"/>
  <c r="M830" i="34"/>
  <c r="N830" i="34"/>
  <c r="M831" i="34"/>
  <c r="N831" i="34"/>
  <c r="M832" i="34"/>
  <c r="N832" i="34"/>
  <c r="M833" i="34"/>
  <c r="N833" i="34"/>
  <c r="M834" i="34"/>
  <c r="N834" i="34"/>
  <c r="M835" i="34"/>
  <c r="N835" i="34"/>
  <c r="M836" i="34"/>
  <c r="N836" i="34"/>
  <c r="M837" i="34"/>
  <c r="N837" i="34"/>
  <c r="M838" i="34"/>
  <c r="N838" i="34"/>
  <c r="M839" i="34"/>
  <c r="N839" i="34"/>
  <c r="M840" i="34"/>
  <c r="N840" i="34"/>
  <c r="M841" i="34"/>
  <c r="N841" i="34"/>
  <c r="M842" i="34"/>
  <c r="N842" i="34"/>
  <c r="M843" i="34"/>
  <c r="N843" i="34"/>
  <c r="M844" i="34"/>
  <c r="N844" i="34"/>
  <c r="M845" i="34"/>
  <c r="N845" i="34"/>
  <c r="M846" i="34"/>
  <c r="N846" i="34"/>
  <c r="M847" i="34"/>
  <c r="N847" i="34"/>
  <c r="M848" i="34"/>
  <c r="N848" i="34"/>
  <c r="M849" i="34"/>
  <c r="N849" i="34"/>
  <c r="M850" i="34"/>
  <c r="N850" i="34"/>
  <c r="M851" i="34"/>
  <c r="N851" i="34"/>
  <c r="M852" i="34"/>
  <c r="N852" i="34"/>
  <c r="M853" i="34"/>
  <c r="N853" i="34"/>
  <c r="M854" i="34"/>
  <c r="N854" i="34"/>
  <c r="M855" i="34"/>
  <c r="N855" i="34"/>
  <c r="M856" i="34"/>
  <c r="N856" i="34"/>
  <c r="M857" i="34"/>
  <c r="N857" i="34"/>
  <c r="M858" i="34"/>
  <c r="N858" i="34"/>
  <c r="M859" i="34"/>
  <c r="N859" i="34"/>
  <c r="M860" i="34"/>
  <c r="N860" i="34"/>
  <c r="M861" i="34"/>
  <c r="N861" i="34"/>
  <c r="M862" i="34"/>
  <c r="N862" i="34"/>
  <c r="M863" i="34"/>
  <c r="N863" i="34"/>
  <c r="Q863" i="34" s="1"/>
  <c r="M864" i="34"/>
  <c r="N864" i="34"/>
  <c r="M865" i="34"/>
  <c r="N865" i="34"/>
  <c r="M866" i="34"/>
  <c r="N866" i="34"/>
  <c r="M867" i="34"/>
  <c r="N867" i="34"/>
  <c r="M868" i="34"/>
  <c r="N868" i="34"/>
  <c r="M869" i="34"/>
  <c r="N869" i="34"/>
  <c r="M870" i="34"/>
  <c r="N870" i="34"/>
  <c r="M871" i="34"/>
  <c r="N871" i="34"/>
  <c r="M872" i="34"/>
  <c r="N872" i="34"/>
  <c r="M873" i="34"/>
  <c r="N873" i="34"/>
  <c r="M874" i="34"/>
  <c r="N874" i="34"/>
  <c r="M875" i="34"/>
  <c r="N875" i="34"/>
  <c r="M876" i="34"/>
  <c r="N876" i="34"/>
  <c r="M877" i="34"/>
  <c r="N877" i="34"/>
  <c r="M878" i="34"/>
  <c r="N878" i="34"/>
  <c r="M879" i="34"/>
  <c r="N879" i="34"/>
  <c r="M880" i="34"/>
  <c r="N880" i="34"/>
  <c r="M881" i="34"/>
  <c r="N881" i="34"/>
  <c r="M882" i="34"/>
  <c r="N882" i="34"/>
  <c r="M883" i="34"/>
  <c r="N883" i="34"/>
  <c r="M884" i="34"/>
  <c r="N884" i="34"/>
  <c r="M885" i="34"/>
  <c r="N885" i="34"/>
  <c r="M886" i="34"/>
  <c r="N886" i="34"/>
  <c r="M887" i="34"/>
  <c r="N887" i="34"/>
  <c r="M888" i="34"/>
  <c r="N888" i="34"/>
  <c r="M889" i="34"/>
  <c r="N889" i="34"/>
  <c r="M890" i="34"/>
  <c r="N890" i="34"/>
  <c r="M891" i="34"/>
  <c r="N891" i="34"/>
  <c r="M892" i="34"/>
  <c r="N892" i="34"/>
  <c r="M893" i="34"/>
  <c r="N893" i="34"/>
  <c r="M894" i="34"/>
  <c r="N894" i="34"/>
  <c r="M895" i="34"/>
  <c r="N895" i="34"/>
  <c r="M896" i="34"/>
  <c r="N896" i="34"/>
  <c r="M897" i="34"/>
  <c r="N897" i="34"/>
  <c r="M898" i="34"/>
  <c r="N898" i="34"/>
  <c r="M899" i="34"/>
  <c r="N899" i="34"/>
  <c r="M900" i="34"/>
  <c r="N900" i="34"/>
  <c r="M901" i="34"/>
  <c r="N901" i="34"/>
  <c r="M902" i="34"/>
  <c r="N902" i="34"/>
  <c r="M903" i="34"/>
  <c r="N903" i="34"/>
  <c r="M904" i="34"/>
  <c r="N904" i="34"/>
  <c r="M905" i="34"/>
  <c r="N905" i="34"/>
  <c r="M906" i="34"/>
  <c r="N906" i="34"/>
  <c r="M907" i="34"/>
  <c r="N907" i="34"/>
  <c r="M908" i="34"/>
  <c r="N908" i="34"/>
  <c r="M909" i="34"/>
  <c r="N909" i="34"/>
  <c r="M910" i="34"/>
  <c r="N910" i="34"/>
  <c r="M911" i="34"/>
  <c r="N911" i="34"/>
  <c r="M912" i="34"/>
  <c r="N912" i="34"/>
  <c r="M913" i="34"/>
  <c r="N913" i="34"/>
  <c r="M914" i="34"/>
  <c r="N914" i="34"/>
  <c r="M915" i="34"/>
  <c r="N915" i="34"/>
  <c r="M916" i="34"/>
  <c r="N916" i="34"/>
  <c r="M917" i="34"/>
  <c r="N917" i="34"/>
  <c r="M918" i="34"/>
  <c r="N918" i="34"/>
  <c r="M919" i="34"/>
  <c r="N919" i="34"/>
  <c r="M920" i="34"/>
  <c r="N920" i="34"/>
  <c r="M921" i="34"/>
  <c r="N921" i="34"/>
  <c r="M922" i="34"/>
  <c r="N922" i="34"/>
  <c r="M923" i="34"/>
  <c r="N923" i="34"/>
  <c r="M924" i="34"/>
  <c r="N924" i="34"/>
  <c r="M925" i="34"/>
  <c r="N925" i="34"/>
  <c r="M926" i="34"/>
  <c r="N926" i="34"/>
  <c r="M927" i="34"/>
  <c r="N927" i="34"/>
  <c r="M928" i="34"/>
  <c r="N928" i="34"/>
  <c r="M929" i="34"/>
  <c r="N929" i="34"/>
  <c r="M930" i="34"/>
  <c r="N930" i="34"/>
  <c r="M931" i="34"/>
  <c r="N931" i="34"/>
  <c r="M932" i="34"/>
  <c r="N932" i="34"/>
  <c r="M933" i="34"/>
  <c r="N933" i="34"/>
  <c r="M934" i="34"/>
  <c r="N934" i="34"/>
  <c r="M935" i="34"/>
  <c r="N935" i="34"/>
  <c r="M936" i="34"/>
  <c r="N936" i="34"/>
  <c r="M937" i="34"/>
  <c r="N937" i="34"/>
  <c r="M938" i="34"/>
  <c r="N938" i="34"/>
  <c r="M939" i="34"/>
  <c r="N939" i="34"/>
  <c r="M940" i="34"/>
  <c r="N940" i="34"/>
  <c r="M941" i="34"/>
  <c r="N941" i="34"/>
  <c r="M942" i="34"/>
  <c r="N942" i="34"/>
  <c r="M943" i="34"/>
  <c r="N943" i="34"/>
  <c r="M944" i="34"/>
  <c r="N944" i="34"/>
  <c r="M945" i="34"/>
  <c r="N945" i="34"/>
  <c r="M946" i="34"/>
  <c r="N946" i="34"/>
  <c r="M947" i="34"/>
  <c r="N947" i="34"/>
  <c r="M948" i="34"/>
  <c r="N948" i="34"/>
  <c r="M949" i="34"/>
  <c r="N949" i="34"/>
  <c r="M950" i="34"/>
  <c r="N950" i="34"/>
  <c r="M951" i="34"/>
  <c r="N951" i="34"/>
  <c r="M952" i="34"/>
  <c r="N952" i="34"/>
  <c r="M953" i="34"/>
  <c r="N953" i="34"/>
  <c r="M954" i="34"/>
  <c r="N954" i="34"/>
  <c r="M955" i="34"/>
  <c r="N955" i="34"/>
  <c r="M956" i="34"/>
  <c r="N956" i="34"/>
  <c r="M957" i="34"/>
  <c r="N957" i="34"/>
  <c r="M958" i="34"/>
  <c r="N958" i="34"/>
  <c r="M959" i="34"/>
  <c r="N959" i="34"/>
  <c r="M960" i="34"/>
  <c r="N960" i="34"/>
  <c r="M961" i="34"/>
  <c r="N961" i="34"/>
  <c r="M962" i="34"/>
  <c r="N962" i="34"/>
  <c r="M963" i="34"/>
  <c r="N963" i="34"/>
  <c r="M964" i="34"/>
  <c r="N964" i="34"/>
  <c r="M965" i="34"/>
  <c r="N965" i="34"/>
  <c r="M966" i="34"/>
  <c r="N966" i="34"/>
  <c r="M967" i="34"/>
  <c r="N967" i="34"/>
  <c r="M968" i="34"/>
  <c r="N968" i="34"/>
  <c r="M969" i="34"/>
  <c r="N969" i="34"/>
  <c r="M970" i="34"/>
  <c r="N970" i="34"/>
  <c r="M971" i="34"/>
  <c r="N971" i="34"/>
  <c r="M972" i="34"/>
  <c r="N972" i="34"/>
  <c r="M973" i="34"/>
  <c r="N973" i="34"/>
  <c r="M974" i="34"/>
  <c r="N974" i="34"/>
  <c r="M975" i="34"/>
  <c r="N975" i="34"/>
  <c r="M976" i="34"/>
  <c r="N976" i="34"/>
  <c r="M977" i="34"/>
  <c r="N977" i="34"/>
  <c r="M978" i="34"/>
  <c r="N978" i="34"/>
  <c r="M979" i="34"/>
  <c r="N979" i="34"/>
  <c r="M980" i="34"/>
  <c r="N980" i="34"/>
  <c r="M981" i="34"/>
  <c r="N981" i="34"/>
  <c r="M982" i="34"/>
  <c r="N982" i="34"/>
  <c r="M983" i="34"/>
  <c r="N983" i="34"/>
  <c r="M984" i="34"/>
  <c r="N984" i="34"/>
  <c r="M985" i="34"/>
  <c r="N985" i="34"/>
  <c r="M986" i="34"/>
  <c r="N986" i="34"/>
  <c r="M987" i="34"/>
  <c r="N987" i="34"/>
  <c r="M988" i="34"/>
  <c r="N988" i="34"/>
  <c r="M989" i="34"/>
  <c r="N989" i="34"/>
  <c r="M990" i="34"/>
  <c r="N990" i="34"/>
  <c r="M991" i="34"/>
  <c r="N991" i="34"/>
  <c r="M992" i="34"/>
  <c r="N992" i="34"/>
  <c r="M993" i="34"/>
  <c r="N993" i="34"/>
  <c r="M994" i="34"/>
  <c r="N994" i="34"/>
  <c r="M995" i="34"/>
  <c r="N995" i="34"/>
  <c r="M996" i="34"/>
  <c r="N996" i="34"/>
  <c r="M997" i="34"/>
  <c r="N997" i="34"/>
  <c r="M998" i="34"/>
  <c r="N998" i="34"/>
  <c r="M999" i="34"/>
  <c r="N999" i="34"/>
  <c r="M1000" i="34"/>
  <c r="N1000" i="34"/>
  <c r="M1001" i="34"/>
  <c r="N1001" i="34"/>
  <c r="M1002" i="34"/>
  <c r="N1002" i="34"/>
  <c r="M1003" i="34"/>
  <c r="N1003" i="34"/>
  <c r="M1004" i="34"/>
  <c r="N1004" i="34"/>
  <c r="M7" i="34"/>
  <c r="N7" i="34"/>
  <c r="M8" i="34"/>
  <c r="N8" i="34"/>
  <c r="M9" i="34"/>
  <c r="N9" i="34"/>
  <c r="M10" i="34"/>
  <c r="N10" i="34"/>
  <c r="M11" i="34"/>
  <c r="N11" i="34"/>
  <c r="M12" i="34"/>
  <c r="N12" i="34"/>
  <c r="M13" i="34"/>
  <c r="N13" i="34"/>
  <c r="M14" i="34"/>
  <c r="N14" i="34"/>
  <c r="M15" i="34"/>
  <c r="N15" i="34"/>
  <c r="M16" i="34"/>
  <c r="N16" i="34"/>
  <c r="M17" i="34"/>
  <c r="N17" i="34"/>
  <c r="M18" i="34"/>
  <c r="N18" i="34"/>
  <c r="M19" i="34"/>
  <c r="N19" i="34"/>
  <c r="M20" i="34"/>
  <c r="N20" i="34"/>
  <c r="M21" i="34"/>
  <c r="N21" i="34"/>
  <c r="M22" i="34"/>
  <c r="N22" i="34"/>
  <c r="M23" i="34"/>
  <c r="N23" i="34"/>
  <c r="M24" i="34"/>
  <c r="N24" i="34"/>
  <c r="M25" i="34"/>
  <c r="N25" i="34"/>
  <c r="M26" i="34"/>
  <c r="N26" i="34"/>
  <c r="M27" i="34"/>
  <c r="N27" i="34"/>
  <c r="M28" i="34"/>
  <c r="N28" i="34"/>
  <c r="M29" i="34"/>
  <c r="N29" i="34"/>
  <c r="M30" i="34"/>
  <c r="N30" i="34"/>
  <c r="M31" i="34"/>
  <c r="N31" i="34"/>
  <c r="M32" i="34"/>
  <c r="N32" i="34"/>
  <c r="M33" i="34"/>
  <c r="N33" i="34"/>
  <c r="M34" i="34"/>
  <c r="N34" i="34"/>
  <c r="M35" i="34"/>
  <c r="N35" i="34"/>
  <c r="M36" i="34"/>
  <c r="N36" i="34"/>
  <c r="M37" i="34"/>
  <c r="N37" i="34"/>
  <c r="M38" i="34"/>
  <c r="N38" i="34"/>
  <c r="M39" i="34"/>
  <c r="N39" i="34"/>
  <c r="M40" i="34"/>
  <c r="N40" i="34"/>
  <c r="M41" i="34"/>
  <c r="N41" i="34"/>
  <c r="M42" i="34"/>
  <c r="N42" i="34"/>
  <c r="M43" i="34"/>
  <c r="N43" i="34"/>
  <c r="M44" i="34"/>
  <c r="N44" i="34"/>
  <c r="M45" i="34"/>
  <c r="N45" i="34"/>
  <c r="M46" i="34"/>
  <c r="N46" i="34"/>
  <c r="M47" i="34"/>
  <c r="N47" i="34"/>
  <c r="M48" i="34"/>
  <c r="N48" i="34"/>
  <c r="M49" i="34"/>
  <c r="N49" i="34"/>
  <c r="M50" i="34"/>
  <c r="N50" i="34"/>
  <c r="M51" i="34"/>
  <c r="N51" i="34"/>
  <c r="M52" i="34"/>
  <c r="N52" i="34"/>
  <c r="M53" i="34"/>
  <c r="N53" i="34"/>
  <c r="M54" i="34"/>
  <c r="N54" i="34"/>
  <c r="M55" i="34"/>
  <c r="N55" i="34"/>
  <c r="M56" i="34"/>
  <c r="N56" i="34"/>
  <c r="M57" i="34"/>
  <c r="N57" i="34"/>
  <c r="M58" i="34"/>
  <c r="N58" i="34"/>
  <c r="M59" i="34"/>
  <c r="N59" i="34"/>
  <c r="M60" i="34"/>
  <c r="N60" i="34"/>
  <c r="M61" i="34"/>
  <c r="N61" i="34"/>
  <c r="M62" i="34"/>
  <c r="N62" i="34"/>
  <c r="M63" i="34"/>
  <c r="N63" i="34"/>
  <c r="M64" i="34"/>
  <c r="N64" i="34"/>
  <c r="M65" i="34"/>
  <c r="N65" i="34"/>
  <c r="M66" i="34"/>
  <c r="N66" i="34"/>
  <c r="M67" i="34"/>
  <c r="N67" i="34"/>
  <c r="M68" i="34"/>
  <c r="N68" i="34"/>
  <c r="M69" i="34"/>
  <c r="N69" i="34"/>
  <c r="M70" i="34"/>
  <c r="N70" i="34"/>
  <c r="M71" i="34"/>
  <c r="N71" i="34"/>
  <c r="M72" i="34"/>
  <c r="N72" i="34"/>
  <c r="M73" i="34"/>
  <c r="N73" i="34"/>
  <c r="M74" i="34"/>
  <c r="N74" i="34"/>
  <c r="M75" i="34"/>
  <c r="N75" i="34"/>
  <c r="M76" i="34"/>
  <c r="N76" i="34"/>
  <c r="M77" i="34"/>
  <c r="N77" i="34"/>
  <c r="M78" i="34"/>
  <c r="N78" i="34"/>
  <c r="M79" i="34"/>
  <c r="N79" i="34"/>
  <c r="M80" i="34"/>
  <c r="N80" i="34"/>
  <c r="M81" i="34"/>
  <c r="N81" i="34"/>
  <c r="M82" i="34"/>
  <c r="N82" i="34"/>
  <c r="M83" i="34"/>
  <c r="N83" i="34"/>
  <c r="M84" i="34"/>
  <c r="N84" i="34"/>
  <c r="M85" i="34"/>
  <c r="N85" i="34"/>
  <c r="M86" i="34"/>
  <c r="N86" i="34"/>
  <c r="M87" i="34"/>
  <c r="N87" i="34"/>
  <c r="M88" i="34"/>
  <c r="N88" i="34"/>
  <c r="M89" i="34"/>
  <c r="N89" i="34"/>
  <c r="M90" i="34"/>
  <c r="N90" i="34"/>
  <c r="M91" i="34"/>
  <c r="N91" i="34"/>
  <c r="M92" i="34"/>
  <c r="N92" i="34"/>
  <c r="M93" i="34"/>
  <c r="N93" i="34"/>
  <c r="M94" i="34"/>
  <c r="N94" i="34"/>
  <c r="M95" i="34"/>
  <c r="N95" i="34"/>
  <c r="M96" i="34"/>
  <c r="N96" i="34"/>
  <c r="M97" i="34"/>
  <c r="N97" i="34"/>
  <c r="M98" i="34"/>
  <c r="N98" i="34"/>
  <c r="M99" i="34"/>
  <c r="N99" i="34"/>
  <c r="M100" i="34"/>
  <c r="N100" i="34"/>
  <c r="M101" i="34"/>
  <c r="N101" i="34"/>
  <c r="M102" i="34"/>
  <c r="N102" i="34"/>
  <c r="M103" i="34"/>
  <c r="N103" i="34"/>
  <c r="M104" i="34"/>
  <c r="N104" i="34"/>
  <c r="M105" i="34"/>
  <c r="N105" i="34"/>
  <c r="M106" i="34"/>
  <c r="N106" i="34"/>
  <c r="M107" i="34"/>
  <c r="N107" i="34"/>
  <c r="M108" i="34"/>
  <c r="N108" i="34"/>
  <c r="M109" i="34"/>
  <c r="N109" i="34"/>
  <c r="M110" i="34"/>
  <c r="N110" i="34"/>
  <c r="M111" i="34"/>
  <c r="N111" i="34"/>
  <c r="M112" i="34"/>
  <c r="N112" i="34"/>
  <c r="M113" i="34"/>
  <c r="N113" i="34"/>
  <c r="M114" i="34"/>
  <c r="N114" i="34"/>
  <c r="M115" i="34"/>
  <c r="N115" i="34"/>
  <c r="M116" i="34"/>
  <c r="N116" i="34"/>
  <c r="M117" i="34"/>
  <c r="N117" i="34"/>
  <c r="M118" i="34"/>
  <c r="N118" i="34"/>
  <c r="M119" i="34"/>
  <c r="N119" i="34"/>
  <c r="M120" i="34"/>
  <c r="N120" i="34"/>
  <c r="M121" i="34"/>
  <c r="N121" i="34"/>
  <c r="M122" i="34"/>
  <c r="N122" i="34"/>
  <c r="M123" i="34"/>
  <c r="N123" i="34"/>
  <c r="M124" i="34"/>
  <c r="N124" i="34"/>
  <c r="M125" i="34"/>
  <c r="N125" i="34"/>
  <c r="M126" i="34"/>
  <c r="N126" i="34"/>
  <c r="M127" i="34"/>
  <c r="N127" i="34"/>
  <c r="M128" i="34"/>
  <c r="N128" i="34"/>
  <c r="M129" i="34"/>
  <c r="N129" i="34"/>
  <c r="M130" i="34"/>
  <c r="N130" i="34"/>
  <c r="M131" i="34"/>
  <c r="N131" i="34"/>
  <c r="M132" i="34"/>
  <c r="N132" i="34"/>
  <c r="M133" i="34"/>
  <c r="N133" i="34"/>
  <c r="M134" i="34"/>
  <c r="N134" i="34"/>
  <c r="M135" i="34"/>
  <c r="N135" i="34"/>
  <c r="M136" i="34"/>
  <c r="N136" i="34"/>
  <c r="M137" i="34"/>
  <c r="N137" i="34"/>
  <c r="M138" i="34"/>
  <c r="N138" i="34"/>
  <c r="M139" i="34"/>
  <c r="N139" i="34"/>
  <c r="M140" i="34"/>
  <c r="N140" i="34"/>
  <c r="M141" i="34"/>
  <c r="N141" i="34"/>
  <c r="M142" i="34"/>
  <c r="N142" i="34"/>
  <c r="M143" i="34"/>
  <c r="N143" i="34"/>
  <c r="M144" i="34"/>
  <c r="N144" i="34"/>
  <c r="M145" i="34"/>
  <c r="N145" i="34"/>
  <c r="M146" i="34"/>
  <c r="N146" i="34"/>
  <c r="M147" i="34"/>
  <c r="N147" i="34"/>
  <c r="M148" i="34"/>
  <c r="N148" i="34"/>
  <c r="M149" i="34"/>
  <c r="N149" i="34"/>
  <c r="M150" i="34"/>
  <c r="N150" i="34"/>
  <c r="M151" i="34"/>
  <c r="N151" i="34"/>
  <c r="M152" i="34"/>
  <c r="N152" i="34"/>
  <c r="M153" i="34"/>
  <c r="N153" i="34"/>
  <c r="M154" i="34"/>
  <c r="N154" i="34"/>
  <c r="M155" i="34"/>
  <c r="N155" i="34"/>
  <c r="M156" i="34"/>
  <c r="N156" i="34"/>
  <c r="M157" i="34"/>
  <c r="N157" i="34"/>
  <c r="M158" i="34"/>
  <c r="N158" i="34"/>
  <c r="M159" i="34"/>
  <c r="N159" i="34"/>
  <c r="M160" i="34"/>
  <c r="N160" i="34"/>
  <c r="M161" i="34"/>
  <c r="N161" i="34"/>
  <c r="M162" i="34"/>
  <c r="N162" i="34"/>
  <c r="M163" i="34"/>
  <c r="N163" i="34"/>
  <c r="M164" i="34"/>
  <c r="N164" i="34"/>
  <c r="M165" i="34"/>
  <c r="N165" i="34"/>
  <c r="M166" i="34"/>
  <c r="N166" i="34"/>
  <c r="M167" i="34"/>
  <c r="N167" i="34"/>
  <c r="M168" i="34"/>
  <c r="N168" i="34"/>
  <c r="M169" i="34"/>
  <c r="N169" i="34"/>
  <c r="M170" i="34"/>
  <c r="N170" i="34"/>
  <c r="M171" i="34"/>
  <c r="N171" i="34"/>
  <c r="M172" i="34"/>
  <c r="N172" i="34"/>
  <c r="M173" i="34"/>
  <c r="N173" i="34"/>
  <c r="M174" i="34"/>
  <c r="N174" i="34"/>
  <c r="M175" i="34"/>
  <c r="N175" i="34"/>
  <c r="M176" i="34"/>
  <c r="N176" i="34"/>
  <c r="M177" i="34"/>
  <c r="N177" i="34"/>
  <c r="M178" i="34"/>
  <c r="N178" i="34"/>
  <c r="M179" i="34"/>
  <c r="N179" i="34"/>
  <c r="M180" i="34"/>
  <c r="N180" i="34"/>
  <c r="M181" i="34"/>
  <c r="N181" i="34"/>
  <c r="M182" i="34"/>
  <c r="N182" i="34"/>
  <c r="M183" i="34"/>
  <c r="N183" i="34"/>
  <c r="M184" i="34"/>
  <c r="N184" i="34"/>
  <c r="M185" i="34"/>
  <c r="N185" i="34"/>
  <c r="M186" i="34"/>
  <c r="N186" i="34"/>
  <c r="M187" i="34"/>
  <c r="N187" i="34"/>
  <c r="M188" i="34"/>
  <c r="N188" i="34"/>
  <c r="M189" i="34"/>
  <c r="N189" i="34"/>
  <c r="M190" i="34"/>
  <c r="N190" i="34"/>
  <c r="M191" i="34"/>
  <c r="N191" i="34"/>
  <c r="M192" i="34"/>
  <c r="N192" i="34"/>
  <c r="M193" i="34"/>
  <c r="N193" i="34"/>
  <c r="M194" i="34"/>
  <c r="N194" i="34"/>
  <c r="M195" i="34"/>
  <c r="N195" i="34"/>
  <c r="M196" i="34"/>
  <c r="N196" i="34"/>
  <c r="M197" i="34"/>
  <c r="N197" i="34"/>
  <c r="M198" i="34"/>
  <c r="N198" i="34"/>
  <c r="M199" i="34"/>
  <c r="N199" i="34"/>
  <c r="M200" i="34"/>
  <c r="N200" i="34"/>
  <c r="M201" i="34"/>
  <c r="N201" i="34"/>
  <c r="M202" i="34"/>
  <c r="N202" i="34"/>
  <c r="M203" i="34"/>
  <c r="N203" i="34"/>
  <c r="M204" i="34"/>
  <c r="N204" i="34"/>
  <c r="M205" i="34"/>
  <c r="N205" i="34"/>
  <c r="M206" i="34"/>
  <c r="N206" i="34"/>
  <c r="M207" i="34"/>
  <c r="N207" i="34"/>
  <c r="M208" i="34"/>
  <c r="N208" i="34"/>
  <c r="M209" i="34"/>
  <c r="N209" i="34"/>
  <c r="M210" i="34"/>
  <c r="N210" i="34"/>
  <c r="M211" i="34"/>
  <c r="N211" i="34"/>
  <c r="M212" i="34"/>
  <c r="N212" i="34"/>
  <c r="M213" i="34"/>
  <c r="N213" i="34"/>
  <c r="M214" i="34"/>
  <c r="N214" i="34"/>
  <c r="M215" i="34"/>
  <c r="N215" i="34"/>
  <c r="M216" i="34"/>
  <c r="N216" i="34"/>
  <c r="M217" i="34"/>
  <c r="N217" i="34"/>
  <c r="M218" i="34"/>
  <c r="N218" i="34"/>
  <c r="M219" i="34"/>
  <c r="N219" i="34"/>
  <c r="M220" i="34"/>
  <c r="N220" i="34"/>
  <c r="M221" i="34"/>
  <c r="N221" i="34"/>
  <c r="M222" i="34"/>
  <c r="N222" i="34"/>
  <c r="M223" i="34"/>
  <c r="N223" i="34"/>
  <c r="M224" i="34"/>
  <c r="N224" i="34"/>
  <c r="M225" i="34"/>
  <c r="N225" i="34"/>
  <c r="M226" i="34"/>
  <c r="N226" i="34"/>
  <c r="M227" i="34"/>
  <c r="N227" i="34"/>
  <c r="M228" i="34"/>
  <c r="N228" i="34"/>
  <c r="M229" i="34"/>
  <c r="N229" i="34"/>
  <c r="M230" i="34"/>
  <c r="N230" i="34"/>
  <c r="M231" i="34"/>
  <c r="N231" i="34"/>
  <c r="M232" i="34"/>
  <c r="N232" i="34"/>
  <c r="M233" i="34"/>
  <c r="N233" i="34"/>
  <c r="M234" i="34"/>
  <c r="N234" i="34"/>
  <c r="M235" i="34"/>
  <c r="N235" i="34"/>
  <c r="M236" i="34"/>
  <c r="N236" i="34"/>
  <c r="M237" i="34"/>
  <c r="N237" i="34"/>
  <c r="M238" i="34"/>
  <c r="N238" i="34"/>
  <c r="M239" i="34"/>
  <c r="N239" i="34"/>
  <c r="M240" i="34"/>
  <c r="N240" i="34"/>
  <c r="M241" i="34"/>
  <c r="N241" i="34"/>
  <c r="M242" i="34"/>
  <c r="N242" i="34"/>
  <c r="M243" i="34"/>
  <c r="N243" i="34"/>
  <c r="M244" i="34"/>
  <c r="N244" i="34"/>
  <c r="M245" i="34"/>
  <c r="N245" i="34"/>
  <c r="M246" i="34"/>
  <c r="N246" i="34"/>
  <c r="M247" i="34"/>
  <c r="N247" i="34"/>
  <c r="M248" i="34"/>
  <c r="N248" i="34"/>
  <c r="M249" i="34"/>
  <c r="N249" i="34"/>
  <c r="M250" i="34"/>
  <c r="N250" i="34"/>
  <c r="M251" i="34"/>
  <c r="N251" i="34"/>
  <c r="M252" i="34"/>
  <c r="N252" i="34"/>
  <c r="M253" i="34"/>
  <c r="N253" i="34"/>
  <c r="M254" i="34"/>
  <c r="N254" i="34"/>
  <c r="M255" i="34"/>
  <c r="N255" i="34"/>
  <c r="M256" i="34"/>
  <c r="N256" i="34"/>
  <c r="M257" i="34"/>
  <c r="N257" i="34"/>
  <c r="M258" i="34"/>
  <c r="N258" i="34"/>
  <c r="M259" i="34"/>
  <c r="N259" i="34"/>
  <c r="M260" i="34"/>
  <c r="N260" i="34"/>
  <c r="M261" i="34"/>
  <c r="N261" i="34"/>
  <c r="M262" i="34"/>
  <c r="N262" i="34"/>
  <c r="M263" i="34"/>
  <c r="N263" i="34"/>
  <c r="M264" i="34"/>
  <c r="N264" i="34"/>
  <c r="M265" i="34"/>
  <c r="N265" i="34"/>
  <c r="M266" i="34"/>
  <c r="N266" i="34"/>
  <c r="M267" i="34"/>
  <c r="N267" i="34"/>
  <c r="M268" i="34"/>
  <c r="N268" i="34"/>
  <c r="M269" i="34"/>
  <c r="N269" i="34"/>
  <c r="M270" i="34"/>
  <c r="N270" i="34"/>
  <c r="M271" i="34"/>
  <c r="N271" i="34"/>
  <c r="M272" i="34"/>
  <c r="N272" i="34"/>
  <c r="M273" i="34"/>
  <c r="N273" i="34"/>
  <c r="M274" i="34"/>
  <c r="N274" i="34"/>
  <c r="M275" i="34"/>
  <c r="N275" i="34"/>
  <c r="M276" i="34"/>
  <c r="N276" i="34"/>
  <c r="M277" i="34"/>
  <c r="N277" i="34"/>
  <c r="M278" i="34"/>
  <c r="N278" i="34"/>
  <c r="M279" i="34"/>
  <c r="N279" i="34"/>
  <c r="M280" i="34"/>
  <c r="N280" i="34"/>
  <c r="M281" i="34"/>
  <c r="N281" i="34"/>
  <c r="M282" i="34"/>
  <c r="N282" i="34"/>
  <c r="M283" i="34"/>
  <c r="N283" i="34"/>
  <c r="M284" i="34"/>
  <c r="N284" i="34"/>
  <c r="M285" i="34"/>
  <c r="N285" i="34"/>
  <c r="M286" i="34"/>
  <c r="N286" i="34"/>
  <c r="M287" i="34"/>
  <c r="N287" i="34"/>
  <c r="M288" i="34"/>
  <c r="N288" i="34"/>
  <c r="M289" i="34"/>
  <c r="N289" i="34"/>
  <c r="M290" i="34"/>
  <c r="N290" i="34"/>
  <c r="M291" i="34"/>
  <c r="N291" i="34"/>
  <c r="M292" i="34"/>
  <c r="N292" i="34"/>
  <c r="M293" i="34"/>
  <c r="N293" i="34"/>
  <c r="M294" i="34"/>
  <c r="N294" i="34"/>
  <c r="M295" i="34"/>
  <c r="N295" i="34"/>
  <c r="M296" i="34"/>
  <c r="N296" i="34"/>
  <c r="M297" i="34"/>
  <c r="N297" i="34"/>
  <c r="M298" i="34"/>
  <c r="N298" i="34"/>
  <c r="M299" i="34"/>
  <c r="N299" i="34"/>
  <c r="M300" i="34"/>
  <c r="N300" i="34"/>
  <c r="M301" i="34"/>
  <c r="N301" i="34"/>
  <c r="M302" i="34"/>
  <c r="N302" i="34"/>
  <c r="M303" i="34"/>
  <c r="N303" i="34"/>
  <c r="M304" i="34"/>
  <c r="N304" i="34"/>
  <c r="M305" i="34"/>
  <c r="N305" i="34"/>
  <c r="M306" i="34"/>
  <c r="N306" i="34"/>
  <c r="M307" i="34"/>
  <c r="N307" i="34"/>
  <c r="M308" i="34"/>
  <c r="N308" i="34"/>
  <c r="M309" i="34"/>
  <c r="N309" i="34"/>
  <c r="M310" i="34"/>
  <c r="N310" i="34"/>
  <c r="M311" i="34"/>
  <c r="N311" i="34"/>
  <c r="M312" i="34"/>
  <c r="N312" i="34"/>
  <c r="M313" i="34"/>
  <c r="N313" i="34"/>
  <c r="M314" i="34"/>
  <c r="N314" i="34"/>
  <c r="M315" i="34"/>
  <c r="N315" i="34"/>
  <c r="N6" i="34"/>
  <c r="M6" i="34"/>
  <c r="L7" i="34"/>
  <c r="L8" i="34"/>
  <c r="L9" i="34"/>
  <c r="L10" i="34"/>
  <c r="L11" i="34"/>
  <c r="L12" i="34"/>
  <c r="L13" i="34"/>
  <c r="L14" i="34"/>
  <c r="L15" i="34"/>
  <c r="L16" i="34"/>
  <c r="L17" i="34"/>
  <c r="L18" i="34"/>
  <c r="L19" i="34"/>
  <c r="L20" i="34"/>
  <c r="L21" i="34"/>
  <c r="L22" i="34"/>
  <c r="L23" i="34"/>
  <c r="L24" i="34"/>
  <c r="L25" i="34"/>
  <c r="L26" i="34"/>
  <c r="L27" i="34"/>
  <c r="L28" i="34"/>
  <c r="L29" i="34"/>
  <c r="L30" i="34"/>
  <c r="L31" i="34"/>
  <c r="L32" i="34"/>
  <c r="L33" i="34"/>
  <c r="L34" i="34"/>
  <c r="L35" i="34"/>
  <c r="L36" i="34"/>
  <c r="L37" i="34"/>
  <c r="L38" i="34"/>
  <c r="L39" i="34"/>
  <c r="L40" i="34"/>
  <c r="L41" i="34"/>
  <c r="L42" i="34"/>
  <c r="L43" i="34"/>
  <c r="L44" i="34"/>
  <c r="L45" i="34"/>
  <c r="L46" i="34"/>
  <c r="L47" i="34"/>
  <c r="L48" i="34"/>
  <c r="L49" i="34"/>
  <c r="L50" i="34"/>
  <c r="L51" i="34"/>
  <c r="L52" i="34"/>
  <c r="L53" i="34"/>
  <c r="L54" i="34"/>
  <c r="L55" i="34"/>
  <c r="L56" i="34"/>
  <c r="L57" i="34"/>
  <c r="L58" i="34"/>
  <c r="L59" i="34"/>
  <c r="L60" i="34"/>
  <c r="L61" i="34"/>
  <c r="L62" i="34"/>
  <c r="L63" i="34"/>
  <c r="L64" i="34"/>
  <c r="L65" i="34"/>
  <c r="L66" i="34"/>
  <c r="L67" i="34"/>
  <c r="L68" i="34"/>
  <c r="L69" i="34"/>
  <c r="L70" i="34"/>
  <c r="L71" i="34"/>
  <c r="L72" i="34"/>
  <c r="L73" i="34"/>
  <c r="L74" i="34"/>
  <c r="L75" i="34"/>
  <c r="L76" i="34"/>
  <c r="L77" i="34"/>
  <c r="L78" i="34"/>
  <c r="L79" i="34"/>
  <c r="L80" i="34"/>
  <c r="L81" i="34"/>
  <c r="L82" i="34"/>
  <c r="L83" i="34"/>
  <c r="L84" i="34"/>
  <c r="L85" i="34"/>
  <c r="L86" i="34"/>
  <c r="L87" i="34"/>
  <c r="L88" i="34"/>
  <c r="L89" i="34"/>
  <c r="L90" i="34"/>
  <c r="L91" i="34"/>
  <c r="L92" i="34"/>
  <c r="L93" i="34"/>
  <c r="L94" i="34"/>
  <c r="L95" i="34"/>
  <c r="L96" i="34"/>
  <c r="L97" i="34"/>
  <c r="L98" i="34"/>
  <c r="L99" i="34"/>
  <c r="L100" i="34"/>
  <c r="L101" i="34"/>
  <c r="L102" i="34"/>
  <c r="L103" i="34"/>
  <c r="L104" i="34"/>
  <c r="L105" i="34"/>
  <c r="L106" i="34"/>
  <c r="L107" i="34"/>
  <c r="L108" i="34"/>
  <c r="L109" i="34"/>
  <c r="L110" i="34"/>
  <c r="L111" i="34"/>
  <c r="L112" i="34"/>
  <c r="L113" i="34"/>
  <c r="L114" i="34"/>
  <c r="L115" i="34"/>
  <c r="L116" i="34"/>
  <c r="L117" i="34"/>
  <c r="L118" i="34"/>
  <c r="L119" i="34"/>
  <c r="L120" i="34"/>
  <c r="L121" i="34"/>
  <c r="L122" i="34"/>
  <c r="L123" i="34"/>
  <c r="L124" i="34"/>
  <c r="L125" i="34"/>
  <c r="L126" i="34"/>
  <c r="L127" i="34"/>
  <c r="L128" i="34"/>
  <c r="L129" i="34"/>
  <c r="L130" i="34"/>
  <c r="L131" i="34"/>
  <c r="L132" i="34"/>
  <c r="L133" i="34"/>
  <c r="L134" i="34"/>
  <c r="L135" i="34"/>
  <c r="L136" i="34"/>
  <c r="L137" i="34"/>
  <c r="L138" i="34"/>
  <c r="L139" i="34"/>
  <c r="L140" i="34"/>
  <c r="L141" i="34"/>
  <c r="L142" i="34"/>
  <c r="L143" i="34"/>
  <c r="L144" i="34"/>
  <c r="L145" i="34"/>
  <c r="L146" i="34"/>
  <c r="L147" i="34"/>
  <c r="L148" i="34"/>
  <c r="L149" i="34"/>
  <c r="L150" i="34"/>
  <c r="L151" i="34"/>
  <c r="L152" i="34"/>
  <c r="L153" i="34"/>
  <c r="L154" i="34"/>
  <c r="L155" i="34"/>
  <c r="L156" i="34"/>
  <c r="L157" i="34"/>
  <c r="L158" i="34"/>
  <c r="L159" i="34"/>
  <c r="L160" i="34"/>
  <c r="L161" i="34"/>
  <c r="L162" i="34"/>
  <c r="L163" i="34"/>
  <c r="L164" i="34"/>
  <c r="L165" i="34"/>
  <c r="L166" i="34"/>
  <c r="L167" i="34"/>
  <c r="L168" i="34"/>
  <c r="L169" i="34"/>
  <c r="L170" i="34"/>
  <c r="L171" i="34"/>
  <c r="L172" i="34"/>
  <c r="L173" i="34"/>
  <c r="L174" i="34"/>
  <c r="L175" i="34"/>
  <c r="L176" i="34"/>
  <c r="L177" i="34"/>
  <c r="L178" i="34"/>
  <c r="L179" i="34"/>
  <c r="L180" i="34"/>
  <c r="L181" i="34"/>
  <c r="L182" i="34"/>
  <c r="L183" i="34"/>
  <c r="L184" i="34"/>
  <c r="L185" i="34"/>
  <c r="L186" i="34"/>
  <c r="L187" i="34"/>
  <c r="L188" i="34"/>
  <c r="L189" i="34"/>
  <c r="L190" i="34"/>
  <c r="L191" i="34"/>
  <c r="L192" i="34"/>
  <c r="L193" i="34"/>
  <c r="L194" i="34"/>
  <c r="L195" i="34"/>
  <c r="L196" i="34"/>
  <c r="L197" i="34"/>
  <c r="L198" i="34"/>
  <c r="L199" i="34"/>
  <c r="L200" i="34"/>
  <c r="L201" i="34"/>
  <c r="L202" i="34"/>
  <c r="L203" i="34"/>
  <c r="L204" i="34"/>
  <c r="L205" i="34"/>
  <c r="L206" i="34"/>
  <c r="L207" i="34"/>
  <c r="L208" i="34"/>
  <c r="L209" i="34"/>
  <c r="L210" i="34"/>
  <c r="L211" i="34"/>
  <c r="L212" i="34"/>
  <c r="L213" i="34"/>
  <c r="L214" i="34"/>
  <c r="L215" i="34"/>
  <c r="L216" i="34"/>
  <c r="L217" i="34"/>
  <c r="L218" i="34"/>
  <c r="L219" i="34"/>
  <c r="L220" i="34"/>
  <c r="L221" i="34"/>
  <c r="L222" i="34"/>
  <c r="L223" i="34"/>
  <c r="L224" i="34"/>
  <c r="L225" i="34"/>
  <c r="L226" i="34"/>
  <c r="L227" i="34"/>
  <c r="L228" i="34"/>
  <c r="L229" i="34"/>
  <c r="L230" i="34"/>
  <c r="L231" i="34"/>
  <c r="L232" i="34"/>
  <c r="L233" i="34"/>
  <c r="L234" i="34"/>
  <c r="L235" i="34"/>
  <c r="L236" i="34"/>
  <c r="L237" i="34"/>
  <c r="L238" i="34"/>
  <c r="L239" i="34"/>
  <c r="L240" i="34"/>
  <c r="L241" i="34"/>
  <c r="L242" i="34"/>
  <c r="L243" i="34"/>
  <c r="L244" i="34"/>
  <c r="L245" i="34"/>
  <c r="L246" i="34"/>
  <c r="L247" i="34"/>
  <c r="L248" i="34"/>
  <c r="L249" i="34"/>
  <c r="L250" i="34"/>
  <c r="L251" i="34"/>
  <c r="L252" i="34"/>
  <c r="L253" i="34"/>
  <c r="L254" i="34"/>
  <c r="L255" i="34"/>
  <c r="L256" i="34"/>
  <c r="L257" i="34"/>
  <c r="L258" i="34"/>
  <c r="L259" i="34"/>
  <c r="L260" i="34"/>
  <c r="L261" i="34"/>
  <c r="L262" i="34"/>
  <c r="L263" i="34"/>
  <c r="L264" i="34"/>
  <c r="L265" i="34"/>
  <c r="L266" i="34"/>
  <c r="L267" i="34"/>
  <c r="L268" i="34"/>
  <c r="L269" i="34"/>
  <c r="L270" i="34"/>
  <c r="L271" i="34"/>
  <c r="L272" i="34"/>
  <c r="L273" i="34"/>
  <c r="L274" i="34"/>
  <c r="L275" i="34"/>
  <c r="L276" i="34"/>
  <c r="L277" i="34"/>
  <c r="L278" i="34"/>
  <c r="L279" i="34"/>
  <c r="L280" i="34"/>
  <c r="L281" i="34"/>
  <c r="L282" i="34"/>
  <c r="L283" i="34"/>
  <c r="L284" i="34"/>
  <c r="L285" i="34"/>
  <c r="L286" i="34"/>
  <c r="L287" i="34"/>
  <c r="L288" i="34"/>
  <c r="L289" i="34"/>
  <c r="L290" i="34"/>
  <c r="L291" i="34"/>
  <c r="L292" i="34"/>
  <c r="L293" i="34"/>
  <c r="L294" i="34"/>
  <c r="L295" i="34"/>
  <c r="L296" i="34"/>
  <c r="L297" i="34"/>
  <c r="L298" i="34"/>
  <c r="L299" i="34"/>
  <c r="L300" i="34"/>
  <c r="L301" i="34"/>
  <c r="L302" i="34"/>
  <c r="L303" i="34"/>
  <c r="L304" i="34"/>
  <c r="L305" i="34"/>
  <c r="L306" i="34"/>
  <c r="L307" i="34"/>
  <c r="L308" i="34"/>
  <c r="L309" i="34"/>
  <c r="L310" i="34"/>
  <c r="L311" i="34"/>
  <c r="L312" i="34"/>
  <c r="L313" i="34"/>
  <c r="L314" i="34"/>
  <c r="L315" i="34"/>
  <c r="L316" i="34"/>
  <c r="L317" i="34"/>
  <c r="L318" i="34"/>
  <c r="L319" i="34"/>
  <c r="L320" i="34"/>
  <c r="L321" i="34"/>
  <c r="L322" i="34"/>
  <c r="L323" i="34"/>
  <c r="L324" i="34"/>
  <c r="L325" i="34"/>
  <c r="L326" i="34"/>
  <c r="L327" i="34"/>
  <c r="L328" i="34"/>
  <c r="L329" i="34"/>
  <c r="L330" i="34"/>
  <c r="L331" i="34"/>
  <c r="L332" i="34"/>
  <c r="L333" i="34"/>
  <c r="L334" i="34"/>
  <c r="L335" i="34"/>
  <c r="L336" i="34"/>
  <c r="L337" i="34"/>
  <c r="L338" i="34"/>
  <c r="L339" i="34"/>
  <c r="L340" i="34"/>
  <c r="L341" i="34"/>
  <c r="L342" i="34"/>
  <c r="L343" i="34"/>
  <c r="L344" i="34"/>
  <c r="L345" i="34"/>
  <c r="L346" i="34"/>
  <c r="L347" i="34"/>
  <c r="L348" i="34"/>
  <c r="L349" i="34"/>
  <c r="L350" i="34"/>
  <c r="L351" i="34"/>
  <c r="L352" i="34"/>
  <c r="L353" i="34"/>
  <c r="L354" i="34"/>
  <c r="L355" i="34"/>
  <c r="L356" i="34"/>
  <c r="L357" i="34"/>
  <c r="L358" i="34"/>
  <c r="L359" i="34"/>
  <c r="L360" i="34"/>
  <c r="L361" i="34"/>
  <c r="L362" i="34"/>
  <c r="L363" i="34"/>
  <c r="L364" i="34"/>
  <c r="L365" i="34"/>
  <c r="L366" i="34"/>
  <c r="L367" i="34"/>
  <c r="L368" i="34"/>
  <c r="L369" i="34"/>
  <c r="L370" i="34"/>
  <c r="L371" i="34"/>
  <c r="L372" i="34"/>
  <c r="L373" i="34"/>
  <c r="L374" i="34"/>
  <c r="L375" i="34"/>
  <c r="L376" i="34"/>
  <c r="L377" i="34"/>
  <c r="L378" i="34"/>
  <c r="L379" i="34"/>
  <c r="L380" i="34"/>
  <c r="L381" i="34"/>
  <c r="L382" i="34"/>
  <c r="L383" i="34"/>
  <c r="L384" i="34"/>
  <c r="L385" i="34"/>
  <c r="L386" i="34"/>
  <c r="L387" i="34"/>
  <c r="L388" i="34"/>
  <c r="L389" i="34"/>
  <c r="L390" i="34"/>
  <c r="L391" i="34"/>
  <c r="L392" i="34"/>
  <c r="L393" i="34"/>
  <c r="L394" i="34"/>
  <c r="L395" i="34"/>
  <c r="L396" i="34"/>
  <c r="L397" i="34"/>
  <c r="L398" i="34"/>
  <c r="L399" i="34"/>
  <c r="L400" i="34"/>
  <c r="L401" i="34"/>
  <c r="L402" i="34"/>
  <c r="L403" i="34"/>
  <c r="L404" i="34"/>
  <c r="L405" i="34"/>
  <c r="L406" i="34"/>
  <c r="L407" i="34"/>
  <c r="L408" i="34"/>
  <c r="L409" i="34"/>
  <c r="L410" i="34"/>
  <c r="L411" i="34"/>
  <c r="L412" i="34"/>
  <c r="L413" i="34"/>
  <c r="L414" i="34"/>
  <c r="L415" i="34"/>
  <c r="L416" i="34"/>
  <c r="L417" i="34"/>
  <c r="L418" i="34"/>
  <c r="L419" i="34"/>
  <c r="L420" i="34"/>
  <c r="L421" i="34"/>
  <c r="L422" i="34"/>
  <c r="L423" i="34"/>
  <c r="L424" i="34"/>
  <c r="L425" i="34"/>
  <c r="L426" i="34"/>
  <c r="L427" i="34"/>
  <c r="L428" i="34"/>
  <c r="L429" i="34"/>
  <c r="L430" i="34"/>
  <c r="L431" i="34"/>
  <c r="L432" i="34"/>
  <c r="L433" i="34"/>
  <c r="L434" i="34"/>
  <c r="L435" i="34"/>
  <c r="L436" i="34"/>
  <c r="L437" i="34"/>
  <c r="L438" i="34"/>
  <c r="L439" i="34"/>
  <c r="L440" i="34"/>
  <c r="L441" i="34"/>
  <c r="L442" i="34"/>
  <c r="L443" i="34"/>
  <c r="L444" i="34"/>
  <c r="L445" i="34"/>
  <c r="L446" i="34"/>
  <c r="L447" i="34"/>
  <c r="L448" i="34"/>
  <c r="L449" i="34"/>
  <c r="L450" i="34"/>
  <c r="L451" i="34"/>
  <c r="L452" i="34"/>
  <c r="L453" i="34"/>
  <c r="L454" i="34"/>
  <c r="L455" i="34"/>
  <c r="L456" i="34"/>
  <c r="L457" i="34"/>
  <c r="L458" i="34"/>
  <c r="L459" i="34"/>
  <c r="L460" i="34"/>
  <c r="L461" i="34"/>
  <c r="L462" i="34"/>
  <c r="L463" i="34"/>
  <c r="L464" i="34"/>
  <c r="L465" i="34"/>
  <c r="L466" i="34"/>
  <c r="L467" i="34"/>
  <c r="L468" i="34"/>
  <c r="L469" i="34"/>
  <c r="L470" i="34"/>
  <c r="L471" i="34"/>
  <c r="L472" i="34"/>
  <c r="L473" i="34"/>
  <c r="L474" i="34"/>
  <c r="L475" i="34"/>
  <c r="L476" i="34"/>
  <c r="L477" i="34"/>
  <c r="L478" i="34"/>
  <c r="L479" i="34"/>
  <c r="L480" i="34"/>
  <c r="L481" i="34"/>
  <c r="L482" i="34"/>
  <c r="L483" i="34"/>
  <c r="L484" i="34"/>
  <c r="L485" i="34"/>
  <c r="L486" i="34"/>
  <c r="L487" i="34"/>
  <c r="L488" i="34"/>
  <c r="L489" i="34"/>
  <c r="L490" i="34"/>
  <c r="L491" i="34"/>
  <c r="L492" i="34"/>
  <c r="L493" i="34"/>
  <c r="L494" i="34"/>
  <c r="L495" i="34"/>
  <c r="L496" i="34"/>
  <c r="L497" i="34"/>
  <c r="L498" i="34"/>
  <c r="L499" i="34"/>
  <c r="L500" i="34"/>
  <c r="L501" i="34"/>
  <c r="L502" i="34"/>
  <c r="L503" i="34"/>
  <c r="L504" i="34"/>
  <c r="L505" i="34"/>
  <c r="L506" i="34"/>
  <c r="L507" i="34"/>
  <c r="L508" i="34"/>
  <c r="L509" i="34"/>
  <c r="L510" i="34"/>
  <c r="L511" i="34"/>
  <c r="L512" i="34"/>
  <c r="L513" i="34"/>
  <c r="L514" i="34"/>
  <c r="L515" i="34"/>
  <c r="L516" i="34"/>
  <c r="L517" i="34"/>
  <c r="L518" i="34"/>
  <c r="L519" i="34"/>
  <c r="L520" i="34"/>
  <c r="L521" i="34"/>
  <c r="L522" i="34"/>
  <c r="L523" i="34"/>
  <c r="L524" i="34"/>
  <c r="L525" i="34"/>
  <c r="L526" i="34"/>
  <c r="L527" i="34"/>
  <c r="L528" i="34"/>
  <c r="L529" i="34"/>
  <c r="L530" i="34"/>
  <c r="L531" i="34"/>
  <c r="L532" i="34"/>
  <c r="L533" i="34"/>
  <c r="L534" i="34"/>
  <c r="L535" i="34"/>
  <c r="L536" i="34"/>
  <c r="L537" i="34"/>
  <c r="L538" i="34"/>
  <c r="L539" i="34"/>
  <c r="L540" i="34"/>
  <c r="L541" i="34"/>
  <c r="L542" i="34"/>
  <c r="L543" i="34"/>
  <c r="L544" i="34"/>
  <c r="L545" i="34"/>
  <c r="L546" i="34"/>
  <c r="L547" i="34"/>
  <c r="L548" i="34"/>
  <c r="L549" i="34"/>
  <c r="L550" i="34"/>
  <c r="L551" i="34"/>
  <c r="L552" i="34"/>
  <c r="L553" i="34"/>
  <c r="L554" i="34"/>
  <c r="L555" i="34"/>
  <c r="L556" i="34"/>
  <c r="L557" i="34"/>
  <c r="L558" i="34"/>
  <c r="L559" i="34"/>
  <c r="L560" i="34"/>
  <c r="L561" i="34"/>
  <c r="L562" i="34"/>
  <c r="L563" i="34"/>
  <c r="L564" i="34"/>
  <c r="L565" i="34"/>
  <c r="L566" i="34"/>
  <c r="L567" i="34"/>
  <c r="L568" i="34"/>
  <c r="L569" i="34"/>
  <c r="L570" i="34"/>
  <c r="L571" i="34"/>
  <c r="L572" i="34"/>
  <c r="L573" i="34"/>
  <c r="L574" i="34"/>
  <c r="L575" i="34"/>
  <c r="L576" i="34"/>
  <c r="L577" i="34"/>
  <c r="L578" i="34"/>
  <c r="L579" i="34"/>
  <c r="L580" i="34"/>
  <c r="L581" i="34"/>
  <c r="L582" i="34"/>
  <c r="L583" i="34"/>
  <c r="L584" i="34"/>
  <c r="L585" i="34"/>
  <c r="L586" i="34"/>
  <c r="L587" i="34"/>
  <c r="L588" i="34"/>
  <c r="L589" i="34"/>
  <c r="L590" i="34"/>
  <c r="L591" i="34"/>
  <c r="L592" i="34"/>
  <c r="L593" i="34"/>
  <c r="L594" i="34"/>
  <c r="L595" i="34"/>
  <c r="L596" i="34"/>
  <c r="L597" i="34"/>
  <c r="L598" i="34"/>
  <c r="L599" i="34"/>
  <c r="L600" i="34"/>
  <c r="L601" i="34"/>
  <c r="L602" i="34"/>
  <c r="L603" i="34"/>
  <c r="L604" i="34"/>
  <c r="L605" i="34"/>
  <c r="L606" i="34"/>
  <c r="L607" i="34"/>
  <c r="L608" i="34"/>
  <c r="L609" i="34"/>
  <c r="L610" i="34"/>
  <c r="L611" i="34"/>
  <c r="L612" i="34"/>
  <c r="L613" i="34"/>
  <c r="L614" i="34"/>
  <c r="L615" i="34"/>
  <c r="L616" i="34"/>
  <c r="L617" i="34"/>
  <c r="L618" i="34"/>
  <c r="L619" i="34"/>
  <c r="L620" i="34"/>
  <c r="L621" i="34"/>
  <c r="L622" i="34"/>
  <c r="L623" i="34"/>
  <c r="L624" i="34"/>
  <c r="L625" i="34"/>
  <c r="L626" i="34"/>
  <c r="L627" i="34"/>
  <c r="L628" i="34"/>
  <c r="L629" i="34"/>
  <c r="L630" i="34"/>
  <c r="L631" i="34"/>
  <c r="L632" i="34"/>
  <c r="L633" i="34"/>
  <c r="L634" i="34"/>
  <c r="L635" i="34"/>
  <c r="L636" i="34"/>
  <c r="L637" i="34"/>
  <c r="L638" i="34"/>
  <c r="L639" i="34"/>
  <c r="L640" i="34"/>
  <c r="L641" i="34"/>
  <c r="L642" i="34"/>
  <c r="L643" i="34"/>
  <c r="L644" i="34"/>
  <c r="L645" i="34"/>
  <c r="L646" i="34"/>
  <c r="L647" i="34"/>
  <c r="L648" i="34"/>
  <c r="L649" i="34"/>
  <c r="L650" i="34"/>
  <c r="L651" i="34"/>
  <c r="L652" i="34"/>
  <c r="L653" i="34"/>
  <c r="L654" i="34"/>
  <c r="L655" i="34"/>
  <c r="L656" i="34"/>
  <c r="L657" i="34"/>
  <c r="L658" i="34"/>
  <c r="L659" i="34"/>
  <c r="L660" i="34"/>
  <c r="L661" i="34"/>
  <c r="L662" i="34"/>
  <c r="L663" i="34"/>
  <c r="L664" i="34"/>
  <c r="L665" i="34"/>
  <c r="L666" i="34"/>
  <c r="L667" i="34"/>
  <c r="L668" i="34"/>
  <c r="L669" i="34"/>
  <c r="L670" i="34"/>
  <c r="L671" i="34"/>
  <c r="L672" i="34"/>
  <c r="L673" i="34"/>
  <c r="L674" i="34"/>
  <c r="L675" i="34"/>
  <c r="L676" i="34"/>
  <c r="L677" i="34"/>
  <c r="L678" i="34"/>
  <c r="L679" i="34"/>
  <c r="L680" i="34"/>
  <c r="L681" i="34"/>
  <c r="L682" i="34"/>
  <c r="L683" i="34"/>
  <c r="L684" i="34"/>
  <c r="L685" i="34"/>
  <c r="L686" i="34"/>
  <c r="L687" i="34"/>
  <c r="L688" i="34"/>
  <c r="L689" i="34"/>
  <c r="L690" i="34"/>
  <c r="L691" i="34"/>
  <c r="L692" i="34"/>
  <c r="L693" i="34"/>
  <c r="L694" i="34"/>
  <c r="L695" i="34"/>
  <c r="L696" i="34"/>
  <c r="L697" i="34"/>
  <c r="L698" i="34"/>
  <c r="L699" i="34"/>
  <c r="L700" i="34"/>
  <c r="L701" i="34"/>
  <c r="L702" i="34"/>
  <c r="L703" i="34"/>
  <c r="L704" i="34"/>
  <c r="L705" i="34"/>
  <c r="L706" i="34"/>
  <c r="L707" i="34"/>
  <c r="L708" i="34"/>
  <c r="L709" i="34"/>
  <c r="L710" i="34"/>
  <c r="L711" i="34"/>
  <c r="L712" i="34"/>
  <c r="L713" i="34"/>
  <c r="L714" i="34"/>
  <c r="L715" i="34"/>
  <c r="L716" i="34"/>
  <c r="L717" i="34"/>
  <c r="L718" i="34"/>
  <c r="L719" i="34"/>
  <c r="L720" i="34"/>
  <c r="L721" i="34"/>
  <c r="L722" i="34"/>
  <c r="L723" i="34"/>
  <c r="L724" i="34"/>
  <c r="L725" i="34"/>
  <c r="L726" i="34"/>
  <c r="L727" i="34"/>
  <c r="L728" i="34"/>
  <c r="L729" i="34"/>
  <c r="L730" i="34"/>
  <c r="L731" i="34"/>
  <c r="L732" i="34"/>
  <c r="L733" i="34"/>
  <c r="L734" i="34"/>
  <c r="L735" i="34"/>
  <c r="L736" i="34"/>
  <c r="L737" i="34"/>
  <c r="L738" i="34"/>
  <c r="L739" i="34"/>
  <c r="L740" i="34"/>
  <c r="L741" i="34"/>
  <c r="L742" i="34"/>
  <c r="L743" i="34"/>
  <c r="L744" i="34"/>
  <c r="L745" i="34"/>
  <c r="L746" i="34"/>
  <c r="L747" i="34"/>
  <c r="L748" i="34"/>
  <c r="L749" i="34"/>
  <c r="L750" i="34"/>
  <c r="L751" i="34"/>
  <c r="L752" i="34"/>
  <c r="L753" i="34"/>
  <c r="L754" i="34"/>
  <c r="L755" i="34"/>
  <c r="L756" i="34"/>
  <c r="L757" i="34"/>
  <c r="L758" i="34"/>
  <c r="L759" i="34"/>
  <c r="L760" i="34"/>
  <c r="L761" i="34"/>
  <c r="L762" i="34"/>
  <c r="L763" i="34"/>
  <c r="L764" i="34"/>
  <c r="L765" i="34"/>
  <c r="L766" i="34"/>
  <c r="L767" i="34"/>
  <c r="L768" i="34"/>
  <c r="L769" i="34"/>
  <c r="L770" i="34"/>
  <c r="L771" i="34"/>
  <c r="L772" i="34"/>
  <c r="L773" i="34"/>
  <c r="L774" i="34"/>
  <c r="L775" i="34"/>
  <c r="L776" i="34"/>
  <c r="L777" i="34"/>
  <c r="L778" i="34"/>
  <c r="L779" i="34"/>
  <c r="L780" i="34"/>
  <c r="L781" i="34"/>
  <c r="L782" i="34"/>
  <c r="L783" i="34"/>
  <c r="L784" i="34"/>
  <c r="L785" i="34"/>
  <c r="L786" i="34"/>
  <c r="L787" i="34"/>
  <c r="L788" i="34"/>
  <c r="L789" i="34"/>
  <c r="L790" i="34"/>
  <c r="L791" i="34"/>
  <c r="L792" i="34"/>
  <c r="L793" i="34"/>
  <c r="L794" i="34"/>
  <c r="L795" i="34"/>
  <c r="L796" i="34"/>
  <c r="L797" i="34"/>
  <c r="L798" i="34"/>
  <c r="L799" i="34"/>
  <c r="L800" i="34"/>
  <c r="L801" i="34"/>
  <c r="L802" i="34"/>
  <c r="L803" i="34"/>
  <c r="L804" i="34"/>
  <c r="L805" i="34"/>
  <c r="L806" i="34"/>
  <c r="L807" i="34"/>
  <c r="L808" i="34"/>
  <c r="L809" i="34"/>
  <c r="L810" i="34"/>
  <c r="L811" i="34"/>
  <c r="L812" i="34"/>
  <c r="L813" i="34"/>
  <c r="L814" i="34"/>
  <c r="L815" i="34"/>
  <c r="L816" i="34"/>
  <c r="L817" i="34"/>
  <c r="L818" i="34"/>
  <c r="L819" i="34"/>
  <c r="L820" i="34"/>
  <c r="L821" i="34"/>
  <c r="L822" i="34"/>
  <c r="L823" i="34"/>
  <c r="L824" i="34"/>
  <c r="L825" i="34"/>
  <c r="L826" i="34"/>
  <c r="L827" i="34"/>
  <c r="L828" i="34"/>
  <c r="L829" i="34"/>
  <c r="L830" i="34"/>
  <c r="L831" i="34"/>
  <c r="L832" i="34"/>
  <c r="L833" i="34"/>
  <c r="L834" i="34"/>
  <c r="L835" i="34"/>
  <c r="L836" i="34"/>
  <c r="L837" i="34"/>
  <c r="L838" i="34"/>
  <c r="L839" i="34"/>
  <c r="L840" i="34"/>
  <c r="L841" i="34"/>
  <c r="L842" i="34"/>
  <c r="L843" i="34"/>
  <c r="L844" i="34"/>
  <c r="L845" i="34"/>
  <c r="L846" i="34"/>
  <c r="L847" i="34"/>
  <c r="L848" i="34"/>
  <c r="L849" i="34"/>
  <c r="L850" i="34"/>
  <c r="L851" i="34"/>
  <c r="L852" i="34"/>
  <c r="L853" i="34"/>
  <c r="L854" i="34"/>
  <c r="L855" i="34"/>
  <c r="L856" i="34"/>
  <c r="L857" i="34"/>
  <c r="L858" i="34"/>
  <c r="L859" i="34"/>
  <c r="L860" i="34"/>
  <c r="L861" i="34"/>
  <c r="L862" i="34"/>
  <c r="L863" i="34"/>
  <c r="L864" i="34"/>
  <c r="L865" i="34"/>
  <c r="L866" i="34"/>
  <c r="L867" i="34"/>
  <c r="L868" i="34"/>
  <c r="L869" i="34"/>
  <c r="L870" i="34"/>
  <c r="L871" i="34"/>
  <c r="L872" i="34"/>
  <c r="L873" i="34"/>
  <c r="L874" i="34"/>
  <c r="L875" i="34"/>
  <c r="L876" i="34"/>
  <c r="L877" i="34"/>
  <c r="L878" i="34"/>
  <c r="L879" i="34"/>
  <c r="L880" i="34"/>
  <c r="L881" i="34"/>
  <c r="L882" i="34"/>
  <c r="L883" i="34"/>
  <c r="L884" i="34"/>
  <c r="L885" i="34"/>
  <c r="L886" i="34"/>
  <c r="L887" i="34"/>
  <c r="L888" i="34"/>
  <c r="L889" i="34"/>
  <c r="L890" i="34"/>
  <c r="L891" i="34"/>
  <c r="L892" i="34"/>
  <c r="L893" i="34"/>
  <c r="L894" i="34"/>
  <c r="L895" i="34"/>
  <c r="L896" i="34"/>
  <c r="L897" i="34"/>
  <c r="L898" i="34"/>
  <c r="L899" i="34"/>
  <c r="L900" i="34"/>
  <c r="L901" i="34"/>
  <c r="L902" i="34"/>
  <c r="L903" i="34"/>
  <c r="L904" i="34"/>
  <c r="L905" i="34"/>
  <c r="L906" i="34"/>
  <c r="L907" i="34"/>
  <c r="L908" i="34"/>
  <c r="L909" i="34"/>
  <c r="L910" i="34"/>
  <c r="L911" i="34"/>
  <c r="L912" i="34"/>
  <c r="L913" i="34"/>
  <c r="L914" i="34"/>
  <c r="L915" i="34"/>
  <c r="L916" i="34"/>
  <c r="L917" i="34"/>
  <c r="L918" i="34"/>
  <c r="L919" i="34"/>
  <c r="L920" i="34"/>
  <c r="L921" i="34"/>
  <c r="L922" i="34"/>
  <c r="L923" i="34"/>
  <c r="L924" i="34"/>
  <c r="L925" i="34"/>
  <c r="L926" i="34"/>
  <c r="L927" i="34"/>
  <c r="L928" i="34"/>
  <c r="L929" i="34"/>
  <c r="L930" i="34"/>
  <c r="L931" i="34"/>
  <c r="L932" i="34"/>
  <c r="L933" i="34"/>
  <c r="L934" i="34"/>
  <c r="L935" i="34"/>
  <c r="L936" i="34"/>
  <c r="L937" i="34"/>
  <c r="L938" i="34"/>
  <c r="L939" i="34"/>
  <c r="L940" i="34"/>
  <c r="L941" i="34"/>
  <c r="L942" i="34"/>
  <c r="L943" i="34"/>
  <c r="L944" i="34"/>
  <c r="L945" i="34"/>
  <c r="L946" i="34"/>
  <c r="L947" i="34"/>
  <c r="L948" i="34"/>
  <c r="L949" i="34"/>
  <c r="L950" i="34"/>
  <c r="L951" i="34"/>
  <c r="L952" i="34"/>
  <c r="L953" i="34"/>
  <c r="L954" i="34"/>
  <c r="L955" i="34"/>
  <c r="L956" i="34"/>
  <c r="L957" i="34"/>
  <c r="L958" i="34"/>
  <c r="L959" i="34"/>
  <c r="L960" i="34"/>
  <c r="L961" i="34"/>
  <c r="L962" i="34"/>
  <c r="L963" i="34"/>
  <c r="L964" i="34"/>
  <c r="L965" i="34"/>
  <c r="L966" i="34"/>
  <c r="L967" i="34"/>
  <c r="L968" i="34"/>
  <c r="L969" i="34"/>
  <c r="L970" i="34"/>
  <c r="L971" i="34"/>
  <c r="L972" i="34"/>
  <c r="L973" i="34"/>
  <c r="L974" i="34"/>
  <c r="L975" i="34"/>
  <c r="L976" i="34"/>
  <c r="L977" i="34"/>
  <c r="L978" i="34"/>
  <c r="L979" i="34"/>
  <c r="L980" i="34"/>
  <c r="L981" i="34"/>
  <c r="L982" i="34"/>
  <c r="L983" i="34"/>
  <c r="L984" i="34"/>
  <c r="L985" i="34"/>
  <c r="L986" i="34"/>
  <c r="L987" i="34"/>
  <c r="L988" i="34"/>
  <c r="L989" i="34"/>
  <c r="L990" i="34"/>
  <c r="L991" i="34"/>
  <c r="L992" i="34"/>
  <c r="L993" i="34"/>
  <c r="L994" i="34"/>
  <c r="L995" i="34"/>
  <c r="L996" i="34"/>
  <c r="L997" i="34"/>
  <c r="L998" i="34"/>
  <c r="L999" i="34"/>
  <c r="L1000" i="34"/>
  <c r="L1001" i="34"/>
  <c r="L1002" i="34"/>
  <c r="L1003" i="34"/>
  <c r="L1004" i="34"/>
  <c r="L6" i="34"/>
  <c r="J862" i="34"/>
  <c r="J863" i="34"/>
  <c r="R863" i="34" s="1"/>
  <c r="D863" i="34"/>
  <c r="E863" i="34"/>
  <c r="V12" i="35" l="1"/>
  <c r="W12" i="35"/>
  <c r="Y12" i="35" l="1"/>
  <c r="X12" i="35"/>
  <c r="Q593" i="34"/>
  <c r="Q591" i="34"/>
  <c r="Q592" i="34"/>
  <c r="J590" i="34"/>
  <c r="J591" i="34"/>
  <c r="J592" i="34"/>
  <c r="R592" i="34" s="1"/>
  <c r="J593" i="34"/>
  <c r="R593" i="34" s="1"/>
  <c r="J594" i="34"/>
  <c r="D591" i="34"/>
  <c r="E591" i="34"/>
  <c r="Z12" i="35" l="1"/>
  <c r="S593" i="34"/>
  <c r="R591" i="34"/>
  <c r="Q483" i="34" l="1"/>
  <c r="Q511" i="34" l="1"/>
  <c r="Q513" i="34"/>
  <c r="Q514" i="34"/>
  <c r="Q512" i="34"/>
  <c r="J510" i="34"/>
  <c r="J511" i="34"/>
  <c r="R511" i="34" s="1"/>
  <c r="J512" i="34"/>
  <c r="R512" i="34" s="1"/>
  <c r="J513" i="34"/>
  <c r="R513" i="34" s="1"/>
  <c r="J514" i="34"/>
  <c r="R514" i="34" s="1"/>
  <c r="Q409" i="34"/>
  <c r="Q410" i="34"/>
  <c r="Q412" i="34"/>
  <c r="Q415" i="34"/>
  <c r="Q417" i="34"/>
  <c r="Q420" i="34"/>
  <c r="Q421" i="34"/>
  <c r="Q427" i="34"/>
  <c r="Q428" i="34"/>
  <c r="Q429" i="34"/>
  <c r="Q430" i="34"/>
  <c r="Q432" i="34"/>
  <c r="Q435" i="34"/>
  <c r="Q436" i="34"/>
  <c r="Q438" i="34"/>
  <c r="Q439" i="34"/>
  <c r="Q440" i="34"/>
  <c r="Q443" i="34"/>
  <c r="Q444" i="34"/>
  <c r="Q445" i="34"/>
  <c r="Q411" i="34"/>
  <c r="Q413" i="34"/>
  <c r="Q414" i="34"/>
  <c r="Q416" i="34"/>
  <c r="Q418" i="34"/>
  <c r="Q419" i="34"/>
  <c r="Q422" i="34"/>
  <c r="Q423" i="34"/>
  <c r="Q424" i="34"/>
  <c r="Q425" i="34"/>
  <c r="Q426" i="34"/>
  <c r="Q431" i="34"/>
  <c r="Q433" i="34"/>
  <c r="Q434" i="34"/>
  <c r="Q437" i="34"/>
  <c r="Q441" i="34"/>
  <c r="Q442" i="34"/>
  <c r="Q482" i="34"/>
  <c r="J409" i="34"/>
  <c r="R409" i="34" s="1"/>
  <c r="J410" i="34"/>
  <c r="R410" i="34" s="1"/>
  <c r="J411" i="34"/>
  <c r="R411" i="34" s="1"/>
  <c r="J412" i="34"/>
  <c r="R412" i="34" s="1"/>
  <c r="J413" i="34"/>
  <c r="R413" i="34" s="1"/>
  <c r="J414" i="34"/>
  <c r="R414" i="34" s="1"/>
  <c r="J415" i="34"/>
  <c r="R415" i="34" s="1"/>
  <c r="J416" i="34"/>
  <c r="R416" i="34" s="1"/>
  <c r="J417" i="34"/>
  <c r="S417" i="34" s="1"/>
  <c r="J418" i="34"/>
  <c r="R418" i="34" s="1"/>
  <c r="J419" i="34"/>
  <c r="R419" i="34" s="1"/>
  <c r="J420" i="34"/>
  <c r="R420" i="34" s="1"/>
  <c r="J421" i="34"/>
  <c r="R421" i="34" s="1"/>
  <c r="J422" i="34"/>
  <c r="R422" i="34" s="1"/>
  <c r="J423" i="34"/>
  <c r="R423" i="34" s="1"/>
  <c r="J424" i="34"/>
  <c r="R424" i="34" s="1"/>
  <c r="J425" i="34"/>
  <c r="R425" i="34" s="1"/>
  <c r="J426" i="34"/>
  <c r="R426" i="34" s="1"/>
  <c r="J427" i="34"/>
  <c r="R427" i="34" s="1"/>
  <c r="J428" i="34"/>
  <c r="R428" i="34" s="1"/>
  <c r="J429" i="34"/>
  <c r="R429" i="34" s="1"/>
  <c r="J430" i="34"/>
  <c r="R430" i="34" s="1"/>
  <c r="J431" i="34"/>
  <c r="R431" i="34" s="1"/>
  <c r="J432" i="34"/>
  <c r="R432" i="34" s="1"/>
  <c r="J433" i="34"/>
  <c r="R433" i="34" s="1"/>
  <c r="J434" i="34"/>
  <c r="R434" i="34" s="1"/>
  <c r="J435" i="34"/>
  <c r="R435" i="34" s="1"/>
  <c r="J436" i="34"/>
  <c r="S436" i="34" s="1"/>
  <c r="J437" i="34"/>
  <c r="R437" i="34" s="1"/>
  <c r="J438" i="34"/>
  <c r="S438" i="34" s="1"/>
  <c r="J439" i="34"/>
  <c r="R439" i="34" s="1"/>
  <c r="J440" i="34"/>
  <c r="S440" i="34" s="1"/>
  <c r="J441" i="34"/>
  <c r="R441" i="34" s="1"/>
  <c r="J442" i="34"/>
  <c r="J443" i="34"/>
  <c r="R443" i="34" s="1"/>
  <c r="J444" i="34"/>
  <c r="R444" i="34" s="1"/>
  <c r="J445" i="34"/>
  <c r="R445" i="34" s="1"/>
  <c r="J446" i="34"/>
  <c r="J447" i="34"/>
  <c r="J448" i="34"/>
  <c r="J449" i="34"/>
  <c r="J450" i="34"/>
  <c r="J451" i="34"/>
  <c r="J452" i="34"/>
  <c r="J453" i="34"/>
  <c r="J454" i="34"/>
  <c r="J455" i="34"/>
  <c r="J456" i="34"/>
  <c r="J457" i="34"/>
  <c r="J458" i="34"/>
  <c r="J459" i="34"/>
  <c r="J460" i="34"/>
  <c r="J461" i="34"/>
  <c r="J462" i="34"/>
  <c r="J463" i="34"/>
  <c r="J464" i="34"/>
  <c r="J465" i="34"/>
  <c r="J466" i="34"/>
  <c r="J467" i="34"/>
  <c r="J468" i="34"/>
  <c r="J469" i="34"/>
  <c r="J470" i="34"/>
  <c r="J471" i="34"/>
  <c r="J472" i="34"/>
  <c r="J473" i="34"/>
  <c r="J474" i="34"/>
  <c r="J475" i="34"/>
  <c r="J476" i="34"/>
  <c r="J477" i="34"/>
  <c r="J478" i="34"/>
  <c r="J479" i="34"/>
  <c r="J480" i="34"/>
  <c r="J481" i="34"/>
  <c r="J482" i="34"/>
  <c r="J483" i="34"/>
  <c r="J484" i="34"/>
  <c r="J485" i="34"/>
  <c r="J486" i="34"/>
  <c r="J487" i="34"/>
  <c r="J488" i="34"/>
  <c r="J489" i="34"/>
  <c r="J490" i="34"/>
  <c r="J491" i="34"/>
  <c r="J492" i="34"/>
  <c r="J493" i="34"/>
  <c r="J494" i="34"/>
  <c r="J495" i="34"/>
  <c r="J496" i="34"/>
  <c r="J497" i="34"/>
  <c r="D410" i="34"/>
  <c r="E410" i="34"/>
  <c r="D411" i="34"/>
  <c r="E411" i="34"/>
  <c r="D412" i="34"/>
  <c r="E412" i="34"/>
  <c r="D413" i="34"/>
  <c r="E413" i="34"/>
  <c r="D414" i="34"/>
  <c r="E414" i="34"/>
  <c r="D415" i="34"/>
  <c r="E415" i="34"/>
  <c r="D416" i="34"/>
  <c r="E416" i="34"/>
  <c r="D417" i="34"/>
  <c r="E417" i="34"/>
  <c r="D418" i="34"/>
  <c r="E418" i="34"/>
  <c r="D419" i="34"/>
  <c r="E419" i="34"/>
  <c r="D420" i="34"/>
  <c r="E420" i="34"/>
  <c r="D421" i="34"/>
  <c r="E421" i="34"/>
  <c r="D422" i="34"/>
  <c r="E422" i="34"/>
  <c r="D423" i="34"/>
  <c r="E423" i="34"/>
  <c r="D424" i="34"/>
  <c r="E424" i="34"/>
  <c r="D425" i="34"/>
  <c r="E425" i="34"/>
  <c r="D426" i="34"/>
  <c r="E426" i="34"/>
  <c r="D427" i="34"/>
  <c r="E427" i="34"/>
  <c r="D428" i="34"/>
  <c r="E428" i="34"/>
  <c r="D429" i="34"/>
  <c r="E429" i="34"/>
  <c r="D430" i="34"/>
  <c r="E430" i="34"/>
  <c r="D431" i="34"/>
  <c r="E431" i="34"/>
  <c r="D432" i="34"/>
  <c r="E432" i="34"/>
  <c r="D433" i="34"/>
  <c r="E433" i="34"/>
  <c r="D434" i="34"/>
  <c r="E434" i="34"/>
  <c r="D435" i="34"/>
  <c r="E435" i="34"/>
  <c r="D436" i="34"/>
  <c r="E436" i="34"/>
  <c r="D437" i="34"/>
  <c r="E437" i="34"/>
  <c r="D438" i="34"/>
  <c r="E438" i="34"/>
  <c r="D439" i="34"/>
  <c r="E439" i="34"/>
  <c r="D440" i="34"/>
  <c r="E440" i="34"/>
  <c r="D441" i="34"/>
  <c r="E441" i="34"/>
  <c r="D442" i="34"/>
  <c r="E442" i="34"/>
  <c r="D443" i="34"/>
  <c r="E443" i="34"/>
  <c r="D444" i="34"/>
  <c r="E444" i="34"/>
  <c r="D445" i="34"/>
  <c r="E445" i="34"/>
  <c r="D446" i="34"/>
  <c r="E446" i="34"/>
  <c r="D447" i="34"/>
  <c r="E447" i="34"/>
  <c r="D448" i="34"/>
  <c r="E448" i="34"/>
  <c r="D449" i="34"/>
  <c r="E449" i="34"/>
  <c r="D450" i="34"/>
  <c r="E450" i="34"/>
  <c r="D451" i="34"/>
  <c r="E451" i="34"/>
  <c r="D452" i="34"/>
  <c r="E452" i="34"/>
  <c r="D453" i="34"/>
  <c r="E453" i="34"/>
  <c r="D454" i="34"/>
  <c r="E454" i="34"/>
  <c r="D455" i="34"/>
  <c r="E455" i="34"/>
  <c r="D456" i="34"/>
  <c r="E456" i="34"/>
  <c r="D457" i="34"/>
  <c r="E457" i="34"/>
  <c r="D458" i="34"/>
  <c r="E458" i="34"/>
  <c r="D459" i="34"/>
  <c r="E459" i="34"/>
  <c r="D460" i="34"/>
  <c r="E460" i="34"/>
  <c r="D461" i="34"/>
  <c r="E461" i="34"/>
  <c r="D462" i="34"/>
  <c r="E462" i="34"/>
  <c r="D463" i="34"/>
  <c r="E463" i="34"/>
  <c r="D464" i="34"/>
  <c r="E464" i="34"/>
  <c r="D465" i="34"/>
  <c r="E465" i="34"/>
  <c r="D466" i="34"/>
  <c r="E466" i="34"/>
  <c r="D467" i="34"/>
  <c r="E467" i="34"/>
  <c r="D468" i="34"/>
  <c r="E468" i="34"/>
  <c r="D469" i="34"/>
  <c r="E469" i="34"/>
  <c r="D470" i="34"/>
  <c r="E470" i="34"/>
  <c r="D471" i="34"/>
  <c r="E471" i="34"/>
  <c r="D472" i="34"/>
  <c r="E472" i="34"/>
  <c r="D473" i="34"/>
  <c r="E473" i="34"/>
  <c r="D474" i="34"/>
  <c r="E474" i="34"/>
  <c r="D475" i="34"/>
  <c r="E475" i="34"/>
  <c r="D476" i="34"/>
  <c r="E476" i="34"/>
  <c r="D477" i="34"/>
  <c r="E477" i="34"/>
  <c r="D478" i="34"/>
  <c r="E478" i="34"/>
  <c r="S483" i="34" l="1"/>
  <c r="R483" i="34"/>
  <c r="R482" i="34"/>
  <c r="R438" i="34"/>
  <c r="S420" i="34"/>
  <c r="S513" i="34"/>
  <c r="S511" i="34"/>
  <c r="R417" i="34"/>
  <c r="S514" i="34"/>
  <c r="S444" i="34"/>
  <c r="S410" i="34"/>
  <c r="R440" i="34"/>
  <c r="S412" i="34"/>
  <c r="R442" i="34"/>
  <c r="R436" i="34"/>
  <c r="S432" i="34"/>
  <c r="S430" i="34"/>
  <c r="S428" i="34"/>
  <c r="S439" i="34"/>
  <c r="S435" i="34"/>
  <c r="S445" i="34"/>
  <c r="S443" i="34"/>
  <c r="S415" i="34"/>
  <c r="S409" i="34"/>
  <c r="S421" i="34"/>
  <c r="S429" i="34"/>
  <c r="S427" i="34"/>
  <c r="J995" i="34" l="1"/>
  <c r="R995" i="34" s="1"/>
  <c r="Q995" i="34"/>
  <c r="J996" i="34"/>
  <c r="R996" i="34" s="1"/>
  <c r="Q996" i="34"/>
  <c r="J997" i="34"/>
  <c r="R997" i="34" s="1"/>
  <c r="Q997" i="34"/>
  <c r="J998" i="34"/>
  <c r="R998" i="34" s="1"/>
  <c r="Q998" i="34"/>
  <c r="J999" i="34"/>
  <c r="R999" i="34" s="1"/>
  <c r="Q999" i="34"/>
  <c r="J1000" i="34"/>
  <c r="R1000" i="34" s="1"/>
  <c r="Q1000" i="34"/>
  <c r="J1001" i="34"/>
  <c r="R1001" i="34" s="1"/>
  <c r="Q1001" i="34"/>
  <c r="J1002" i="34"/>
  <c r="R1002" i="34" s="1"/>
  <c r="Q1002" i="34"/>
  <c r="J1003" i="34"/>
  <c r="R1003" i="34" s="1"/>
  <c r="Q1003" i="34"/>
  <c r="J1004" i="34"/>
  <c r="R1004" i="34" s="1"/>
  <c r="Q1004" i="34"/>
  <c r="D995" i="34"/>
  <c r="E995" i="34"/>
  <c r="D996" i="34"/>
  <c r="E996" i="34"/>
  <c r="D997" i="34"/>
  <c r="E997" i="34"/>
  <c r="D998" i="34"/>
  <c r="E998" i="34"/>
  <c r="D999" i="34"/>
  <c r="E999" i="34"/>
  <c r="D1000" i="34"/>
  <c r="E1000" i="34"/>
  <c r="D1001" i="34"/>
  <c r="E1001" i="34"/>
  <c r="D1002" i="34"/>
  <c r="E1002" i="34"/>
  <c r="D1003" i="34"/>
  <c r="E1003" i="34"/>
  <c r="D1004" i="34"/>
  <c r="E1004" i="34"/>
  <c r="S997" i="34" l="1"/>
  <c r="S1001" i="34"/>
  <c r="S1000" i="34"/>
  <c r="S999" i="34"/>
  <c r="Q21" i="34" l="1"/>
  <c r="Q22" i="34"/>
  <c r="Q23" i="34"/>
  <c r="J19" i="34"/>
  <c r="J20" i="34"/>
  <c r="J21" i="34"/>
  <c r="R21" i="34" s="1"/>
  <c r="J22" i="34"/>
  <c r="R22" i="34" s="1"/>
  <c r="J23" i="34"/>
  <c r="R23" i="34" s="1"/>
  <c r="D21" i="34"/>
  <c r="E21" i="34"/>
  <c r="S142" i="34" l="1"/>
  <c r="S307" i="34"/>
  <c r="S342" i="34"/>
  <c r="S478" i="34"/>
  <c r="S546" i="34"/>
  <c r="S610" i="34"/>
  <c r="S644" i="34"/>
  <c r="S678" i="34"/>
  <c r="S713" i="34"/>
  <c r="R142" i="34"/>
  <c r="R307" i="34"/>
  <c r="R342" i="34"/>
  <c r="R478" i="34"/>
  <c r="R546" i="34"/>
  <c r="R610" i="34"/>
  <c r="R644" i="34"/>
  <c r="R678" i="34"/>
  <c r="R713" i="34"/>
  <c r="Q620" i="34"/>
  <c r="Q616" i="34"/>
  <c r="Q615" i="34"/>
  <c r="J615" i="34"/>
  <c r="S615" i="34" s="1"/>
  <c r="D615" i="34"/>
  <c r="E615" i="34"/>
  <c r="R615" i="34" l="1"/>
  <c r="Q636" i="34"/>
  <c r="J636" i="34"/>
  <c r="D636" i="34"/>
  <c r="E636" i="34"/>
  <c r="S636" i="34" l="1"/>
  <c r="R636" i="34"/>
  <c r="Q347" i="34"/>
  <c r="J347" i="34"/>
  <c r="D347" i="34"/>
  <c r="E347" i="34"/>
  <c r="D348" i="34"/>
  <c r="E348" i="34"/>
  <c r="S347" i="34" l="1"/>
  <c r="R347" i="34"/>
  <c r="Q470" i="34"/>
  <c r="Q471" i="34"/>
  <c r="Q472" i="34"/>
  <c r="S470" i="34" l="1"/>
  <c r="R470" i="34"/>
  <c r="R491" i="34" l="1"/>
  <c r="Q28" i="34"/>
  <c r="Q29" i="34"/>
  <c r="Q30" i="34"/>
  <c r="J28" i="34"/>
  <c r="J29" i="34"/>
  <c r="D28" i="34"/>
  <c r="E28" i="34"/>
  <c r="R28" i="34" l="1"/>
  <c r="R29" i="34"/>
  <c r="J747" i="34"/>
  <c r="J748" i="34"/>
  <c r="J749" i="34"/>
  <c r="J750" i="34"/>
  <c r="D749" i="34"/>
  <c r="E749" i="34"/>
  <c r="Q686" i="34"/>
  <c r="Q683" i="34"/>
  <c r="Q684" i="34"/>
  <c r="J683" i="34"/>
  <c r="D683" i="34"/>
  <c r="E683" i="34"/>
  <c r="Q652" i="34"/>
  <c r="Q649" i="34"/>
  <c r="J649" i="34"/>
  <c r="D649" i="34"/>
  <c r="E649" i="34"/>
  <c r="Q728" i="34"/>
  <c r="J728" i="34"/>
  <c r="D728" i="34"/>
  <c r="E728" i="34"/>
  <c r="Q375" i="34"/>
  <c r="Q376" i="34"/>
  <c r="Q373" i="34"/>
  <c r="Q374" i="34"/>
  <c r="J373" i="34"/>
  <c r="J374" i="34"/>
  <c r="J375" i="34"/>
  <c r="J376" i="34"/>
  <c r="J377" i="34"/>
  <c r="J378" i="34"/>
  <c r="D374" i="34"/>
  <c r="E374" i="34"/>
  <c r="J370" i="34"/>
  <c r="J369" i="34"/>
  <c r="J368" i="34"/>
  <c r="J367" i="34"/>
  <c r="J366" i="34"/>
  <c r="J365" i="34"/>
  <c r="J364" i="34"/>
  <c r="J363" i="34"/>
  <c r="J360" i="34"/>
  <c r="J400" i="34"/>
  <c r="J399" i="34"/>
  <c r="S374" i="34" l="1"/>
  <c r="R374" i="34"/>
  <c r="S370" i="34"/>
  <c r="R370" i="34"/>
  <c r="S364" i="34"/>
  <c r="R364" i="34"/>
  <c r="S749" i="34"/>
  <c r="R749" i="34"/>
  <c r="R399" i="34"/>
  <c r="S400" i="34"/>
  <c r="R400" i="34"/>
  <c r="R649" i="34"/>
  <c r="R728" i="34"/>
  <c r="S728" i="34"/>
  <c r="S365" i="34"/>
  <c r="R365" i="34"/>
  <c r="R378" i="34"/>
  <c r="S748" i="34"/>
  <c r="R748" i="34"/>
  <c r="S368" i="34"/>
  <c r="R368" i="34"/>
  <c r="R369" i="34"/>
  <c r="S360" i="34"/>
  <c r="R360" i="34"/>
  <c r="S373" i="34"/>
  <c r="R373" i="34"/>
  <c r="S363" i="34"/>
  <c r="R363" i="34"/>
  <c r="R683" i="34"/>
  <c r="S366" i="34"/>
  <c r="R366" i="34"/>
  <c r="R377" i="34"/>
  <c r="S747" i="34"/>
  <c r="R747" i="34"/>
  <c r="S375" i="34"/>
  <c r="R375" i="34"/>
  <c r="S367" i="34"/>
  <c r="R367" i="34"/>
  <c r="S376" i="34"/>
  <c r="R376" i="34"/>
  <c r="S750" i="34"/>
  <c r="R750" i="34"/>
  <c r="Q9" i="34"/>
  <c r="Q10" i="34"/>
  <c r="Q11" i="34"/>
  <c r="Q12" i="34"/>
  <c r="J12" i="34"/>
  <c r="J11" i="34"/>
  <c r="J10" i="34"/>
  <c r="J9" i="34"/>
  <c r="D9" i="34"/>
  <c r="E9" i="34"/>
  <c r="D10" i="34"/>
  <c r="E10" i="34"/>
  <c r="R19" i="34" l="1"/>
  <c r="R9" i="34"/>
  <c r="R10" i="34"/>
  <c r="R11" i="34"/>
  <c r="S12" i="34"/>
  <c r="R12" i="34"/>
  <c r="Q173" i="34"/>
  <c r="Q174" i="34"/>
  <c r="J173" i="34"/>
  <c r="D173" i="34"/>
  <c r="E173" i="34"/>
  <c r="Q106" i="34"/>
  <c r="Q107" i="34"/>
  <c r="Q108" i="34"/>
  <c r="Q109" i="34"/>
  <c r="J106" i="34"/>
  <c r="J107" i="34"/>
  <c r="J108" i="34"/>
  <c r="J109" i="34"/>
  <c r="J110" i="34"/>
  <c r="D106" i="34"/>
  <c r="E106" i="34"/>
  <c r="D107" i="34"/>
  <c r="E107" i="34"/>
  <c r="Q103" i="34"/>
  <c r="J103" i="34"/>
  <c r="D103" i="34"/>
  <c r="E103" i="34"/>
  <c r="Q31" i="34"/>
  <c r="Q32" i="34"/>
  <c r="J31" i="34"/>
  <c r="J32" i="34"/>
  <c r="D31" i="34"/>
  <c r="E31" i="34"/>
  <c r="R110" i="34" l="1"/>
  <c r="R173" i="34"/>
  <c r="S103" i="34"/>
  <c r="R103" i="34"/>
  <c r="R109" i="34"/>
  <c r="R108" i="34"/>
  <c r="S108" i="34"/>
  <c r="R32" i="34"/>
  <c r="S107" i="34"/>
  <c r="R107" i="34"/>
  <c r="S31" i="34"/>
  <c r="R31" i="34"/>
  <c r="S106" i="34"/>
  <c r="R106" i="34"/>
  <c r="Q13" i="34"/>
  <c r="Q14" i="34"/>
  <c r="Q15" i="34"/>
  <c r="Q16" i="34"/>
  <c r="Q17" i="34"/>
  <c r="Q18" i="34"/>
  <c r="Q19" i="34"/>
  <c r="Q20" i="34"/>
  <c r="Q24" i="34"/>
  <c r="Q25" i="34"/>
  <c r="J13" i="34"/>
  <c r="J14" i="34"/>
  <c r="J15" i="34"/>
  <c r="J16" i="34"/>
  <c r="J17" i="34"/>
  <c r="J18" i="34"/>
  <c r="D14" i="34"/>
  <c r="E14" i="34"/>
  <c r="D15" i="34"/>
  <c r="E15" i="34"/>
  <c r="D16" i="34"/>
  <c r="E16" i="34"/>
  <c r="D17" i="34"/>
  <c r="E17" i="34"/>
  <c r="D18" i="34"/>
  <c r="E18" i="34"/>
  <c r="R16" i="34" l="1"/>
  <c r="R14" i="34"/>
  <c r="R15" i="34"/>
  <c r="S13" i="34"/>
  <c r="R13" i="34"/>
  <c r="R20" i="34"/>
  <c r="R18" i="34"/>
  <c r="R17" i="34"/>
  <c r="E900" i="34"/>
  <c r="J900" i="34"/>
  <c r="R900" i="34" s="1"/>
  <c r="Q900" i="34"/>
  <c r="E901" i="34"/>
  <c r="J901" i="34"/>
  <c r="R901" i="34" s="1"/>
  <c r="Q901" i="34"/>
  <c r="E902" i="34"/>
  <c r="J902" i="34"/>
  <c r="R902" i="34" s="1"/>
  <c r="Q902" i="34"/>
  <c r="E903" i="34"/>
  <c r="J903" i="34"/>
  <c r="R903" i="34" s="1"/>
  <c r="Q903" i="34"/>
  <c r="E904" i="34"/>
  <c r="J904" i="34"/>
  <c r="R904" i="34" s="1"/>
  <c r="Q904" i="34"/>
  <c r="E905" i="34"/>
  <c r="J905" i="34"/>
  <c r="R905" i="34" s="1"/>
  <c r="Q905" i="34"/>
  <c r="E906" i="34"/>
  <c r="J906" i="34"/>
  <c r="R906" i="34" s="1"/>
  <c r="Q906" i="34"/>
  <c r="E907" i="34"/>
  <c r="J907" i="34"/>
  <c r="R907" i="34" s="1"/>
  <c r="Q907" i="34"/>
  <c r="E908" i="34"/>
  <c r="J908" i="34"/>
  <c r="R908" i="34" s="1"/>
  <c r="Q908" i="34"/>
  <c r="E909" i="34"/>
  <c r="J909" i="34"/>
  <c r="R909" i="34" s="1"/>
  <c r="Q909" i="34"/>
  <c r="E910" i="34"/>
  <c r="J910" i="34"/>
  <c r="R910" i="34" s="1"/>
  <c r="Q910" i="34"/>
  <c r="E911" i="34"/>
  <c r="J911" i="34"/>
  <c r="R911" i="34" s="1"/>
  <c r="Q911" i="34"/>
  <c r="E912" i="34"/>
  <c r="J912" i="34"/>
  <c r="R912" i="34" s="1"/>
  <c r="Q912" i="34"/>
  <c r="E913" i="34"/>
  <c r="J913" i="34"/>
  <c r="R913" i="34" s="1"/>
  <c r="Q913" i="34"/>
  <c r="E914" i="34"/>
  <c r="J914" i="34"/>
  <c r="R914" i="34" s="1"/>
  <c r="Q914" i="34"/>
  <c r="E915" i="34"/>
  <c r="J915" i="34"/>
  <c r="R915" i="34" s="1"/>
  <c r="Q915" i="34"/>
  <c r="E916" i="34"/>
  <c r="J916" i="34"/>
  <c r="R916" i="34" s="1"/>
  <c r="Q916" i="34"/>
  <c r="E917" i="34"/>
  <c r="J917" i="34"/>
  <c r="R917" i="34" s="1"/>
  <c r="Q917" i="34"/>
  <c r="E918" i="34"/>
  <c r="J918" i="34"/>
  <c r="R918" i="34" s="1"/>
  <c r="Q918" i="34"/>
  <c r="E919" i="34"/>
  <c r="J919" i="34"/>
  <c r="R919" i="34" s="1"/>
  <c r="Q919" i="34"/>
  <c r="E920" i="34"/>
  <c r="J920" i="34"/>
  <c r="R920" i="34" s="1"/>
  <c r="Q920" i="34"/>
  <c r="E921" i="34"/>
  <c r="J921" i="34"/>
  <c r="R921" i="34" s="1"/>
  <c r="Q921" i="34"/>
  <c r="E922" i="34"/>
  <c r="J922" i="34"/>
  <c r="R922" i="34" s="1"/>
  <c r="Q922" i="34"/>
  <c r="E923" i="34"/>
  <c r="J923" i="34"/>
  <c r="R923" i="34" s="1"/>
  <c r="Q923" i="34"/>
  <c r="E924" i="34"/>
  <c r="J924" i="34"/>
  <c r="R924" i="34" s="1"/>
  <c r="Q924" i="34"/>
  <c r="E925" i="34"/>
  <c r="J925" i="34"/>
  <c r="R925" i="34" s="1"/>
  <c r="Q925" i="34"/>
  <c r="E926" i="34"/>
  <c r="J926" i="34"/>
  <c r="R926" i="34" s="1"/>
  <c r="Q926" i="34"/>
  <c r="E927" i="34"/>
  <c r="J927" i="34"/>
  <c r="R927" i="34" s="1"/>
  <c r="Q927" i="34"/>
  <c r="E928" i="34"/>
  <c r="J928" i="34"/>
  <c r="R928" i="34" s="1"/>
  <c r="Q928" i="34"/>
  <c r="E929" i="34"/>
  <c r="J929" i="34"/>
  <c r="R929" i="34" s="1"/>
  <c r="Q929" i="34"/>
  <c r="E930" i="34"/>
  <c r="J930" i="34"/>
  <c r="R930" i="34" s="1"/>
  <c r="Q930" i="34"/>
  <c r="E931" i="34"/>
  <c r="J931" i="34"/>
  <c r="R931" i="34" s="1"/>
  <c r="Q931" i="34"/>
  <c r="E932" i="34"/>
  <c r="J932" i="34"/>
  <c r="R932" i="34" s="1"/>
  <c r="Q932" i="34"/>
  <c r="E933" i="34"/>
  <c r="J933" i="34"/>
  <c r="R933" i="34" s="1"/>
  <c r="Q933" i="34"/>
  <c r="E934" i="34"/>
  <c r="J934" i="34"/>
  <c r="R934" i="34" s="1"/>
  <c r="Q934" i="34"/>
  <c r="E935" i="34"/>
  <c r="J935" i="34"/>
  <c r="R935" i="34" s="1"/>
  <c r="Q935" i="34"/>
  <c r="E936" i="34"/>
  <c r="J936" i="34"/>
  <c r="R936" i="34" s="1"/>
  <c r="Q936" i="34"/>
  <c r="E937" i="34"/>
  <c r="J937" i="34"/>
  <c r="R937" i="34" s="1"/>
  <c r="Q937" i="34"/>
  <c r="E938" i="34"/>
  <c r="J938" i="34"/>
  <c r="R938" i="34" s="1"/>
  <c r="Q938" i="34"/>
  <c r="E939" i="34"/>
  <c r="J939" i="34"/>
  <c r="R939" i="34" s="1"/>
  <c r="Q939" i="34"/>
  <c r="E940" i="34"/>
  <c r="J940" i="34"/>
  <c r="R940" i="34" s="1"/>
  <c r="Q940" i="34"/>
  <c r="E941" i="34"/>
  <c r="J941" i="34"/>
  <c r="R941" i="34" s="1"/>
  <c r="Q941" i="34"/>
  <c r="E942" i="34"/>
  <c r="J942" i="34"/>
  <c r="R942" i="34" s="1"/>
  <c r="Q942" i="34"/>
  <c r="E943" i="34"/>
  <c r="J943" i="34"/>
  <c r="R943" i="34" s="1"/>
  <c r="Q943" i="34"/>
  <c r="E944" i="34"/>
  <c r="J944" i="34"/>
  <c r="R944" i="34" s="1"/>
  <c r="Q944" i="34"/>
  <c r="E945" i="34"/>
  <c r="J945" i="34"/>
  <c r="R945" i="34" s="1"/>
  <c r="Q945" i="34"/>
  <c r="E946" i="34"/>
  <c r="J946" i="34"/>
  <c r="R946" i="34" s="1"/>
  <c r="Q946" i="34"/>
  <c r="E947" i="34"/>
  <c r="J947" i="34"/>
  <c r="R947" i="34" s="1"/>
  <c r="Q947" i="34"/>
  <c r="E948" i="34"/>
  <c r="J948" i="34"/>
  <c r="R948" i="34" s="1"/>
  <c r="Q948" i="34"/>
  <c r="E949" i="34"/>
  <c r="J949" i="34"/>
  <c r="R949" i="34" s="1"/>
  <c r="Q949" i="34"/>
  <c r="E950" i="34"/>
  <c r="J950" i="34"/>
  <c r="R950" i="34" s="1"/>
  <c r="Q950" i="34"/>
  <c r="E951" i="34"/>
  <c r="J951" i="34"/>
  <c r="R951" i="34" s="1"/>
  <c r="Q951" i="34"/>
  <c r="E952" i="34"/>
  <c r="J952" i="34"/>
  <c r="R952" i="34" s="1"/>
  <c r="Q952" i="34"/>
  <c r="E953" i="34"/>
  <c r="J953" i="34"/>
  <c r="R953" i="34" s="1"/>
  <c r="Q953" i="34"/>
  <c r="E954" i="34"/>
  <c r="J954" i="34"/>
  <c r="R954" i="34" s="1"/>
  <c r="Q954" i="34"/>
  <c r="E955" i="34"/>
  <c r="J955" i="34"/>
  <c r="R955" i="34" s="1"/>
  <c r="Q955" i="34"/>
  <c r="E956" i="34"/>
  <c r="J956" i="34"/>
  <c r="R956" i="34" s="1"/>
  <c r="Q956" i="34"/>
  <c r="E957" i="34"/>
  <c r="J957" i="34"/>
  <c r="R957" i="34" s="1"/>
  <c r="Q957" i="34"/>
  <c r="E958" i="34"/>
  <c r="J958" i="34"/>
  <c r="R958" i="34" s="1"/>
  <c r="Q958" i="34"/>
  <c r="E959" i="34"/>
  <c r="J959" i="34"/>
  <c r="R959" i="34" s="1"/>
  <c r="Q959" i="34"/>
  <c r="E960" i="34"/>
  <c r="J960" i="34"/>
  <c r="R960" i="34" s="1"/>
  <c r="Q960" i="34"/>
  <c r="E961" i="34"/>
  <c r="J961" i="34"/>
  <c r="R961" i="34" s="1"/>
  <c r="Q961" i="34"/>
  <c r="E962" i="34"/>
  <c r="J962" i="34"/>
  <c r="R962" i="34" s="1"/>
  <c r="Q962" i="34"/>
  <c r="E963" i="34"/>
  <c r="J963" i="34"/>
  <c r="R963" i="34" s="1"/>
  <c r="Q963" i="34"/>
  <c r="E964" i="34"/>
  <c r="J964" i="34"/>
  <c r="R964" i="34" s="1"/>
  <c r="Q964" i="34"/>
  <c r="E965" i="34"/>
  <c r="J965" i="34"/>
  <c r="R965" i="34" s="1"/>
  <c r="Q965" i="34"/>
  <c r="E966" i="34"/>
  <c r="J966" i="34"/>
  <c r="R966" i="34" s="1"/>
  <c r="Q966" i="34"/>
  <c r="E967" i="34"/>
  <c r="J967" i="34"/>
  <c r="R967" i="34" s="1"/>
  <c r="Q967" i="34"/>
  <c r="E968" i="34"/>
  <c r="J968" i="34"/>
  <c r="R968" i="34" s="1"/>
  <c r="Q968" i="34"/>
  <c r="E969" i="34"/>
  <c r="J969" i="34"/>
  <c r="R969" i="34" s="1"/>
  <c r="Q969" i="34"/>
  <c r="E970" i="34"/>
  <c r="J970" i="34"/>
  <c r="R970" i="34" s="1"/>
  <c r="Q970" i="34"/>
  <c r="E971" i="34"/>
  <c r="J971" i="34"/>
  <c r="R971" i="34" s="1"/>
  <c r="Q971" i="34"/>
  <c r="E972" i="34"/>
  <c r="J972" i="34"/>
  <c r="R972" i="34" s="1"/>
  <c r="Q972" i="34"/>
  <c r="E973" i="34"/>
  <c r="J973" i="34"/>
  <c r="R973" i="34" s="1"/>
  <c r="Q973" i="34"/>
  <c r="E974" i="34"/>
  <c r="J974" i="34"/>
  <c r="R974" i="34" s="1"/>
  <c r="Q974" i="34"/>
  <c r="E975" i="34"/>
  <c r="J975" i="34"/>
  <c r="R975" i="34" s="1"/>
  <c r="Q975" i="34"/>
  <c r="E976" i="34"/>
  <c r="J976" i="34"/>
  <c r="R976" i="34" s="1"/>
  <c r="Q976" i="34"/>
  <c r="E977" i="34"/>
  <c r="J977" i="34"/>
  <c r="R977" i="34" s="1"/>
  <c r="Q977" i="34"/>
  <c r="E978" i="34"/>
  <c r="J978" i="34"/>
  <c r="Q978" i="34"/>
  <c r="E979" i="34"/>
  <c r="J979" i="34"/>
  <c r="R979" i="34" s="1"/>
  <c r="Q979" i="34"/>
  <c r="E980" i="34"/>
  <c r="J980" i="34"/>
  <c r="R980" i="34" s="1"/>
  <c r="Q980" i="34"/>
  <c r="E981" i="34"/>
  <c r="J981" i="34"/>
  <c r="Q981" i="34"/>
  <c r="E982" i="34"/>
  <c r="J982" i="34"/>
  <c r="Q982" i="34"/>
  <c r="E983" i="34"/>
  <c r="J983" i="34"/>
  <c r="Q983" i="34"/>
  <c r="E984" i="34"/>
  <c r="J984" i="34"/>
  <c r="Q984" i="34"/>
  <c r="E985" i="34"/>
  <c r="J985" i="34"/>
  <c r="Q985" i="34"/>
  <c r="E986" i="34"/>
  <c r="J986" i="34"/>
  <c r="Q986" i="34"/>
  <c r="E987" i="34"/>
  <c r="J987" i="34"/>
  <c r="Q987" i="34"/>
  <c r="E988" i="34"/>
  <c r="J988" i="34"/>
  <c r="Q988" i="34"/>
  <c r="E989" i="34"/>
  <c r="J989" i="34"/>
  <c r="Q989" i="34"/>
  <c r="E990" i="34"/>
  <c r="J990" i="34"/>
  <c r="Q990" i="34"/>
  <c r="E991" i="34"/>
  <c r="J991" i="34"/>
  <c r="Q991" i="34"/>
  <c r="E992" i="34"/>
  <c r="J992" i="34"/>
  <c r="Q992" i="34"/>
  <c r="E993" i="34"/>
  <c r="J993" i="34"/>
  <c r="Q993" i="34"/>
  <c r="E994" i="34"/>
  <c r="J994" i="34"/>
  <c r="Q994" i="34"/>
  <c r="D940" i="34"/>
  <c r="D941" i="34"/>
  <c r="D942" i="34"/>
  <c r="D943" i="34"/>
  <c r="D944" i="34"/>
  <c r="D945" i="34"/>
  <c r="D946" i="34"/>
  <c r="D947" i="34"/>
  <c r="D948" i="34"/>
  <c r="D949" i="34"/>
  <c r="D950" i="34"/>
  <c r="D951" i="34"/>
  <c r="D952" i="34"/>
  <c r="D953" i="34"/>
  <c r="D954" i="34"/>
  <c r="D955" i="34"/>
  <c r="D956" i="34"/>
  <c r="D957" i="34"/>
  <c r="D958" i="34"/>
  <c r="D959" i="34"/>
  <c r="D960" i="34"/>
  <c r="D961" i="34"/>
  <c r="D962" i="34"/>
  <c r="D963" i="34"/>
  <c r="D964" i="34"/>
  <c r="D965" i="34"/>
  <c r="D966" i="34"/>
  <c r="D967" i="34"/>
  <c r="D968" i="34"/>
  <c r="D969" i="34"/>
  <c r="D970" i="34"/>
  <c r="D971" i="34"/>
  <c r="D972" i="34"/>
  <c r="D973" i="34"/>
  <c r="D974" i="34"/>
  <c r="D975" i="34"/>
  <c r="D976" i="34"/>
  <c r="D977" i="34"/>
  <c r="D978" i="34"/>
  <c r="D979" i="34"/>
  <c r="D980" i="34"/>
  <c r="D981" i="34"/>
  <c r="D982" i="34"/>
  <c r="D983" i="34"/>
  <c r="D984" i="34"/>
  <c r="D985" i="34"/>
  <c r="D986" i="34"/>
  <c r="D987" i="34"/>
  <c r="D988" i="34"/>
  <c r="D989" i="34"/>
  <c r="D990" i="34"/>
  <c r="D991" i="34"/>
  <c r="D992" i="34"/>
  <c r="D993" i="34"/>
  <c r="D994" i="34"/>
  <c r="Q822" i="34"/>
  <c r="Q820" i="34"/>
  <c r="Q819" i="34"/>
  <c r="J819" i="34"/>
  <c r="J820" i="34"/>
  <c r="D819" i="34"/>
  <c r="E819" i="34"/>
  <c r="S819" i="34" l="1"/>
  <c r="R819" i="34"/>
  <c r="S820" i="34"/>
  <c r="R820" i="34"/>
  <c r="S972" i="34"/>
  <c r="S933" i="34"/>
  <c r="S958" i="34"/>
  <c r="S945" i="34"/>
  <c r="R989" i="34"/>
  <c r="S952" i="34"/>
  <c r="S925" i="34"/>
  <c r="S990" i="34"/>
  <c r="R990" i="34"/>
  <c r="S966" i="34"/>
  <c r="S967" i="34"/>
  <c r="R992" i="34"/>
  <c r="R984" i="34"/>
  <c r="S960" i="34"/>
  <c r="S955" i="34"/>
  <c r="S948" i="34"/>
  <c r="S940" i="34"/>
  <c r="S931" i="34"/>
  <c r="S915" i="34"/>
  <c r="S964" i="34"/>
  <c r="S913" i="34"/>
  <c r="S981" i="34"/>
  <c r="R981" i="34"/>
  <c r="S959" i="34"/>
  <c r="S934" i="34"/>
  <c r="S991" i="34"/>
  <c r="R991" i="34"/>
  <c r="S947" i="34"/>
  <c r="R993" i="34"/>
  <c r="S985" i="34"/>
  <c r="R985" i="34"/>
  <c r="S961" i="34"/>
  <c r="S936" i="34"/>
  <c r="S927" i="34"/>
  <c r="S922" i="34"/>
  <c r="S911" i="34"/>
  <c r="S901" i="34"/>
  <c r="S973" i="34"/>
  <c r="S929" i="34"/>
  <c r="S909" i="34"/>
  <c r="S919" i="34"/>
  <c r="R983" i="34"/>
  <c r="S954" i="34"/>
  <c r="S994" i="34"/>
  <c r="R994" i="34"/>
  <c r="R986" i="34"/>
  <c r="S957" i="34"/>
  <c r="S949" i="34"/>
  <c r="S942" i="34"/>
  <c r="S932" i="34"/>
  <c r="R988" i="34"/>
  <c r="S951" i="34"/>
  <c r="S965" i="34"/>
  <c r="S918" i="34"/>
  <c r="R982" i="34"/>
  <c r="S953" i="34"/>
  <c r="S930" i="34"/>
  <c r="S935" i="34"/>
  <c r="R987" i="34"/>
  <c r="S963" i="34"/>
  <c r="S950" i="34"/>
  <c r="S943" i="34"/>
  <c r="S937" i="34"/>
  <c r="S928" i="34"/>
  <c r="Q504" i="34"/>
  <c r="J504" i="34"/>
  <c r="D504" i="34"/>
  <c r="E504" i="34"/>
  <c r="Q402" i="34"/>
  <c r="J402" i="34"/>
  <c r="E402" i="34"/>
  <c r="D402" i="34"/>
  <c r="E401" i="34"/>
  <c r="D401" i="34"/>
  <c r="Q368" i="34"/>
  <c r="D368" i="34"/>
  <c r="E368" i="34"/>
  <c r="Q334" i="34"/>
  <c r="J334" i="34"/>
  <c r="D334" i="34"/>
  <c r="E334" i="34"/>
  <c r="S334" i="34" l="1"/>
  <c r="R334" i="34"/>
  <c r="S402" i="34"/>
  <c r="R402" i="34"/>
  <c r="Q36" i="34"/>
  <c r="Q37" i="34"/>
  <c r="Q35" i="34"/>
  <c r="Q34" i="34"/>
  <c r="Q33" i="34"/>
  <c r="Q27" i="34"/>
  <c r="Q26" i="34"/>
  <c r="Q8" i="34"/>
  <c r="Q7" i="34"/>
  <c r="J7" i="34"/>
  <c r="J8" i="34"/>
  <c r="J24" i="34"/>
  <c r="J25" i="34"/>
  <c r="J26" i="34"/>
  <c r="J27" i="34"/>
  <c r="J30" i="34"/>
  <c r="J33" i="34"/>
  <c r="J34" i="34"/>
  <c r="J35" i="34"/>
  <c r="J36" i="34"/>
  <c r="J37" i="34"/>
  <c r="D7" i="34"/>
  <c r="E7" i="34"/>
  <c r="D8" i="34"/>
  <c r="E8" i="34"/>
  <c r="D11" i="34"/>
  <c r="E11" i="34"/>
  <c r="D12" i="34"/>
  <c r="E12" i="34"/>
  <c r="D13" i="34"/>
  <c r="E13" i="34"/>
  <c r="D19" i="34"/>
  <c r="E19" i="34"/>
  <c r="D20" i="34"/>
  <c r="E20" i="34"/>
  <c r="D22" i="34"/>
  <c r="E22" i="34"/>
  <c r="D23" i="34"/>
  <c r="E23" i="34"/>
  <c r="D24" i="34"/>
  <c r="E24" i="34"/>
  <c r="D25" i="34"/>
  <c r="E25" i="34"/>
  <c r="D26" i="34"/>
  <c r="E26" i="34"/>
  <c r="D27" i="34"/>
  <c r="E27" i="34"/>
  <c r="D29" i="34"/>
  <c r="E29" i="34"/>
  <c r="D30" i="34"/>
  <c r="E30" i="34"/>
  <c r="D32" i="34"/>
  <c r="E32" i="34"/>
  <c r="D33" i="34"/>
  <c r="E33" i="34"/>
  <c r="D34" i="34"/>
  <c r="E34" i="34"/>
  <c r="D35" i="34"/>
  <c r="E35" i="34"/>
  <c r="D36" i="34"/>
  <c r="E36" i="34"/>
  <c r="Q102" i="34"/>
  <c r="Q101" i="34"/>
  <c r="J102" i="34"/>
  <c r="J101" i="34"/>
  <c r="J100" i="34"/>
  <c r="J99" i="34"/>
  <c r="J98" i="34"/>
  <c r="J97" i="34"/>
  <c r="D100" i="34"/>
  <c r="E100" i="34"/>
  <c r="D101" i="34"/>
  <c r="E101" i="34"/>
  <c r="Q148" i="34"/>
  <c r="Q145" i="34"/>
  <c r="Q146" i="34"/>
  <c r="Q147" i="34"/>
  <c r="Q149" i="34"/>
  <c r="Q150" i="34"/>
  <c r="J145" i="34"/>
  <c r="J146" i="34"/>
  <c r="J147" i="34"/>
  <c r="J148" i="34"/>
  <c r="J149" i="34"/>
  <c r="D146" i="34"/>
  <c r="E146" i="34"/>
  <c r="R30" i="34" l="1"/>
  <c r="R27" i="34"/>
  <c r="R149" i="34"/>
  <c r="R26" i="34"/>
  <c r="S33" i="34"/>
  <c r="R33" i="34"/>
  <c r="S102" i="34"/>
  <c r="R102" i="34"/>
  <c r="R148" i="34"/>
  <c r="S148" i="34"/>
  <c r="S37" i="34"/>
  <c r="R37" i="34"/>
  <c r="R25" i="34"/>
  <c r="R147" i="34"/>
  <c r="S36" i="34"/>
  <c r="R36" i="34"/>
  <c r="S24" i="34"/>
  <c r="R24" i="34"/>
  <c r="S99" i="34"/>
  <c r="R99" i="34"/>
  <c r="R146" i="34"/>
  <c r="R97" i="34"/>
  <c r="S35" i="34"/>
  <c r="R35" i="34"/>
  <c r="S8" i="34"/>
  <c r="R8" i="34"/>
  <c r="R145" i="34"/>
  <c r="S98" i="34"/>
  <c r="R98" i="34"/>
  <c r="R34" i="34"/>
  <c r="Q72" i="34"/>
  <c r="Q71" i="34"/>
  <c r="J66" i="34"/>
  <c r="J67" i="34"/>
  <c r="J68" i="34"/>
  <c r="J69" i="34"/>
  <c r="J70" i="34"/>
  <c r="J71" i="34"/>
  <c r="J72" i="34"/>
  <c r="J73" i="34"/>
  <c r="D71" i="34"/>
  <c r="E71" i="34"/>
  <c r="D6" i="34"/>
  <c r="E6" i="34"/>
  <c r="J6" i="34"/>
  <c r="Q6" i="34"/>
  <c r="P6" i="34"/>
  <c r="D37" i="34"/>
  <c r="E37" i="34"/>
  <c r="R69" i="34" l="1"/>
  <c r="S66" i="34"/>
  <c r="R66" i="34"/>
  <c r="R73" i="34"/>
  <c r="R67" i="34"/>
  <c r="S72" i="34"/>
  <c r="R72" i="34"/>
  <c r="R70" i="34"/>
  <c r="Q577" i="34"/>
  <c r="Q580" i="34"/>
  <c r="Q579" i="34"/>
  <c r="Q578" i="34"/>
  <c r="J586" i="34"/>
  <c r="J583" i="34"/>
  <c r="J582" i="34"/>
  <c r="J580" i="34"/>
  <c r="J579" i="34"/>
  <c r="J578" i="34"/>
  <c r="J577" i="34"/>
  <c r="J572" i="34"/>
  <c r="D579" i="34"/>
  <c r="E579" i="34"/>
  <c r="E578" i="34"/>
  <c r="D578" i="34"/>
  <c r="Q651" i="34"/>
  <c r="Q650" i="34"/>
  <c r="Q648" i="34"/>
  <c r="J652" i="34"/>
  <c r="J651" i="34"/>
  <c r="J650" i="34"/>
  <c r="J648" i="34"/>
  <c r="J647" i="34"/>
  <c r="J646" i="34"/>
  <c r="J645" i="34"/>
  <c r="J638" i="34"/>
  <c r="D648" i="34"/>
  <c r="E648" i="34"/>
  <c r="D650" i="34"/>
  <c r="E650" i="34"/>
  <c r="Q381" i="34"/>
  <c r="Q382" i="34"/>
  <c r="J381" i="34"/>
  <c r="D381" i="34"/>
  <c r="E381" i="34"/>
  <c r="A1" i="34"/>
  <c r="R651" i="34" l="1"/>
  <c r="R572" i="34"/>
  <c r="S583" i="34"/>
  <c r="R583" i="34"/>
  <c r="S652" i="34"/>
  <c r="R652" i="34"/>
  <c r="S577" i="34"/>
  <c r="R577" i="34"/>
  <c r="S638" i="34"/>
  <c r="R638" i="34"/>
  <c r="R578" i="34"/>
  <c r="S650" i="34"/>
  <c r="R650" i="34"/>
  <c r="R645" i="34"/>
  <c r="R579" i="34"/>
  <c r="S381" i="34"/>
  <c r="R381" i="34"/>
  <c r="S646" i="34"/>
  <c r="R646" i="34"/>
  <c r="R580" i="34"/>
  <c r="S648" i="34"/>
  <c r="R648" i="34"/>
  <c r="R586" i="34"/>
  <c r="S647" i="34"/>
  <c r="R647" i="34"/>
  <c r="Q240" i="34"/>
  <c r="J240" i="34"/>
  <c r="D240" i="34"/>
  <c r="E240" i="34"/>
  <c r="D241" i="34"/>
  <c r="E241" i="34"/>
  <c r="Q272" i="34"/>
  <c r="Q273" i="34"/>
  <c r="Q271" i="34"/>
  <c r="J271" i="34"/>
  <c r="J272" i="34"/>
  <c r="J273" i="34"/>
  <c r="D271" i="34"/>
  <c r="E271" i="34"/>
  <c r="D272" i="34"/>
  <c r="E272" i="34"/>
  <c r="D273" i="34"/>
  <c r="E273" i="34"/>
  <c r="Q269" i="34"/>
  <c r="Q270" i="34"/>
  <c r="J270" i="34"/>
  <c r="D270" i="34"/>
  <c r="E270" i="34"/>
  <c r="J269" i="34"/>
  <c r="D269" i="34"/>
  <c r="E269" i="34"/>
  <c r="J288" i="34"/>
  <c r="J287" i="34"/>
  <c r="J286" i="34"/>
  <c r="J285" i="34"/>
  <c r="J283" i="34"/>
  <c r="R288" i="34" l="1"/>
  <c r="R271" i="34"/>
  <c r="S287" i="34"/>
  <c r="R287" i="34"/>
  <c r="S240" i="34"/>
  <c r="R240" i="34"/>
  <c r="R269" i="34"/>
  <c r="S269" i="34"/>
  <c r="R283" i="34"/>
  <c r="S285" i="34"/>
  <c r="R285" i="34"/>
  <c r="S273" i="34"/>
  <c r="R273" i="34"/>
  <c r="R286" i="34"/>
  <c r="S270" i="34"/>
  <c r="R270" i="34"/>
  <c r="S272" i="34"/>
  <c r="R272" i="34"/>
  <c r="Q170" i="34"/>
  <c r="J170" i="34"/>
  <c r="D170" i="34"/>
  <c r="E170" i="34"/>
  <c r="Q137" i="34"/>
  <c r="J137" i="34"/>
  <c r="D137" i="34"/>
  <c r="E137" i="34"/>
  <c r="D138" i="34"/>
  <c r="E138" i="34"/>
  <c r="Q39" i="34"/>
  <c r="J39" i="34"/>
  <c r="D39" i="34"/>
  <c r="E39" i="34"/>
  <c r="D40" i="34"/>
  <c r="E40" i="34"/>
  <c r="Q44" i="34"/>
  <c r="J44" i="34"/>
  <c r="J43" i="34"/>
  <c r="D44" i="34"/>
  <c r="E44" i="34"/>
  <c r="D78" i="34"/>
  <c r="S43" i="34" l="1"/>
  <c r="R43" i="34"/>
  <c r="R44" i="34"/>
  <c r="S39" i="34"/>
  <c r="R39" i="34"/>
  <c r="Q70" i="34"/>
  <c r="E518" i="34" l="1"/>
  <c r="D518" i="34"/>
  <c r="Q518" i="34"/>
  <c r="J518" i="34"/>
  <c r="D483" i="34"/>
  <c r="E483" i="34"/>
  <c r="S518" i="34" l="1"/>
  <c r="R518" i="34"/>
  <c r="D820" i="34"/>
  <c r="D821" i="34"/>
  <c r="D822" i="34"/>
  <c r="D823" i="34"/>
  <c r="D824" i="34"/>
  <c r="D825" i="34"/>
  <c r="D826" i="34"/>
  <c r="D827" i="34"/>
  <c r="D828" i="34"/>
  <c r="D829" i="34"/>
  <c r="D830" i="34"/>
  <c r="D831" i="34"/>
  <c r="D832" i="34"/>
  <c r="D833" i="34"/>
  <c r="D834" i="34"/>
  <c r="D835" i="34"/>
  <c r="D836" i="34"/>
  <c r="D837" i="34"/>
  <c r="D838" i="34"/>
  <c r="D839" i="34"/>
  <c r="D840" i="34"/>
  <c r="D841" i="34"/>
  <c r="D842" i="34"/>
  <c r="D843" i="34"/>
  <c r="D844" i="34"/>
  <c r="D845" i="34"/>
  <c r="D846" i="34"/>
  <c r="D847" i="34"/>
  <c r="D848" i="34"/>
  <c r="D849" i="34"/>
  <c r="D850" i="34"/>
  <c r="D851" i="34"/>
  <c r="D852" i="34"/>
  <c r="D853" i="34"/>
  <c r="D854" i="34"/>
  <c r="D855" i="34"/>
  <c r="D856" i="34"/>
  <c r="D857" i="34"/>
  <c r="D858" i="34"/>
  <c r="D859" i="34"/>
  <c r="D860" i="34"/>
  <c r="D861" i="34"/>
  <c r="D862" i="34"/>
  <c r="D864" i="34"/>
  <c r="D865" i="34"/>
  <c r="D866" i="34"/>
  <c r="D867" i="34"/>
  <c r="D868" i="34"/>
  <c r="D869" i="34"/>
  <c r="D870" i="34"/>
  <c r="D871" i="34"/>
  <c r="D872" i="34"/>
  <c r="D873" i="34"/>
  <c r="D874" i="34"/>
  <c r="D875" i="34"/>
  <c r="D876" i="34"/>
  <c r="D877" i="34"/>
  <c r="D878" i="34"/>
  <c r="D879" i="34"/>
  <c r="D880" i="34"/>
  <c r="D881" i="34"/>
  <c r="D882" i="34"/>
  <c r="D883" i="34"/>
  <c r="D884" i="34"/>
  <c r="D885" i="34"/>
  <c r="D886" i="34"/>
  <c r="D887" i="34"/>
  <c r="D888" i="34"/>
  <c r="D889" i="34"/>
  <c r="D890" i="34"/>
  <c r="D891" i="34"/>
  <c r="D892" i="34"/>
  <c r="D893" i="34"/>
  <c r="D894" i="34"/>
  <c r="D895" i="34"/>
  <c r="D896" i="34"/>
  <c r="D897" i="34"/>
  <c r="D898" i="34"/>
  <c r="D899" i="34"/>
  <c r="D900" i="34"/>
  <c r="D901" i="34"/>
  <c r="D902" i="34"/>
  <c r="D903" i="34"/>
  <c r="D904" i="34"/>
  <c r="D905" i="34"/>
  <c r="D906" i="34"/>
  <c r="D907" i="34"/>
  <c r="D908" i="34"/>
  <c r="D909" i="34"/>
  <c r="D910" i="34"/>
  <c r="D911" i="34"/>
  <c r="D912" i="34"/>
  <c r="D913" i="34"/>
  <c r="D914" i="34"/>
  <c r="D915" i="34"/>
  <c r="D916" i="34"/>
  <c r="D917" i="34"/>
  <c r="D918" i="34"/>
  <c r="D919" i="34"/>
  <c r="D920" i="34"/>
  <c r="D921" i="34"/>
  <c r="D922" i="34"/>
  <c r="D923" i="34"/>
  <c r="D924" i="34"/>
  <c r="D925" i="34"/>
  <c r="D926" i="34"/>
  <c r="D927" i="34"/>
  <c r="D928" i="34"/>
  <c r="D929" i="34"/>
  <c r="D930" i="34"/>
  <c r="D931" i="34"/>
  <c r="D932" i="34"/>
  <c r="D933" i="34"/>
  <c r="D934" i="34"/>
  <c r="D935" i="34"/>
  <c r="D936" i="34"/>
  <c r="D937" i="34"/>
  <c r="D938" i="34"/>
  <c r="D939" i="34"/>
  <c r="Q408" i="34"/>
  <c r="J408" i="34"/>
  <c r="D408" i="34"/>
  <c r="E408" i="34"/>
  <c r="Q756" i="34"/>
  <c r="Q757" i="34"/>
  <c r="Q758" i="34"/>
  <c r="J756" i="34"/>
  <c r="D756" i="34"/>
  <c r="E756" i="34"/>
  <c r="Q690" i="34"/>
  <c r="J690" i="34"/>
  <c r="D690" i="34"/>
  <c r="E690" i="34"/>
  <c r="Q709" i="34"/>
  <c r="Q710" i="34"/>
  <c r="Q711" i="34"/>
  <c r="Q712" i="34"/>
  <c r="J709" i="34"/>
  <c r="J710" i="34"/>
  <c r="J711" i="34"/>
  <c r="J712" i="34"/>
  <c r="D710" i="34"/>
  <c r="E710" i="34"/>
  <c r="D711" i="34"/>
  <c r="E711" i="34"/>
  <c r="D712" i="34"/>
  <c r="E712" i="34"/>
  <c r="E351" i="34"/>
  <c r="D351" i="34"/>
  <c r="S711" i="34" l="1"/>
  <c r="R711" i="34"/>
  <c r="R408" i="34"/>
  <c r="S709" i="34"/>
  <c r="R709" i="34"/>
  <c r="S712" i="34"/>
  <c r="R712" i="34"/>
  <c r="R710" i="34"/>
  <c r="S690" i="34"/>
  <c r="R690" i="34"/>
  <c r="S756" i="34"/>
  <c r="R756" i="34"/>
  <c r="Q314" i="34"/>
  <c r="Q315" i="34"/>
  <c r="Q316" i="34"/>
  <c r="Q317" i="34"/>
  <c r="Q318" i="34"/>
  <c r="J314" i="34"/>
  <c r="J315" i="34"/>
  <c r="J316" i="34"/>
  <c r="J317" i="34"/>
  <c r="J318" i="34"/>
  <c r="D315" i="34"/>
  <c r="E315" i="34"/>
  <c r="D316" i="34"/>
  <c r="E316" i="34"/>
  <c r="D317" i="34"/>
  <c r="E317" i="34"/>
  <c r="D318" i="34"/>
  <c r="E318" i="34"/>
  <c r="Q286" i="34"/>
  <c r="Q287" i="34"/>
  <c r="D286" i="34"/>
  <c r="E286" i="34"/>
  <c r="D287" i="34"/>
  <c r="E287" i="34"/>
  <c r="Q351" i="34"/>
  <c r="J351" i="34"/>
  <c r="D305" i="34"/>
  <c r="E305" i="34"/>
  <c r="J305" i="34"/>
  <c r="Q305" i="34"/>
  <c r="E304" i="34"/>
  <c r="D304" i="34"/>
  <c r="J225" i="34"/>
  <c r="J226" i="34"/>
  <c r="J207" i="34"/>
  <c r="J208" i="34"/>
  <c r="J209" i="34"/>
  <c r="J210" i="34"/>
  <c r="J231" i="34"/>
  <c r="J232" i="34"/>
  <c r="J233" i="34"/>
  <c r="J234" i="34"/>
  <c r="V88" i="34"/>
  <c r="V87" i="34"/>
  <c r="V83" i="34"/>
  <c r="V76" i="34"/>
  <c r="V77" i="34" s="1"/>
  <c r="R317" i="34" l="1"/>
  <c r="S210" i="34"/>
  <c r="R210" i="34"/>
  <c r="R209" i="34"/>
  <c r="R316" i="34"/>
  <c r="R208" i="34"/>
  <c r="R315" i="34"/>
  <c r="S232" i="34"/>
  <c r="R232" i="34"/>
  <c r="R318" i="34"/>
  <c r="R207" i="34"/>
  <c r="R314" i="34"/>
  <c r="S231" i="34"/>
  <c r="R231" i="34"/>
  <c r="S226" i="34"/>
  <c r="R226" i="34"/>
  <c r="S305" i="34"/>
  <c r="R305" i="34"/>
  <c r="S351" i="34"/>
  <c r="R351" i="34"/>
  <c r="R234" i="34"/>
  <c r="R233" i="34"/>
  <c r="R225" i="34"/>
  <c r="V89" i="34"/>
  <c r="V97" i="34" s="1"/>
  <c r="V104" i="34" s="1"/>
  <c r="J202" i="34"/>
  <c r="AA200" i="34"/>
  <c r="D136" i="34"/>
  <c r="E136" i="34"/>
  <c r="J136" i="34"/>
  <c r="Q136" i="34"/>
  <c r="J138" i="34"/>
  <c r="Q138" i="34"/>
  <c r="D139" i="34"/>
  <c r="E139" i="34"/>
  <c r="J139" i="34"/>
  <c r="Q139" i="34"/>
  <c r="D140" i="34"/>
  <c r="E140" i="34"/>
  <c r="J140" i="34"/>
  <c r="Q140" i="34"/>
  <c r="Q100" i="34"/>
  <c r="D102" i="34"/>
  <c r="E102" i="34"/>
  <c r="D68" i="34"/>
  <c r="E68" i="34"/>
  <c r="Q68" i="34"/>
  <c r="D69" i="34"/>
  <c r="E69" i="34"/>
  <c r="Q69" i="34"/>
  <c r="J184" i="34"/>
  <c r="J185" i="34"/>
  <c r="J186" i="34"/>
  <c r="J187" i="34"/>
  <c r="J179" i="34"/>
  <c r="AA781" i="34"/>
  <c r="E746" i="34"/>
  <c r="S179" i="34" l="1"/>
  <c r="R179" i="34"/>
  <c r="S202" i="34"/>
  <c r="R202" i="34"/>
  <c r="S138" i="34"/>
  <c r="R138" i="34"/>
  <c r="S139" i="34"/>
  <c r="R139" i="34"/>
  <c r="R186" i="34"/>
  <c r="R140" i="34"/>
  <c r="S140" i="34"/>
  <c r="R187" i="34"/>
  <c r="S185" i="34"/>
  <c r="R185" i="34"/>
  <c r="R184" i="34"/>
  <c r="Q749" i="34"/>
  <c r="Q748" i="34"/>
  <c r="D748" i="34"/>
  <c r="E748" i="34"/>
  <c r="Q746" i="34"/>
  <c r="J746" i="34"/>
  <c r="D746" i="34"/>
  <c r="D718" i="34"/>
  <c r="D719" i="34"/>
  <c r="D720" i="34"/>
  <c r="D721" i="34"/>
  <c r="D722" i="34"/>
  <c r="D723" i="34"/>
  <c r="D724" i="34"/>
  <c r="D725" i="34"/>
  <c r="D726" i="34"/>
  <c r="D727" i="34"/>
  <c r="D729" i="34"/>
  <c r="D730" i="34"/>
  <c r="D731" i="34"/>
  <c r="D732" i="34"/>
  <c r="D733" i="34"/>
  <c r="D734" i="34"/>
  <c r="D735" i="34"/>
  <c r="D736" i="34"/>
  <c r="D737" i="34"/>
  <c r="D738" i="34"/>
  <c r="D739" i="34"/>
  <c r="D740" i="34"/>
  <c r="D741" i="34"/>
  <c r="D742" i="34"/>
  <c r="D743" i="34"/>
  <c r="D744" i="34"/>
  <c r="D745" i="34"/>
  <c r="D747" i="34"/>
  <c r="D750" i="34"/>
  <c r="D751" i="34"/>
  <c r="D752" i="34"/>
  <c r="D753" i="34"/>
  <c r="D754" i="34"/>
  <c r="D755" i="34"/>
  <c r="D757" i="34"/>
  <c r="D758" i="34"/>
  <c r="D759" i="34"/>
  <c r="D760" i="34"/>
  <c r="D761" i="34"/>
  <c r="D762" i="34"/>
  <c r="D763" i="34"/>
  <c r="D764" i="34"/>
  <c r="D765" i="34"/>
  <c r="D766" i="34"/>
  <c r="D767" i="34"/>
  <c r="D768" i="34"/>
  <c r="D769" i="34"/>
  <c r="D770" i="34"/>
  <c r="D771" i="34"/>
  <c r="D772" i="34"/>
  <c r="D773" i="34"/>
  <c r="D774" i="34"/>
  <c r="D775" i="34"/>
  <c r="D776" i="34"/>
  <c r="D777" i="34"/>
  <c r="D778" i="34"/>
  <c r="D779" i="34"/>
  <c r="D780" i="34"/>
  <c r="D781" i="34"/>
  <c r="D782" i="34"/>
  <c r="D783" i="34"/>
  <c r="D784" i="34"/>
  <c r="D785" i="34"/>
  <c r="D786" i="34"/>
  <c r="D787" i="34"/>
  <c r="D788" i="34"/>
  <c r="D789" i="34"/>
  <c r="D790" i="34"/>
  <c r="D791" i="34"/>
  <c r="D792" i="34"/>
  <c r="D793" i="34"/>
  <c r="D794" i="34"/>
  <c r="D795" i="34"/>
  <c r="D796" i="34"/>
  <c r="D797" i="34"/>
  <c r="D798" i="34"/>
  <c r="D799" i="34"/>
  <c r="D800" i="34"/>
  <c r="D801" i="34"/>
  <c r="D714" i="34"/>
  <c r="D715" i="34"/>
  <c r="D716" i="34"/>
  <c r="D717" i="34"/>
  <c r="D709" i="34"/>
  <c r="S746" i="34" l="1"/>
  <c r="R746" i="34"/>
  <c r="Q894" i="34"/>
  <c r="J894" i="34"/>
  <c r="R894" i="34" s="1"/>
  <c r="E894" i="34"/>
  <c r="Q893" i="34"/>
  <c r="J893" i="34"/>
  <c r="R893" i="34" s="1"/>
  <c r="E893" i="34"/>
  <c r="Q892" i="34"/>
  <c r="J892" i="34"/>
  <c r="R892" i="34" s="1"/>
  <c r="E892" i="34"/>
  <c r="Q891" i="34"/>
  <c r="J891" i="34"/>
  <c r="R891" i="34" s="1"/>
  <c r="E891" i="34"/>
  <c r="Q890" i="34"/>
  <c r="J890" i="34"/>
  <c r="R890" i="34" s="1"/>
  <c r="E890" i="34"/>
  <c r="Q889" i="34"/>
  <c r="J889" i="34"/>
  <c r="R889" i="34" s="1"/>
  <c r="E889" i="34"/>
  <c r="Q888" i="34"/>
  <c r="J888" i="34"/>
  <c r="E888" i="34"/>
  <c r="Q887" i="34"/>
  <c r="J887" i="34"/>
  <c r="E887" i="34"/>
  <c r="Q886" i="34"/>
  <c r="J886" i="34"/>
  <c r="E886" i="34"/>
  <c r="Q885" i="34"/>
  <c r="J885" i="34"/>
  <c r="E885" i="34"/>
  <c r="Q884" i="34"/>
  <c r="J884" i="34"/>
  <c r="E884" i="34"/>
  <c r="Q883" i="34"/>
  <c r="J883" i="34"/>
  <c r="E883" i="34"/>
  <c r="Q882" i="34"/>
  <c r="J882" i="34"/>
  <c r="E882" i="34"/>
  <c r="Q881" i="34"/>
  <c r="J881" i="34"/>
  <c r="E881" i="34"/>
  <c r="Q880" i="34"/>
  <c r="J880" i="34"/>
  <c r="E880" i="34"/>
  <c r="Q879" i="34"/>
  <c r="J879" i="34"/>
  <c r="E879" i="34"/>
  <c r="Q878" i="34"/>
  <c r="J878" i="34"/>
  <c r="E878" i="34"/>
  <c r="Q877" i="34"/>
  <c r="J877" i="34"/>
  <c r="E877" i="34"/>
  <c r="Q876" i="34"/>
  <c r="J876" i="34"/>
  <c r="E876" i="34"/>
  <c r="Q875" i="34"/>
  <c r="J875" i="34"/>
  <c r="E875" i="34"/>
  <c r="Q874" i="34"/>
  <c r="J874" i="34"/>
  <c r="E874" i="34"/>
  <c r="Q873" i="34"/>
  <c r="J873" i="34"/>
  <c r="E873" i="34"/>
  <c r="Q872" i="34"/>
  <c r="J872" i="34"/>
  <c r="E872" i="34"/>
  <c r="Q871" i="34"/>
  <c r="J871" i="34"/>
  <c r="E871" i="34"/>
  <c r="Q870" i="34"/>
  <c r="J870" i="34"/>
  <c r="E870" i="34"/>
  <c r="Q869" i="34"/>
  <c r="J869" i="34"/>
  <c r="E869" i="34"/>
  <c r="Q868" i="34"/>
  <c r="J868" i="34"/>
  <c r="E868" i="34"/>
  <c r="Q867" i="34"/>
  <c r="J867" i="34"/>
  <c r="E867" i="34"/>
  <c r="Q866" i="34"/>
  <c r="J866" i="34"/>
  <c r="E866" i="34"/>
  <c r="Q865" i="34"/>
  <c r="J865" i="34"/>
  <c r="E865" i="34"/>
  <c r="Q864" i="34"/>
  <c r="J864" i="34"/>
  <c r="E864" i="34"/>
  <c r="Q862" i="34"/>
  <c r="E862" i="34"/>
  <c r="Q861" i="34"/>
  <c r="J861" i="34"/>
  <c r="E861" i="34"/>
  <c r="Q860" i="34"/>
  <c r="J860" i="34"/>
  <c r="E860" i="34"/>
  <c r="Q859" i="34"/>
  <c r="J859" i="34"/>
  <c r="E859" i="34"/>
  <c r="Q858" i="34"/>
  <c r="J858" i="34"/>
  <c r="E858" i="34"/>
  <c r="Q857" i="34"/>
  <c r="J857" i="34"/>
  <c r="E857" i="34"/>
  <c r="Q856" i="34"/>
  <c r="J856" i="34"/>
  <c r="E856" i="34"/>
  <c r="Q855" i="34"/>
  <c r="J855" i="34"/>
  <c r="E855" i="34"/>
  <c r="Q854" i="34"/>
  <c r="J854" i="34"/>
  <c r="E854" i="34"/>
  <c r="Q853" i="34"/>
  <c r="J853" i="34"/>
  <c r="E853" i="34"/>
  <c r="Q852" i="34"/>
  <c r="J852" i="34"/>
  <c r="E852" i="34"/>
  <c r="Q851" i="34"/>
  <c r="J851" i="34"/>
  <c r="E851" i="34"/>
  <c r="Q850" i="34"/>
  <c r="J850" i="34"/>
  <c r="E850" i="34"/>
  <c r="Q849" i="34"/>
  <c r="J849" i="34"/>
  <c r="E849" i="34"/>
  <c r="Q848" i="34"/>
  <c r="J848" i="34"/>
  <c r="E848" i="34"/>
  <c r="Q847" i="34"/>
  <c r="J847" i="34"/>
  <c r="E847" i="34"/>
  <c r="Q846" i="34"/>
  <c r="J846" i="34"/>
  <c r="E846" i="34"/>
  <c r="Q845" i="34"/>
  <c r="J845" i="34"/>
  <c r="E845" i="34"/>
  <c r="Q844" i="34"/>
  <c r="J844" i="34"/>
  <c r="E844" i="34"/>
  <c r="Q843" i="34"/>
  <c r="J843" i="34"/>
  <c r="E843" i="34"/>
  <c r="Q842" i="34"/>
  <c r="J842" i="34"/>
  <c r="E842" i="34"/>
  <c r="Q841" i="34"/>
  <c r="J841" i="34"/>
  <c r="E841" i="34"/>
  <c r="Q840" i="34"/>
  <c r="J840" i="34"/>
  <c r="E840" i="34"/>
  <c r="Q839" i="34"/>
  <c r="J839" i="34"/>
  <c r="E839" i="34"/>
  <c r="Q838" i="34"/>
  <c r="J838" i="34"/>
  <c r="E838" i="34"/>
  <c r="Q837" i="34"/>
  <c r="J837" i="34"/>
  <c r="E837" i="34"/>
  <c r="Q836" i="34"/>
  <c r="J836" i="34"/>
  <c r="E836" i="34"/>
  <c r="Q835" i="34"/>
  <c r="J835" i="34"/>
  <c r="E835" i="34"/>
  <c r="Q834" i="34"/>
  <c r="J834" i="34"/>
  <c r="E834" i="34"/>
  <c r="Q833" i="34"/>
  <c r="J833" i="34"/>
  <c r="E833" i="34"/>
  <c r="Q832" i="34"/>
  <c r="J832" i="34"/>
  <c r="E832" i="34"/>
  <c r="Q831" i="34"/>
  <c r="J831" i="34"/>
  <c r="E831" i="34"/>
  <c r="Q830" i="34"/>
  <c r="J830" i="34"/>
  <c r="E830" i="34"/>
  <c r="Q829" i="34"/>
  <c r="J829" i="34"/>
  <c r="E829" i="34"/>
  <c r="Q828" i="34"/>
  <c r="J828" i="34"/>
  <c r="E828" i="34"/>
  <c r="Q827" i="34"/>
  <c r="J827" i="34"/>
  <c r="E827" i="34"/>
  <c r="Q826" i="34"/>
  <c r="J826" i="34"/>
  <c r="E826" i="34"/>
  <c r="Q825" i="34"/>
  <c r="J825" i="34"/>
  <c r="E825" i="34"/>
  <c r="Q824" i="34"/>
  <c r="J824" i="34"/>
  <c r="E824" i="34"/>
  <c r="Q823" i="34"/>
  <c r="J823" i="34"/>
  <c r="E823" i="34"/>
  <c r="J822" i="34"/>
  <c r="E822" i="34"/>
  <c r="Q821" i="34"/>
  <c r="J821" i="34"/>
  <c r="E821" i="34"/>
  <c r="E820" i="34"/>
  <c r="Q818" i="34"/>
  <c r="J818" i="34"/>
  <c r="E818" i="34"/>
  <c r="D818" i="34"/>
  <c r="Q817" i="34"/>
  <c r="J817" i="34"/>
  <c r="E817" i="34"/>
  <c r="D817" i="34"/>
  <c r="Q816" i="34"/>
  <c r="J816" i="34"/>
  <c r="E816" i="34"/>
  <c r="D816" i="34"/>
  <c r="Q815" i="34"/>
  <c r="J815" i="34"/>
  <c r="E815" i="34"/>
  <c r="D815" i="34"/>
  <c r="Q814" i="34"/>
  <c r="J814" i="34"/>
  <c r="E814" i="34"/>
  <c r="D814" i="34"/>
  <c r="Q813" i="34"/>
  <c r="J813" i="34"/>
  <c r="E813" i="34"/>
  <c r="D813" i="34"/>
  <c r="Q812" i="34"/>
  <c r="J812" i="34"/>
  <c r="E812" i="34"/>
  <c r="D812" i="34"/>
  <c r="Q811" i="34"/>
  <c r="J811" i="34"/>
  <c r="E811" i="34"/>
  <c r="D811" i="34"/>
  <c r="Q810" i="34"/>
  <c r="J810" i="34"/>
  <c r="E810" i="34"/>
  <c r="D810" i="34"/>
  <c r="Q809" i="34"/>
  <c r="J809" i="34"/>
  <c r="E809" i="34"/>
  <c r="D809" i="34"/>
  <c r="Q808" i="34"/>
  <c r="J808" i="34"/>
  <c r="E808" i="34"/>
  <c r="D808" i="34"/>
  <c r="Q807" i="34"/>
  <c r="J807" i="34"/>
  <c r="E807" i="34"/>
  <c r="D807" i="34"/>
  <c r="Q806" i="34"/>
  <c r="J806" i="34"/>
  <c r="E806" i="34"/>
  <c r="D806" i="34"/>
  <c r="Q805" i="34"/>
  <c r="J805" i="34"/>
  <c r="E805" i="34"/>
  <c r="D805" i="34"/>
  <c r="Q804" i="34"/>
  <c r="J804" i="34"/>
  <c r="E804" i="34"/>
  <c r="D804" i="34"/>
  <c r="Q803" i="34"/>
  <c r="J803" i="34"/>
  <c r="E803" i="34"/>
  <c r="D803" i="34"/>
  <c r="Q802" i="34"/>
  <c r="J802" i="34"/>
  <c r="E802" i="34"/>
  <c r="D802" i="34"/>
  <c r="Q801" i="34"/>
  <c r="J801" i="34"/>
  <c r="E801" i="34"/>
  <c r="Q800" i="34"/>
  <c r="J800" i="34"/>
  <c r="E800" i="34"/>
  <c r="Q799" i="34"/>
  <c r="J799" i="34"/>
  <c r="E799" i="34"/>
  <c r="Q798" i="34"/>
  <c r="J798" i="34"/>
  <c r="E798" i="34"/>
  <c r="Q797" i="34"/>
  <c r="J797" i="34"/>
  <c r="E797" i="34"/>
  <c r="Q796" i="34"/>
  <c r="J796" i="34"/>
  <c r="E796" i="34"/>
  <c r="Q795" i="34"/>
  <c r="J795" i="34"/>
  <c r="E795" i="34"/>
  <c r="Q794" i="34"/>
  <c r="J794" i="34"/>
  <c r="E794" i="34"/>
  <c r="Q793" i="34"/>
  <c r="J793" i="34"/>
  <c r="E793" i="34"/>
  <c r="Q792" i="34"/>
  <c r="J792" i="34"/>
  <c r="E792" i="34"/>
  <c r="Q791" i="34"/>
  <c r="J791" i="34"/>
  <c r="E791" i="34"/>
  <c r="Q790" i="34"/>
  <c r="J790" i="34"/>
  <c r="E790" i="34"/>
  <c r="Q789" i="34"/>
  <c r="J789" i="34"/>
  <c r="E789" i="34"/>
  <c r="Q788" i="34"/>
  <c r="J788" i="34"/>
  <c r="E788" i="34"/>
  <c r="E652" i="34"/>
  <c r="E653" i="34"/>
  <c r="D588" i="34"/>
  <c r="R885" i="34" l="1"/>
  <c r="R796" i="34"/>
  <c r="R844" i="34"/>
  <c r="R866" i="34"/>
  <c r="R809" i="34"/>
  <c r="R817" i="34"/>
  <c r="R825" i="34"/>
  <c r="R827" i="34"/>
  <c r="R830" i="34"/>
  <c r="R834" i="34"/>
  <c r="R848" i="34"/>
  <c r="R870" i="34"/>
  <c r="S879" i="34"/>
  <c r="R879" i="34"/>
  <c r="R888" i="34"/>
  <c r="R880" i="34"/>
  <c r="S792" i="34"/>
  <c r="R792" i="34"/>
  <c r="R871" i="34"/>
  <c r="R795" i="34"/>
  <c r="R807" i="34"/>
  <c r="R838" i="34"/>
  <c r="R843" i="34"/>
  <c r="S852" i="34"/>
  <c r="R852" i="34"/>
  <c r="S856" i="34"/>
  <c r="R856" i="34"/>
  <c r="R860" i="34"/>
  <c r="R865" i="34"/>
  <c r="R874" i="34"/>
  <c r="S883" i="34"/>
  <c r="R883" i="34"/>
  <c r="R801" i="34"/>
  <c r="S849" i="34"/>
  <c r="R849" i="34"/>
  <c r="R810" i="34"/>
  <c r="R839" i="34"/>
  <c r="S857" i="34"/>
  <c r="R857" i="34"/>
  <c r="R875" i="34"/>
  <c r="S791" i="34"/>
  <c r="R791" i="34"/>
  <c r="R799" i="34"/>
  <c r="S808" i="34"/>
  <c r="R808" i="34"/>
  <c r="S816" i="34"/>
  <c r="R816" i="34"/>
  <c r="R805" i="34"/>
  <c r="S806" i="34"/>
  <c r="R806" i="34"/>
  <c r="R815" i="34"/>
  <c r="R829" i="34"/>
  <c r="R833" i="34"/>
  <c r="S842" i="34"/>
  <c r="R842" i="34"/>
  <c r="R847" i="34"/>
  <c r="R869" i="34"/>
  <c r="R878" i="34"/>
  <c r="R887" i="34"/>
  <c r="R835" i="34"/>
  <c r="S818" i="34"/>
  <c r="R818" i="34"/>
  <c r="R861" i="34"/>
  <c r="R794" i="34"/>
  <c r="S804" i="34"/>
  <c r="R804" i="34"/>
  <c r="R814" i="34"/>
  <c r="R822" i="34"/>
  <c r="S822" i="34"/>
  <c r="R824" i="34"/>
  <c r="R837" i="34"/>
  <c r="R851" i="34"/>
  <c r="S855" i="34"/>
  <c r="R855" i="34"/>
  <c r="R859" i="34"/>
  <c r="S864" i="34"/>
  <c r="R864" i="34"/>
  <c r="R868" i="34"/>
  <c r="S873" i="34"/>
  <c r="R873" i="34"/>
  <c r="R877" i="34"/>
  <c r="R882" i="34"/>
  <c r="R811" i="34"/>
  <c r="R788" i="34"/>
  <c r="R853" i="34"/>
  <c r="R884" i="34"/>
  <c r="R790" i="34"/>
  <c r="R798" i="34"/>
  <c r="R803" i="34"/>
  <c r="R813" i="34"/>
  <c r="S813" i="34"/>
  <c r="S826" i="34"/>
  <c r="R826" i="34"/>
  <c r="S828" i="34"/>
  <c r="R828" i="34"/>
  <c r="R832" i="34"/>
  <c r="R841" i="34"/>
  <c r="R846" i="34"/>
  <c r="R850" i="34"/>
  <c r="S886" i="34"/>
  <c r="R886" i="34"/>
  <c r="R831" i="34"/>
  <c r="S800" i="34"/>
  <c r="R800" i="34"/>
  <c r="R789" i="34"/>
  <c r="R793" i="34"/>
  <c r="R797" i="34"/>
  <c r="R802" i="34"/>
  <c r="R812" i="34"/>
  <c r="R821" i="34"/>
  <c r="S821" i="34"/>
  <c r="R823" i="34"/>
  <c r="S836" i="34"/>
  <c r="R836" i="34"/>
  <c r="S840" i="34"/>
  <c r="R840" i="34"/>
  <c r="R845" i="34"/>
  <c r="S854" i="34"/>
  <c r="R854" i="34"/>
  <c r="S858" i="34"/>
  <c r="R858" i="34"/>
  <c r="R862" i="34"/>
  <c r="S867" i="34"/>
  <c r="R867" i="34"/>
  <c r="R872" i="34"/>
  <c r="R876" i="34"/>
  <c r="R881" i="34"/>
  <c r="S893" i="34"/>
  <c r="S889" i="34"/>
  <c r="S892" i="34"/>
  <c r="S894" i="34"/>
  <c r="S891" i="34"/>
  <c r="Q264" i="34"/>
  <c r="Q477" i="34"/>
  <c r="D494" i="34"/>
  <c r="E494" i="34"/>
  <c r="Q494" i="34"/>
  <c r="Q495" i="34"/>
  <c r="Q496" i="34"/>
  <c r="Q497" i="34"/>
  <c r="Q450" i="34"/>
  <c r="Q335" i="34"/>
  <c r="J335" i="34"/>
  <c r="D335" i="34"/>
  <c r="E335" i="34"/>
  <c r="Q265" i="34"/>
  <c r="Q266" i="34"/>
  <c r="Q267" i="34"/>
  <c r="Q268" i="34"/>
  <c r="J264" i="34"/>
  <c r="J265" i="34"/>
  <c r="J266" i="34"/>
  <c r="J267" i="34"/>
  <c r="J268" i="34"/>
  <c r="D264" i="34"/>
  <c r="E264" i="34"/>
  <c r="D265" i="34"/>
  <c r="E265" i="34"/>
  <c r="D266" i="34"/>
  <c r="E266" i="34"/>
  <c r="D267" i="34"/>
  <c r="E267" i="34"/>
  <c r="D268" i="34"/>
  <c r="E268" i="34"/>
  <c r="Q227" i="34"/>
  <c r="J227" i="34"/>
  <c r="D227" i="34"/>
  <c r="E227" i="34"/>
  <c r="Q166" i="34"/>
  <c r="Q167" i="34"/>
  <c r="Q168" i="34"/>
  <c r="J166" i="34"/>
  <c r="J167" i="34"/>
  <c r="J168" i="34"/>
  <c r="D166" i="34"/>
  <c r="E166" i="34"/>
  <c r="D167" i="34"/>
  <c r="E167" i="34"/>
  <c r="R495" i="34" l="1"/>
  <c r="R167" i="34"/>
  <c r="R335" i="34"/>
  <c r="S496" i="34"/>
  <c r="R496" i="34"/>
  <c r="S494" i="34"/>
  <c r="R494" i="34"/>
  <c r="R227" i="34"/>
  <c r="S265" i="34"/>
  <c r="R265" i="34"/>
  <c r="R268" i="34"/>
  <c r="S268" i="34"/>
  <c r="R450" i="34"/>
  <c r="S166" i="34"/>
  <c r="R166" i="34"/>
  <c r="S264" i="34"/>
  <c r="R264" i="34"/>
  <c r="S477" i="34"/>
  <c r="R477" i="34"/>
  <c r="R168" i="34"/>
  <c r="S267" i="34"/>
  <c r="R267" i="34"/>
  <c r="S266" i="34"/>
  <c r="R266" i="34"/>
  <c r="Q64" i="34"/>
  <c r="Q66" i="34"/>
  <c r="J64" i="34"/>
  <c r="E64" i="34"/>
  <c r="E65" i="34"/>
  <c r="E66" i="34"/>
  <c r="E67" i="34"/>
  <c r="E70" i="34"/>
  <c r="D70" i="34"/>
  <c r="D66" i="34"/>
  <c r="D64" i="34"/>
  <c r="R64" i="34" l="1"/>
  <c r="D652" i="34"/>
  <c r="D684" i="34"/>
  <c r="D685" i="34"/>
  <c r="D686" i="34"/>
  <c r="D687" i="34"/>
  <c r="D688" i="34"/>
  <c r="D689" i="34"/>
  <c r="D691" i="34"/>
  <c r="D692" i="34"/>
  <c r="D693" i="34"/>
  <c r="D694" i="34"/>
  <c r="D695" i="34"/>
  <c r="D696" i="34"/>
  <c r="D697" i="34"/>
  <c r="D698" i="34"/>
  <c r="D699" i="34"/>
  <c r="D700" i="34"/>
  <c r="D701" i="34"/>
  <c r="D702" i="34"/>
  <c r="D703" i="34"/>
  <c r="D704" i="34"/>
  <c r="D705" i="34"/>
  <c r="D706" i="34"/>
  <c r="D707" i="34"/>
  <c r="D708" i="34"/>
  <c r="D664" i="34"/>
  <c r="D665" i="34"/>
  <c r="D666" i="34"/>
  <c r="D667" i="34"/>
  <c r="D668" i="34"/>
  <c r="D669" i="34"/>
  <c r="D670" i="34"/>
  <c r="D671" i="34"/>
  <c r="D672" i="34"/>
  <c r="D673" i="34"/>
  <c r="D674" i="34"/>
  <c r="D675" i="34"/>
  <c r="D676" i="34"/>
  <c r="D677" i="34"/>
  <c r="D679" i="34"/>
  <c r="D680" i="34"/>
  <c r="D681" i="34"/>
  <c r="D682" i="34"/>
  <c r="D638" i="34"/>
  <c r="D639" i="34"/>
  <c r="D640" i="34"/>
  <c r="D641" i="34"/>
  <c r="D642" i="34"/>
  <c r="D643" i="34"/>
  <c r="D645" i="34"/>
  <c r="D646" i="34"/>
  <c r="D647" i="34"/>
  <c r="D651" i="34"/>
  <c r="D653" i="34"/>
  <c r="D654" i="34"/>
  <c r="D655" i="34"/>
  <c r="D656" i="34"/>
  <c r="D657" i="34"/>
  <c r="D658" i="34"/>
  <c r="D659" i="34"/>
  <c r="D660" i="34"/>
  <c r="D661" i="34"/>
  <c r="D662" i="34"/>
  <c r="D663" i="34"/>
  <c r="D618" i="34"/>
  <c r="D619" i="34"/>
  <c r="D620" i="34"/>
  <c r="D621" i="34"/>
  <c r="D622" i="34"/>
  <c r="D623" i="34"/>
  <c r="D624" i="34"/>
  <c r="D625" i="34"/>
  <c r="D626" i="34"/>
  <c r="D627" i="34"/>
  <c r="D628" i="34"/>
  <c r="D629" i="34"/>
  <c r="D630" i="34"/>
  <c r="D631" i="34"/>
  <c r="D632" i="34"/>
  <c r="D633" i="34"/>
  <c r="D634" i="34"/>
  <c r="D635" i="34"/>
  <c r="D637" i="34"/>
  <c r="D613" i="34"/>
  <c r="D614" i="34"/>
  <c r="D616" i="34"/>
  <c r="D617" i="34"/>
  <c r="D590" i="34"/>
  <c r="D592" i="34"/>
  <c r="D593" i="34"/>
  <c r="D594" i="34"/>
  <c r="D595" i="34"/>
  <c r="D596" i="34"/>
  <c r="D597" i="34"/>
  <c r="D598" i="34"/>
  <c r="D599" i="34"/>
  <c r="D600" i="34"/>
  <c r="D601" i="34"/>
  <c r="D602" i="34"/>
  <c r="D603" i="34"/>
  <c r="D604" i="34"/>
  <c r="D605" i="34"/>
  <c r="D606" i="34"/>
  <c r="D607" i="34"/>
  <c r="D608" i="34"/>
  <c r="D609" i="34"/>
  <c r="D611" i="34"/>
  <c r="D612" i="34"/>
  <c r="D589" i="34"/>
  <c r="D565" i="34"/>
  <c r="D566" i="34"/>
  <c r="D567" i="34"/>
  <c r="D568" i="34"/>
  <c r="D569" i="34"/>
  <c r="D570" i="34"/>
  <c r="D571" i="34"/>
  <c r="D572" i="34"/>
  <c r="D573" i="34"/>
  <c r="D574" i="34"/>
  <c r="D575" i="34"/>
  <c r="D576" i="34"/>
  <c r="D580" i="34"/>
  <c r="D581" i="34"/>
  <c r="D582" i="34"/>
  <c r="D583" i="34"/>
  <c r="D584" i="34"/>
  <c r="D585" i="34"/>
  <c r="D586" i="34"/>
  <c r="D587" i="34"/>
  <c r="D541" i="34" l="1"/>
  <c r="D542" i="34"/>
  <c r="D543" i="34"/>
  <c r="D544" i="34"/>
  <c r="D545" i="34"/>
  <c r="D547" i="34"/>
  <c r="D548" i="34"/>
  <c r="D549" i="34"/>
  <c r="D550" i="34"/>
  <c r="D551" i="34"/>
  <c r="D552" i="34"/>
  <c r="D553" i="34"/>
  <c r="D554" i="34"/>
  <c r="D555" i="34"/>
  <c r="D556" i="34"/>
  <c r="D557" i="34"/>
  <c r="D558" i="34"/>
  <c r="D559" i="34"/>
  <c r="D560" i="34"/>
  <c r="D561" i="34"/>
  <c r="D562" i="34"/>
  <c r="D563" i="34"/>
  <c r="D564" i="34"/>
  <c r="E563" i="34"/>
  <c r="E564" i="34"/>
  <c r="E520" i="34" l="1"/>
  <c r="E521" i="34"/>
  <c r="E522" i="34"/>
  <c r="E523" i="34"/>
  <c r="D517" i="34"/>
  <c r="D519" i="34"/>
  <c r="D520" i="34"/>
  <c r="D521" i="34"/>
  <c r="D522" i="34"/>
  <c r="D523" i="34"/>
  <c r="D524" i="34"/>
  <c r="D525" i="34"/>
  <c r="D526" i="34"/>
  <c r="D527" i="34"/>
  <c r="D528" i="34"/>
  <c r="D529" i="34"/>
  <c r="D530" i="34"/>
  <c r="D531" i="34"/>
  <c r="D532" i="34"/>
  <c r="D533" i="34"/>
  <c r="D534" i="34"/>
  <c r="D535" i="34"/>
  <c r="D536" i="34"/>
  <c r="D537" i="34"/>
  <c r="D538" i="34"/>
  <c r="D539" i="34"/>
  <c r="D540" i="34"/>
  <c r="D490" i="34" l="1"/>
  <c r="D491" i="34"/>
  <c r="D492" i="34"/>
  <c r="D493" i="34"/>
  <c r="D495" i="34"/>
  <c r="D496" i="34"/>
  <c r="D497" i="34"/>
  <c r="D498" i="34"/>
  <c r="D499" i="34"/>
  <c r="D500" i="34"/>
  <c r="D501" i="34"/>
  <c r="D502" i="34"/>
  <c r="D503" i="34"/>
  <c r="D505" i="34"/>
  <c r="D506" i="34"/>
  <c r="D507" i="34"/>
  <c r="D508" i="34"/>
  <c r="D509" i="34"/>
  <c r="D510" i="34"/>
  <c r="D513" i="34"/>
  <c r="D514" i="34"/>
  <c r="D515" i="34"/>
  <c r="D516" i="34"/>
  <c r="D479" i="34"/>
  <c r="D480" i="34"/>
  <c r="D481" i="34"/>
  <c r="D482" i="34"/>
  <c r="D484" i="34"/>
  <c r="D485" i="34"/>
  <c r="D486" i="34"/>
  <c r="D487" i="34"/>
  <c r="D488" i="34"/>
  <c r="D489" i="34"/>
  <c r="Q401" i="34"/>
  <c r="J401" i="34"/>
  <c r="D403" i="34"/>
  <c r="D404" i="34"/>
  <c r="D405" i="34"/>
  <c r="D406" i="34"/>
  <c r="D407" i="34"/>
  <c r="D409" i="34"/>
  <c r="D388" i="34"/>
  <c r="D389" i="34"/>
  <c r="D390" i="34"/>
  <c r="D391" i="34"/>
  <c r="D392" i="34"/>
  <c r="D393" i="34"/>
  <c r="D394" i="34"/>
  <c r="D395" i="34"/>
  <c r="D396" i="34"/>
  <c r="D397" i="34"/>
  <c r="D398" i="34"/>
  <c r="D399" i="34"/>
  <c r="D400" i="34"/>
  <c r="D377" i="34"/>
  <c r="D378" i="34"/>
  <c r="D379" i="34"/>
  <c r="D380" i="34"/>
  <c r="D382" i="34"/>
  <c r="D383" i="34"/>
  <c r="D384" i="34"/>
  <c r="D385" i="34"/>
  <c r="D386" i="34"/>
  <c r="D387" i="34"/>
  <c r="S401" i="34" l="1"/>
  <c r="R401" i="34"/>
  <c r="D354" i="34"/>
  <c r="D355" i="34"/>
  <c r="D356" i="34"/>
  <c r="D357" i="34"/>
  <c r="D358" i="34"/>
  <c r="D359" i="34"/>
  <c r="D360" i="34"/>
  <c r="D361" i="34"/>
  <c r="D362" i="34"/>
  <c r="D363" i="34"/>
  <c r="D364" i="34"/>
  <c r="D365" i="34"/>
  <c r="D366" i="34"/>
  <c r="D367" i="34"/>
  <c r="D369" i="34"/>
  <c r="D370" i="34"/>
  <c r="D371" i="34"/>
  <c r="D372" i="34"/>
  <c r="D373" i="34"/>
  <c r="D375" i="34"/>
  <c r="Z623" i="34" l="1"/>
  <c r="AA572" i="34" l="1"/>
  <c r="AA574" i="34" s="1"/>
  <c r="AA576" i="34" s="1"/>
  <c r="Z174" i="34"/>
  <c r="AA174" i="34" s="1"/>
  <c r="D34" i="35" l="1"/>
  <c r="Q602" i="34"/>
  <c r="Q603" i="34"/>
  <c r="Q604" i="34"/>
  <c r="Q605" i="34"/>
  <c r="J602" i="34"/>
  <c r="J603" i="34"/>
  <c r="J604" i="34"/>
  <c r="E602" i="34"/>
  <c r="E603" i="34"/>
  <c r="E537" i="34"/>
  <c r="E538" i="34"/>
  <c r="E496" i="34"/>
  <c r="E497" i="34"/>
  <c r="Q448" i="34"/>
  <c r="Q449" i="34"/>
  <c r="Q451" i="34"/>
  <c r="S451" i="34" l="1"/>
  <c r="R451" i="34"/>
  <c r="S604" i="34"/>
  <c r="R604" i="34"/>
  <c r="R497" i="34"/>
  <c r="S449" i="34"/>
  <c r="R449" i="34"/>
  <c r="R602" i="34"/>
  <c r="S448" i="34"/>
  <c r="R448" i="34"/>
  <c r="D345" i="34"/>
  <c r="D346" i="34"/>
  <c r="D349" i="34"/>
  <c r="D350" i="34"/>
  <c r="D352" i="34"/>
  <c r="D152" i="34" l="1"/>
  <c r="D153" i="34"/>
  <c r="D154" i="34"/>
  <c r="Q563" i="34" l="1"/>
  <c r="J563" i="34"/>
  <c r="D353" i="34"/>
  <c r="E357" i="34"/>
  <c r="Q357" i="34"/>
  <c r="Q358" i="34"/>
  <c r="J357" i="34"/>
  <c r="D320" i="34"/>
  <c r="D321" i="34"/>
  <c r="D322" i="34"/>
  <c r="D323" i="34"/>
  <c r="D324" i="34"/>
  <c r="D325" i="34"/>
  <c r="D326" i="34"/>
  <c r="D327" i="34"/>
  <c r="D328" i="34"/>
  <c r="D329" i="34"/>
  <c r="D330" i="34"/>
  <c r="D331" i="34"/>
  <c r="D332" i="34"/>
  <c r="D333" i="34"/>
  <c r="D336" i="34"/>
  <c r="D337" i="34"/>
  <c r="D338" i="34"/>
  <c r="D339" i="34"/>
  <c r="D340" i="34"/>
  <c r="D341" i="34"/>
  <c r="D343" i="34"/>
  <c r="D344" i="34"/>
  <c r="D293" i="34"/>
  <c r="D294" i="34"/>
  <c r="D295" i="34"/>
  <c r="D296" i="34"/>
  <c r="D297" i="34"/>
  <c r="D298" i="34"/>
  <c r="D299" i="34"/>
  <c r="D300" i="34"/>
  <c r="D301" i="34"/>
  <c r="D302" i="34"/>
  <c r="D303" i="34"/>
  <c r="D306" i="34"/>
  <c r="D308" i="34"/>
  <c r="D309" i="34"/>
  <c r="D310" i="34"/>
  <c r="D311" i="34"/>
  <c r="D312" i="34"/>
  <c r="D313" i="34"/>
  <c r="D314" i="34"/>
  <c r="D319" i="34"/>
  <c r="D263" i="34"/>
  <c r="D274" i="34"/>
  <c r="D275" i="34"/>
  <c r="D276" i="34"/>
  <c r="D277" i="34"/>
  <c r="D278" i="34"/>
  <c r="D279" i="34"/>
  <c r="D280" i="34"/>
  <c r="D281" i="34"/>
  <c r="D282" i="34"/>
  <c r="D283" i="34"/>
  <c r="D284" i="34"/>
  <c r="D285" i="34"/>
  <c r="D288" i="34"/>
  <c r="D289" i="34"/>
  <c r="D290" i="34"/>
  <c r="D291" i="34"/>
  <c r="D292" i="34"/>
  <c r="D216" i="34"/>
  <c r="E216" i="34"/>
  <c r="D217" i="34"/>
  <c r="E217" i="34"/>
  <c r="D218" i="34"/>
  <c r="E218" i="34"/>
  <c r="D219" i="34"/>
  <c r="E219" i="34"/>
  <c r="R563" i="34" l="1"/>
  <c r="R357" i="34"/>
  <c r="S357" i="34"/>
  <c r="J608" i="34"/>
  <c r="J538" i="34"/>
  <c r="S608" i="34" l="1"/>
  <c r="R608" i="34"/>
  <c r="R538" i="34"/>
  <c r="S538" i="34"/>
  <c r="AA356" i="34"/>
  <c r="Q520" i="34" l="1"/>
  <c r="Q521" i="34"/>
  <c r="Q522" i="34"/>
  <c r="J520" i="34"/>
  <c r="J521" i="34"/>
  <c r="J522" i="34"/>
  <c r="S522" i="34" l="1"/>
  <c r="R522" i="34"/>
  <c r="S520" i="34"/>
  <c r="R520" i="34"/>
  <c r="S521" i="34"/>
  <c r="R521" i="34"/>
  <c r="Q486" i="34"/>
  <c r="Q487" i="34"/>
  <c r="Q488" i="34"/>
  <c r="Q489" i="34"/>
  <c r="Q490" i="34"/>
  <c r="E487" i="34"/>
  <c r="E488" i="34"/>
  <c r="E489" i="34"/>
  <c r="R489" i="34" l="1"/>
  <c r="R488" i="34"/>
  <c r="R486" i="34"/>
  <c r="R487" i="34"/>
  <c r="Q206" i="34"/>
  <c r="J206" i="34"/>
  <c r="E206" i="34"/>
  <c r="D206" i="34"/>
  <c r="E184" i="34"/>
  <c r="D184" i="34"/>
  <c r="Q184" i="34"/>
  <c r="Q169" i="34"/>
  <c r="D169" i="34"/>
  <c r="E169" i="34"/>
  <c r="J169" i="34"/>
  <c r="Q159" i="34"/>
  <c r="Q158" i="34"/>
  <c r="J158" i="34"/>
  <c r="E159" i="34"/>
  <c r="E158" i="34"/>
  <c r="D158" i="34"/>
  <c r="Q128" i="34"/>
  <c r="J128" i="34"/>
  <c r="E128" i="34"/>
  <c r="D128" i="34"/>
  <c r="Q98" i="34"/>
  <c r="E98" i="34"/>
  <c r="D98" i="34"/>
  <c r="Q75" i="34"/>
  <c r="J75" i="34"/>
  <c r="E79" i="34"/>
  <c r="D79" i="34"/>
  <c r="E77" i="34"/>
  <c r="D77" i="34"/>
  <c r="E75" i="34"/>
  <c r="D75" i="34"/>
  <c r="Q46" i="34"/>
  <c r="J46" i="34"/>
  <c r="D47" i="34"/>
  <c r="D46" i="34"/>
  <c r="E47" i="34"/>
  <c r="E46" i="34"/>
  <c r="E43" i="34"/>
  <c r="R128" i="34" l="1"/>
  <c r="R206" i="34"/>
  <c r="S46" i="34"/>
  <c r="R46" i="34"/>
  <c r="R75" i="34"/>
  <c r="S158" i="34"/>
  <c r="R158" i="34"/>
  <c r="U21" i="35"/>
  <c r="V29" i="35"/>
  <c r="V28" i="35"/>
  <c r="U24" i="35"/>
  <c r="E168" i="34" l="1"/>
  <c r="D168" i="34"/>
  <c r="E145" i="34"/>
  <c r="D145" i="34"/>
  <c r="E133" i="34"/>
  <c r="Q133" i="34"/>
  <c r="J133" i="34"/>
  <c r="D133" i="34"/>
  <c r="Q116" i="34"/>
  <c r="J116" i="34"/>
  <c r="E116" i="34"/>
  <c r="D116" i="34"/>
  <c r="R116" i="34" l="1"/>
  <c r="R133" i="34"/>
  <c r="Q80" i="34"/>
  <c r="J80" i="34"/>
  <c r="E80" i="34"/>
  <c r="D80" i="34"/>
  <c r="Q51" i="34"/>
  <c r="J51" i="34"/>
  <c r="E51" i="34"/>
  <c r="D51" i="34"/>
  <c r="E592" i="34"/>
  <c r="E684" i="34"/>
  <c r="J684" i="34"/>
  <c r="E685" i="34"/>
  <c r="J685" i="34"/>
  <c r="Q685" i="34"/>
  <c r="E686" i="34"/>
  <c r="J686" i="34"/>
  <c r="E687" i="34"/>
  <c r="J687" i="34"/>
  <c r="Q687" i="34"/>
  <c r="E688" i="34"/>
  <c r="J688" i="34"/>
  <c r="Q688" i="34"/>
  <c r="E689" i="34"/>
  <c r="J689" i="34"/>
  <c r="Q689" i="34"/>
  <c r="E691" i="34"/>
  <c r="J691" i="34"/>
  <c r="Q691" i="34"/>
  <c r="E692" i="34"/>
  <c r="J692" i="34"/>
  <c r="Q692" i="34"/>
  <c r="E693" i="34"/>
  <c r="J693" i="34"/>
  <c r="Q693" i="34"/>
  <c r="E694" i="34"/>
  <c r="J694" i="34"/>
  <c r="Q694" i="34"/>
  <c r="E695" i="34"/>
  <c r="J695" i="34"/>
  <c r="Q695" i="34"/>
  <c r="E696" i="34"/>
  <c r="J696" i="34"/>
  <c r="Q696" i="34"/>
  <c r="E697" i="34"/>
  <c r="J697" i="34"/>
  <c r="Q697" i="34"/>
  <c r="E698" i="34"/>
  <c r="J698" i="34"/>
  <c r="Q698" i="34"/>
  <c r="E699" i="34"/>
  <c r="J699" i="34"/>
  <c r="Q699" i="34"/>
  <c r="E700" i="34"/>
  <c r="J700" i="34"/>
  <c r="Q700" i="34"/>
  <c r="E701" i="34"/>
  <c r="J701" i="34"/>
  <c r="Q701" i="34"/>
  <c r="E702" i="34"/>
  <c r="J702" i="34"/>
  <c r="Q702" i="34"/>
  <c r="E703" i="34"/>
  <c r="J703" i="34"/>
  <c r="Q703" i="34"/>
  <c r="E704" i="34"/>
  <c r="J704" i="34"/>
  <c r="Q704" i="34"/>
  <c r="E705" i="34"/>
  <c r="J705" i="34"/>
  <c r="Q705" i="34"/>
  <c r="E706" i="34"/>
  <c r="J706" i="34"/>
  <c r="Q706" i="34"/>
  <c r="E707" i="34"/>
  <c r="J707" i="34"/>
  <c r="Q707" i="34"/>
  <c r="E708" i="34"/>
  <c r="J708" i="34"/>
  <c r="Q708" i="34"/>
  <c r="E709" i="34"/>
  <c r="E714" i="34"/>
  <c r="J714" i="34"/>
  <c r="Q714" i="34"/>
  <c r="E715" i="34"/>
  <c r="J715" i="34"/>
  <c r="Q715" i="34"/>
  <c r="E716" i="34"/>
  <c r="J716" i="34"/>
  <c r="Q716" i="34"/>
  <c r="E717" i="34"/>
  <c r="J717" i="34"/>
  <c r="Q717" i="34"/>
  <c r="E718" i="34"/>
  <c r="J718" i="34"/>
  <c r="Q718" i="34"/>
  <c r="E719" i="34"/>
  <c r="J719" i="34"/>
  <c r="Q719" i="34"/>
  <c r="E720" i="34"/>
  <c r="J720" i="34"/>
  <c r="Q720" i="34"/>
  <c r="E721" i="34"/>
  <c r="J721" i="34"/>
  <c r="Q721" i="34"/>
  <c r="E722" i="34"/>
  <c r="J722" i="34"/>
  <c r="Q722" i="34"/>
  <c r="E723" i="34"/>
  <c r="J723" i="34"/>
  <c r="Q723" i="34"/>
  <c r="E724" i="34"/>
  <c r="J724" i="34"/>
  <c r="Q724" i="34"/>
  <c r="E725" i="34"/>
  <c r="J725" i="34"/>
  <c r="Q725" i="34"/>
  <c r="E726" i="34"/>
  <c r="J726" i="34"/>
  <c r="Q726" i="34"/>
  <c r="E727" i="34"/>
  <c r="J727" i="34"/>
  <c r="Q727" i="34"/>
  <c r="E729" i="34"/>
  <c r="J729" i="34"/>
  <c r="Q729" i="34"/>
  <c r="E730" i="34"/>
  <c r="J730" i="34"/>
  <c r="Q730" i="34"/>
  <c r="E731" i="34"/>
  <c r="J731" i="34"/>
  <c r="Q731" i="34"/>
  <c r="E732" i="34"/>
  <c r="J732" i="34"/>
  <c r="Q732" i="34"/>
  <c r="E733" i="34"/>
  <c r="J733" i="34"/>
  <c r="Q733" i="34"/>
  <c r="E734" i="34"/>
  <c r="J734" i="34"/>
  <c r="Q734" i="34"/>
  <c r="E735" i="34"/>
  <c r="J735" i="34"/>
  <c r="Q735" i="34"/>
  <c r="E736" i="34"/>
  <c r="J736" i="34"/>
  <c r="Q736" i="34"/>
  <c r="E737" i="34"/>
  <c r="J737" i="34"/>
  <c r="Q737" i="34"/>
  <c r="E738" i="34"/>
  <c r="J738" i="34"/>
  <c r="Q738" i="34"/>
  <c r="E739" i="34"/>
  <c r="J739" i="34"/>
  <c r="Q739" i="34"/>
  <c r="E740" i="34"/>
  <c r="J740" i="34"/>
  <c r="Q740" i="34"/>
  <c r="E741" i="34"/>
  <c r="J741" i="34"/>
  <c r="Q741" i="34"/>
  <c r="E742" i="34"/>
  <c r="J742" i="34"/>
  <c r="Q742" i="34"/>
  <c r="E743" i="34"/>
  <c r="J743" i="34"/>
  <c r="Q743" i="34"/>
  <c r="E744" i="34"/>
  <c r="J744" i="34"/>
  <c r="Q744" i="34"/>
  <c r="E745" i="34"/>
  <c r="J745" i="34"/>
  <c r="Q745" i="34"/>
  <c r="E747" i="34"/>
  <c r="Q747" i="34"/>
  <c r="E750" i="34"/>
  <c r="Q750" i="34"/>
  <c r="E751" i="34"/>
  <c r="J751" i="34"/>
  <c r="Q751" i="34"/>
  <c r="E752" i="34"/>
  <c r="J752" i="34"/>
  <c r="Q752" i="34"/>
  <c r="E753" i="34"/>
  <c r="J753" i="34"/>
  <c r="Q753" i="34"/>
  <c r="E754" i="34"/>
  <c r="J754" i="34"/>
  <c r="Q754" i="34"/>
  <c r="E755" i="34"/>
  <c r="J755" i="34"/>
  <c r="Q755" i="34"/>
  <c r="E757" i="34"/>
  <c r="J757" i="34"/>
  <c r="E758" i="34"/>
  <c r="J758" i="34"/>
  <c r="E759" i="34"/>
  <c r="J759" i="34"/>
  <c r="Q759" i="34"/>
  <c r="E760" i="34"/>
  <c r="J760" i="34"/>
  <c r="Q760" i="34"/>
  <c r="E761" i="34"/>
  <c r="J761" i="34"/>
  <c r="Q761" i="34"/>
  <c r="E762" i="34"/>
  <c r="J762" i="34"/>
  <c r="Q762" i="34"/>
  <c r="E763" i="34"/>
  <c r="J763" i="34"/>
  <c r="Q763" i="34"/>
  <c r="E764" i="34"/>
  <c r="J764" i="34"/>
  <c r="Q764" i="34"/>
  <c r="E765" i="34"/>
  <c r="J765" i="34"/>
  <c r="Q765" i="34"/>
  <c r="E766" i="34"/>
  <c r="J766" i="34"/>
  <c r="Q766" i="34"/>
  <c r="E767" i="34"/>
  <c r="J767" i="34"/>
  <c r="Q767" i="34"/>
  <c r="E768" i="34"/>
  <c r="J768" i="34"/>
  <c r="Q768" i="34"/>
  <c r="E769" i="34"/>
  <c r="J769" i="34"/>
  <c r="Q769" i="34"/>
  <c r="E770" i="34"/>
  <c r="J770" i="34"/>
  <c r="Q770" i="34"/>
  <c r="E771" i="34"/>
  <c r="J771" i="34"/>
  <c r="Q771" i="34"/>
  <c r="E772" i="34"/>
  <c r="J772" i="34"/>
  <c r="Q772" i="34"/>
  <c r="E773" i="34"/>
  <c r="J773" i="34"/>
  <c r="Q773" i="34"/>
  <c r="E774" i="34"/>
  <c r="J774" i="34"/>
  <c r="Q774" i="34"/>
  <c r="E775" i="34"/>
  <c r="J775" i="34"/>
  <c r="Q775" i="34"/>
  <c r="E776" i="34"/>
  <c r="J776" i="34"/>
  <c r="Q776" i="34"/>
  <c r="E777" i="34"/>
  <c r="J777" i="34"/>
  <c r="Q777" i="34"/>
  <c r="E778" i="34"/>
  <c r="J778" i="34"/>
  <c r="Q778" i="34"/>
  <c r="E779" i="34"/>
  <c r="J779" i="34"/>
  <c r="Q779" i="34"/>
  <c r="E780" i="34"/>
  <c r="J780" i="34"/>
  <c r="Q780" i="34"/>
  <c r="E781" i="34"/>
  <c r="J781" i="34"/>
  <c r="Q781" i="34"/>
  <c r="E782" i="34"/>
  <c r="J782" i="34"/>
  <c r="Q782" i="34"/>
  <c r="E783" i="34"/>
  <c r="J783" i="34"/>
  <c r="Q783" i="34"/>
  <c r="E784" i="34"/>
  <c r="J784" i="34"/>
  <c r="Q784" i="34"/>
  <c r="E785" i="34"/>
  <c r="J785" i="34"/>
  <c r="Q785" i="34"/>
  <c r="E786" i="34"/>
  <c r="J786" i="34"/>
  <c r="Q786" i="34"/>
  <c r="E787" i="34"/>
  <c r="J787" i="34"/>
  <c r="Q787" i="34"/>
  <c r="E895" i="34"/>
  <c r="J895" i="34"/>
  <c r="R895" i="34" s="1"/>
  <c r="Q895" i="34"/>
  <c r="E896" i="34"/>
  <c r="J896" i="34"/>
  <c r="R896" i="34" s="1"/>
  <c r="Q896" i="34"/>
  <c r="E897" i="34"/>
  <c r="J897" i="34"/>
  <c r="R897" i="34" s="1"/>
  <c r="Q897" i="34"/>
  <c r="E898" i="34"/>
  <c r="J898" i="34"/>
  <c r="R898" i="34" s="1"/>
  <c r="Q898" i="34"/>
  <c r="E899" i="34"/>
  <c r="J899" i="34"/>
  <c r="R899" i="34" s="1"/>
  <c r="Q899" i="34"/>
  <c r="S784" i="34" l="1"/>
  <c r="R784" i="34"/>
  <c r="S736" i="34"/>
  <c r="R736" i="34"/>
  <c r="R688" i="34"/>
  <c r="S723" i="34"/>
  <c r="R723" i="34"/>
  <c r="R693" i="34"/>
  <c r="S785" i="34"/>
  <c r="R785" i="34"/>
  <c r="R776" i="34"/>
  <c r="R758" i="34"/>
  <c r="S755" i="34"/>
  <c r="R755" i="34"/>
  <c r="S741" i="34"/>
  <c r="R741" i="34"/>
  <c r="S737" i="34"/>
  <c r="R737" i="34"/>
  <c r="S733" i="34"/>
  <c r="R733" i="34"/>
  <c r="R729" i="34"/>
  <c r="R719" i="34"/>
  <c r="S715" i="34"/>
  <c r="R715" i="34"/>
  <c r="R689" i="34"/>
  <c r="S740" i="34"/>
  <c r="R740" i="34"/>
  <c r="R763" i="34"/>
  <c r="S685" i="34"/>
  <c r="R685" i="34"/>
  <c r="S764" i="34"/>
  <c r="R764" i="34"/>
  <c r="R760" i="34"/>
  <c r="S742" i="34"/>
  <c r="R742" i="34"/>
  <c r="R724" i="34"/>
  <c r="R706" i="34"/>
  <c r="R702" i="34"/>
  <c r="R698" i="34"/>
  <c r="S694" i="34"/>
  <c r="R694" i="34"/>
  <c r="S686" i="34"/>
  <c r="R686" i="34"/>
  <c r="S684" i="34"/>
  <c r="R684" i="34"/>
  <c r="R775" i="34"/>
  <c r="R759" i="34"/>
  <c r="S732" i="34"/>
  <c r="R732" i="34"/>
  <c r="R80" i="34"/>
  <c r="R745" i="34"/>
  <c r="R701" i="34"/>
  <c r="R772" i="34"/>
  <c r="S786" i="34"/>
  <c r="R786" i="34"/>
  <c r="R782" i="34"/>
  <c r="S782" i="34"/>
  <c r="S777" i="34"/>
  <c r="R777" i="34"/>
  <c r="R757" i="34"/>
  <c r="R753" i="34"/>
  <c r="R751" i="34"/>
  <c r="S738" i="34"/>
  <c r="R738" i="34"/>
  <c r="S734" i="34"/>
  <c r="R734" i="34"/>
  <c r="S730" i="34"/>
  <c r="R730" i="34"/>
  <c r="S720" i="34"/>
  <c r="R720" i="34"/>
  <c r="S716" i="34"/>
  <c r="R716" i="34"/>
  <c r="R691" i="34"/>
  <c r="R718" i="34"/>
  <c r="S718" i="34"/>
  <c r="R771" i="34"/>
  <c r="R697" i="34"/>
  <c r="S768" i="34"/>
  <c r="R768" i="34"/>
  <c r="R773" i="34"/>
  <c r="R769" i="34"/>
  <c r="R765" i="34"/>
  <c r="R761" i="34"/>
  <c r="S743" i="34"/>
  <c r="R743" i="34"/>
  <c r="R725" i="34"/>
  <c r="R721" i="34"/>
  <c r="S707" i="34"/>
  <c r="R707" i="34"/>
  <c r="R703" i="34"/>
  <c r="R699" i="34"/>
  <c r="R695" i="34"/>
  <c r="R752" i="34"/>
  <c r="S727" i="34"/>
  <c r="R727" i="34"/>
  <c r="R767" i="34"/>
  <c r="R51" i="34"/>
  <c r="R787" i="34"/>
  <c r="S783" i="34"/>
  <c r="R783" i="34"/>
  <c r="R778" i="34"/>
  <c r="R774" i="34"/>
  <c r="S739" i="34"/>
  <c r="R739" i="34"/>
  <c r="S735" i="34"/>
  <c r="R735" i="34"/>
  <c r="S731" i="34"/>
  <c r="R731" i="34"/>
  <c r="S726" i="34"/>
  <c r="R726" i="34"/>
  <c r="R717" i="34"/>
  <c r="R687" i="34"/>
  <c r="R754" i="34"/>
  <c r="S714" i="34"/>
  <c r="R714" i="34"/>
  <c r="S780" i="34"/>
  <c r="R780" i="34"/>
  <c r="S705" i="34"/>
  <c r="R705" i="34"/>
  <c r="R781" i="34"/>
  <c r="R779" i="34"/>
  <c r="R770" i="34"/>
  <c r="R766" i="34"/>
  <c r="R762" i="34"/>
  <c r="R744" i="34"/>
  <c r="S744" i="34"/>
  <c r="R722" i="34"/>
  <c r="R708" i="34"/>
  <c r="R704" i="34"/>
  <c r="R700" i="34"/>
  <c r="S700" i="34"/>
  <c r="S696" i="34"/>
  <c r="R696" i="34"/>
  <c r="R692" i="34"/>
  <c r="S895" i="34"/>
  <c r="D129" i="34" l="1"/>
  <c r="Q653" i="34"/>
  <c r="Q647" i="34"/>
  <c r="Q646" i="34"/>
  <c r="Q645" i="34"/>
  <c r="Q642" i="34"/>
  <c r="Q641" i="34"/>
  <c r="Q639" i="34"/>
  <c r="Q637" i="34"/>
  <c r="Q633" i="34"/>
  <c r="Q629" i="34"/>
  <c r="Q628" i="34"/>
  <c r="Q624" i="34"/>
  <c r="Q623" i="34"/>
  <c r="Q621" i="34"/>
  <c r="Q619" i="34"/>
  <c r="Q618" i="34"/>
  <c r="Q617" i="34"/>
  <c r="Q614" i="34"/>
  <c r="Q612" i="34"/>
  <c r="Q608" i="34"/>
  <c r="Q601" i="34"/>
  <c r="Q599" i="34"/>
  <c r="Q598" i="34"/>
  <c r="Q596" i="34"/>
  <c r="Q594" i="34"/>
  <c r="Q590" i="34"/>
  <c r="Q588" i="34"/>
  <c r="Q586" i="34"/>
  <c r="Q584" i="34"/>
  <c r="Q583" i="34"/>
  <c r="Q582" i="34"/>
  <c r="Q575" i="34"/>
  <c r="Q573" i="34"/>
  <c r="Q572" i="34"/>
  <c r="Q570" i="34"/>
  <c r="Q568" i="34"/>
  <c r="Q567" i="34"/>
  <c r="Q566" i="34"/>
  <c r="Q545" i="34"/>
  <c r="Q543" i="34"/>
  <c r="Q539" i="34"/>
  <c r="Q537" i="34"/>
  <c r="Q535" i="34"/>
  <c r="Q534" i="34"/>
  <c r="Q533" i="34"/>
  <c r="Q531" i="34"/>
  <c r="Q529" i="34"/>
  <c r="Q527" i="34"/>
  <c r="Q525" i="34"/>
  <c r="Q524" i="34"/>
  <c r="Q519" i="34"/>
  <c r="Q516" i="34"/>
  <c r="Q515" i="34"/>
  <c r="Q510" i="34"/>
  <c r="Q508" i="34"/>
  <c r="Q506" i="34"/>
  <c r="Q505" i="34"/>
  <c r="Q503" i="34"/>
  <c r="Q501" i="34"/>
  <c r="Q500" i="34"/>
  <c r="Q499" i="34"/>
  <c r="Q493" i="34"/>
  <c r="Q485" i="34"/>
  <c r="Q484" i="34"/>
  <c r="Q481" i="34"/>
  <c r="Q479" i="34"/>
  <c r="Q475" i="34"/>
  <c r="Q474" i="34"/>
  <c r="Q473" i="34"/>
  <c r="Q469" i="34"/>
  <c r="Q468" i="34"/>
  <c r="Q467" i="34"/>
  <c r="Q466" i="34"/>
  <c r="Q464" i="34"/>
  <c r="Q463" i="34"/>
  <c r="Q459" i="34"/>
  <c r="Q457" i="34"/>
  <c r="Q455" i="34"/>
  <c r="Q453" i="34"/>
  <c r="Q446" i="34"/>
  <c r="Q407" i="34"/>
  <c r="Q406" i="34"/>
  <c r="Q404" i="34"/>
  <c r="Q403" i="34"/>
  <c r="Q396" i="34"/>
  <c r="Q395" i="34"/>
  <c r="Q393" i="34"/>
  <c r="Q391" i="34"/>
  <c r="Q389" i="34"/>
  <c r="Q388" i="34"/>
  <c r="Q387" i="34"/>
  <c r="Q385" i="34"/>
  <c r="Q384" i="34"/>
  <c r="Q383" i="34"/>
  <c r="Q380" i="34"/>
  <c r="Q378" i="34"/>
  <c r="Q377" i="34"/>
  <c r="Q372" i="34"/>
  <c r="Q371" i="34"/>
  <c r="Q370" i="34"/>
  <c r="Q365" i="34"/>
  <c r="Q363" i="34"/>
  <c r="Q359" i="34"/>
  <c r="Q346" i="34"/>
  <c r="Q341" i="34"/>
  <c r="Q339" i="34"/>
  <c r="Q337" i="34"/>
  <c r="Q336" i="34"/>
  <c r="Q331" i="34"/>
  <c r="Q330" i="34"/>
  <c r="Q329" i="34"/>
  <c r="Q328" i="34"/>
  <c r="Q327" i="34"/>
  <c r="Q325" i="34"/>
  <c r="Q324" i="34"/>
  <c r="Q323" i="34"/>
  <c r="Q322" i="34"/>
  <c r="Q320" i="34"/>
  <c r="Q319" i="34"/>
  <c r="Q312" i="34"/>
  <c r="Q310" i="34"/>
  <c r="Q309" i="34"/>
  <c r="Q308" i="34"/>
  <c r="Q304" i="34"/>
  <c r="Q303" i="34"/>
  <c r="Q302" i="34"/>
  <c r="Q300" i="34"/>
  <c r="Q298" i="34"/>
  <c r="Q297" i="34"/>
  <c r="Q293" i="34"/>
  <c r="Q292" i="34"/>
  <c r="Q291" i="34"/>
  <c r="Q289" i="34"/>
  <c r="Q284" i="34"/>
  <c r="Q283" i="34"/>
  <c r="Q282" i="34"/>
  <c r="Q280" i="34"/>
  <c r="Q278" i="34"/>
  <c r="Q276" i="34"/>
  <c r="Q274" i="34"/>
  <c r="Q260" i="34"/>
  <c r="Q258" i="34"/>
  <c r="Q256" i="34"/>
  <c r="Q254" i="34"/>
  <c r="Q252" i="34"/>
  <c r="Q251" i="34"/>
  <c r="Q250" i="34"/>
  <c r="Q249" i="34"/>
  <c r="Q248" i="34"/>
  <c r="Q247" i="34"/>
  <c r="Q246" i="34"/>
  <c r="Q245" i="34"/>
  <c r="Q244" i="34"/>
  <c r="Q242" i="34"/>
  <c r="Q241" i="34"/>
  <c r="Q238" i="34"/>
  <c r="Q237" i="34"/>
  <c r="Q236" i="34"/>
  <c r="Q235" i="34"/>
  <c r="Q234" i="34"/>
  <c r="Q232" i="34"/>
  <c r="Q230" i="34"/>
  <c r="Q228" i="34"/>
  <c r="Q226" i="34"/>
  <c r="Q225" i="34"/>
  <c r="Q223" i="34"/>
  <c r="Q222" i="34"/>
  <c r="Q221" i="34"/>
  <c r="Q220" i="34"/>
  <c r="Q219" i="34"/>
  <c r="Q217" i="34"/>
  <c r="Q216" i="34"/>
  <c r="Q214" i="34"/>
  <c r="Q212" i="34"/>
  <c r="Q211" i="34"/>
  <c r="Q210" i="34"/>
  <c r="Q204" i="34"/>
  <c r="Q202" i="34"/>
  <c r="Q200" i="34"/>
  <c r="Q199" i="34"/>
  <c r="Q198" i="34"/>
  <c r="Q191" i="34"/>
  <c r="Q183" i="34"/>
  <c r="Q182" i="34"/>
  <c r="Q181" i="34"/>
  <c r="Q180" i="34"/>
  <c r="Q179" i="34"/>
  <c r="Q178" i="34"/>
  <c r="Q177" i="34"/>
  <c r="Q176" i="34"/>
  <c r="Q175" i="34"/>
  <c r="Q164" i="34"/>
  <c r="Q162" i="34"/>
  <c r="Q156" i="34"/>
  <c r="Q155" i="34"/>
  <c r="Q154" i="34"/>
  <c r="Q153" i="34"/>
  <c r="Q152" i="34"/>
  <c r="Q151" i="34"/>
  <c r="Q143" i="34"/>
  <c r="Q141" i="34"/>
  <c r="Q135" i="34"/>
  <c r="Q132" i="34"/>
  <c r="Q131" i="34"/>
  <c r="Q130" i="34"/>
  <c r="Q127" i="34"/>
  <c r="Q125" i="34"/>
  <c r="Q123" i="34"/>
  <c r="Q122" i="34"/>
  <c r="Q121" i="34"/>
  <c r="Q120" i="34"/>
  <c r="Q119" i="34"/>
  <c r="Q118" i="34"/>
  <c r="Q117" i="34"/>
  <c r="Q114" i="34"/>
  <c r="Q113" i="34"/>
  <c r="Q111" i="34"/>
  <c r="Q110" i="34"/>
  <c r="Q105" i="34"/>
  <c r="Q104" i="34"/>
  <c r="Q97" i="34"/>
  <c r="Q96" i="34"/>
  <c r="Q95" i="34"/>
  <c r="Q94" i="34"/>
  <c r="Q93" i="34"/>
  <c r="Q92" i="34"/>
  <c r="Q91" i="34"/>
  <c r="Q90" i="34"/>
  <c r="Q89" i="34"/>
  <c r="Q88" i="34"/>
  <c r="Q86" i="34"/>
  <c r="Q84" i="34"/>
  <c r="Q83" i="34"/>
  <c r="Q79" i="34"/>
  <c r="Q78" i="34"/>
  <c r="Q77" i="34"/>
  <c r="Q76" i="34"/>
  <c r="Q74" i="34"/>
  <c r="Q73" i="34"/>
  <c r="Q67" i="34"/>
  <c r="Q65" i="34"/>
  <c r="Q63" i="34"/>
  <c r="Q62" i="34"/>
  <c r="Q61" i="34"/>
  <c r="Q60" i="34"/>
  <c r="Q58" i="34"/>
  <c r="Q57" i="34"/>
  <c r="Q56" i="34"/>
  <c r="Q55" i="34"/>
  <c r="Q54" i="34"/>
  <c r="Q53" i="34"/>
  <c r="Q52" i="34"/>
  <c r="Q50" i="34"/>
  <c r="Q48" i="34"/>
  <c r="Q45" i="34"/>
  <c r="Q43" i="34"/>
  <c r="J653" i="34"/>
  <c r="J642" i="34"/>
  <c r="J641" i="34"/>
  <c r="J639" i="34"/>
  <c r="J637" i="34"/>
  <c r="J633" i="34"/>
  <c r="J629" i="34"/>
  <c r="J628" i="34"/>
  <c r="J626" i="34"/>
  <c r="J624" i="34"/>
  <c r="J623" i="34"/>
  <c r="J621" i="34"/>
  <c r="J619" i="34"/>
  <c r="J618" i="34"/>
  <c r="J617" i="34"/>
  <c r="J614" i="34"/>
  <c r="J612" i="34"/>
  <c r="J601" i="34"/>
  <c r="J599" i="34"/>
  <c r="J598" i="34"/>
  <c r="J596" i="34"/>
  <c r="J588" i="34"/>
  <c r="J584" i="34"/>
  <c r="J575" i="34"/>
  <c r="J573" i="34"/>
  <c r="J570" i="34"/>
  <c r="J569" i="34"/>
  <c r="J568" i="34"/>
  <c r="J567" i="34"/>
  <c r="J566" i="34"/>
  <c r="J545" i="34"/>
  <c r="J543" i="34"/>
  <c r="J539" i="34"/>
  <c r="J537" i="34"/>
  <c r="J535" i="34"/>
  <c r="J534" i="34"/>
  <c r="J533" i="34"/>
  <c r="J531" i="34"/>
  <c r="J529" i="34"/>
  <c r="J527" i="34"/>
  <c r="J525" i="34"/>
  <c r="J524" i="34"/>
  <c r="J519" i="34"/>
  <c r="J516" i="34"/>
  <c r="J515" i="34"/>
  <c r="J508" i="34"/>
  <c r="J506" i="34"/>
  <c r="J505" i="34"/>
  <c r="J503" i="34"/>
  <c r="J501" i="34"/>
  <c r="J500" i="34"/>
  <c r="J499" i="34"/>
  <c r="J407" i="34"/>
  <c r="J406" i="34"/>
  <c r="J404" i="34"/>
  <c r="J403" i="34"/>
  <c r="J396" i="34"/>
  <c r="J395" i="34"/>
  <c r="J393" i="34"/>
  <c r="J391" i="34"/>
  <c r="J389" i="34"/>
  <c r="J388" i="34"/>
  <c r="J387" i="34"/>
  <c r="J385" i="34"/>
  <c r="J384" i="34"/>
  <c r="J383" i="34"/>
  <c r="J382" i="34"/>
  <c r="J380" i="34"/>
  <c r="J372" i="34"/>
  <c r="J371" i="34"/>
  <c r="J359" i="34"/>
  <c r="J346" i="34"/>
  <c r="J341" i="34"/>
  <c r="J339" i="34"/>
  <c r="J337" i="34"/>
  <c r="J336" i="34"/>
  <c r="J331" i="34"/>
  <c r="J330" i="34"/>
  <c r="J329" i="34"/>
  <c r="J328" i="34"/>
  <c r="J327" i="34"/>
  <c r="J325" i="34"/>
  <c r="J324" i="34"/>
  <c r="J323" i="34"/>
  <c r="J322" i="34"/>
  <c r="J320" i="34"/>
  <c r="J319" i="34"/>
  <c r="J312" i="34"/>
  <c r="J310" i="34"/>
  <c r="J309" i="34"/>
  <c r="J308" i="34"/>
  <c r="J304" i="34"/>
  <c r="J303" i="34"/>
  <c r="J302" i="34"/>
  <c r="J300" i="34"/>
  <c r="J298" i="34"/>
  <c r="J297" i="34"/>
  <c r="J293" i="34"/>
  <c r="J292" i="34"/>
  <c r="J291" i="34"/>
  <c r="J289" i="34"/>
  <c r="J284" i="34"/>
  <c r="J282" i="34"/>
  <c r="J280" i="34"/>
  <c r="J278" i="34"/>
  <c r="J276" i="34"/>
  <c r="J274" i="34"/>
  <c r="J260" i="34"/>
  <c r="J258" i="34"/>
  <c r="J256" i="34"/>
  <c r="J254" i="34"/>
  <c r="J252" i="34"/>
  <c r="J251" i="34"/>
  <c r="J250" i="34"/>
  <c r="J249" i="34"/>
  <c r="J248" i="34"/>
  <c r="J247" i="34"/>
  <c r="J246" i="34"/>
  <c r="J245" i="34"/>
  <c r="J244" i="34"/>
  <c r="J242" i="34"/>
  <c r="J241" i="34"/>
  <c r="J238" i="34"/>
  <c r="J237" i="34"/>
  <c r="J236" i="34"/>
  <c r="J235" i="34"/>
  <c r="J230" i="34"/>
  <c r="J228" i="34"/>
  <c r="J223" i="34"/>
  <c r="J222" i="34"/>
  <c r="J221" i="34"/>
  <c r="J220" i="34"/>
  <c r="J219" i="34"/>
  <c r="J217" i="34"/>
  <c r="J216" i="34"/>
  <c r="J214" i="34"/>
  <c r="J212" i="34"/>
  <c r="J211" i="34"/>
  <c r="J204" i="34"/>
  <c r="J200" i="34"/>
  <c r="J199" i="34"/>
  <c r="J198" i="34"/>
  <c r="J191" i="34"/>
  <c r="J183" i="34"/>
  <c r="J182" i="34"/>
  <c r="J181" i="34"/>
  <c r="J180" i="34"/>
  <c r="J178" i="34"/>
  <c r="J177" i="34"/>
  <c r="J176" i="34"/>
  <c r="J175" i="34"/>
  <c r="J164" i="34"/>
  <c r="J162" i="34"/>
  <c r="J156" i="34"/>
  <c r="J155" i="34"/>
  <c r="J154" i="34"/>
  <c r="J153" i="34"/>
  <c r="J152" i="34"/>
  <c r="J151" i="34"/>
  <c r="J150" i="34"/>
  <c r="J143" i="34"/>
  <c r="J141" i="34"/>
  <c r="J135" i="34"/>
  <c r="J132" i="34"/>
  <c r="J131" i="34"/>
  <c r="J130" i="34"/>
  <c r="J127" i="34"/>
  <c r="J126" i="34"/>
  <c r="J125" i="34"/>
  <c r="J123" i="34"/>
  <c r="J122" i="34"/>
  <c r="J121" i="34"/>
  <c r="J120" i="34"/>
  <c r="J119" i="34"/>
  <c r="J118" i="34"/>
  <c r="J117" i="34"/>
  <c r="J114" i="34"/>
  <c r="J113" i="34"/>
  <c r="J111" i="34"/>
  <c r="J105" i="34"/>
  <c r="J104" i="34"/>
  <c r="J96" i="34"/>
  <c r="J95" i="34"/>
  <c r="J94" i="34"/>
  <c r="J93" i="34"/>
  <c r="J92" i="34"/>
  <c r="J91" i="34"/>
  <c r="J90" i="34"/>
  <c r="J89" i="34"/>
  <c r="J88" i="34"/>
  <c r="J86" i="34"/>
  <c r="J84" i="34"/>
  <c r="J83" i="34"/>
  <c r="J79" i="34"/>
  <c r="J78" i="34"/>
  <c r="J77" i="34"/>
  <c r="J76" i="34"/>
  <c r="J74" i="34"/>
  <c r="J65" i="34"/>
  <c r="J63" i="34"/>
  <c r="J62" i="34"/>
  <c r="J61" i="34"/>
  <c r="J60" i="34"/>
  <c r="J58" i="34"/>
  <c r="J57" i="34"/>
  <c r="J56" i="34"/>
  <c r="J55" i="34"/>
  <c r="J54" i="34"/>
  <c r="J53" i="34"/>
  <c r="J52" i="34"/>
  <c r="J50" i="34"/>
  <c r="J48" i="34"/>
  <c r="J45" i="34"/>
  <c r="D260" i="34"/>
  <c r="D258" i="34"/>
  <c r="D256" i="34"/>
  <c r="D254" i="34"/>
  <c r="D252" i="34"/>
  <c r="D251" i="34"/>
  <c r="D250" i="34"/>
  <c r="D249" i="34"/>
  <c r="D248" i="34"/>
  <c r="D247" i="34"/>
  <c r="D246" i="34"/>
  <c r="D245" i="34"/>
  <c r="D244" i="34"/>
  <c r="D242" i="34"/>
  <c r="D238" i="34"/>
  <c r="D237" i="34"/>
  <c r="D236" i="34"/>
  <c r="D235" i="34"/>
  <c r="D234" i="34"/>
  <c r="D232" i="34"/>
  <c r="D230" i="34"/>
  <c r="D228" i="34"/>
  <c r="D226" i="34"/>
  <c r="D225" i="34"/>
  <c r="D223" i="34"/>
  <c r="D222" i="34"/>
  <c r="D221" i="34"/>
  <c r="D220" i="34"/>
  <c r="D214" i="34"/>
  <c r="D212" i="34"/>
  <c r="D211" i="34"/>
  <c r="D210" i="34"/>
  <c r="D204" i="34"/>
  <c r="D202" i="34"/>
  <c r="D200" i="34"/>
  <c r="D199" i="34"/>
  <c r="D198" i="34"/>
  <c r="D191" i="34"/>
  <c r="D183" i="34"/>
  <c r="D182" i="34"/>
  <c r="D181" i="34"/>
  <c r="D180" i="34"/>
  <c r="D179" i="34"/>
  <c r="D178" i="34"/>
  <c r="D177" i="34"/>
  <c r="D176" i="34"/>
  <c r="D175" i="34"/>
  <c r="D164" i="34"/>
  <c r="D162" i="34"/>
  <c r="D156" i="34"/>
  <c r="D155" i="34"/>
  <c r="D151" i="34"/>
  <c r="D150" i="34"/>
  <c r="D149" i="34"/>
  <c r="D148" i="34"/>
  <c r="D147" i="34"/>
  <c r="D143" i="34"/>
  <c r="D141" i="34"/>
  <c r="D135" i="34"/>
  <c r="D132" i="34"/>
  <c r="D131" i="34"/>
  <c r="D130" i="34"/>
  <c r="D127" i="34"/>
  <c r="D126" i="34"/>
  <c r="D125" i="34"/>
  <c r="D123" i="34"/>
  <c r="D122" i="34"/>
  <c r="D121" i="34"/>
  <c r="D120" i="34"/>
  <c r="D119" i="34"/>
  <c r="D118" i="34"/>
  <c r="D117" i="34"/>
  <c r="D114" i="34"/>
  <c r="D113" i="34"/>
  <c r="D111" i="34"/>
  <c r="D110" i="34"/>
  <c r="D109" i="34"/>
  <c r="D105" i="34"/>
  <c r="D104" i="34"/>
  <c r="D97" i="34"/>
  <c r="D96" i="34"/>
  <c r="D95" i="34"/>
  <c r="D94" i="34"/>
  <c r="D93" i="34"/>
  <c r="D92" i="34"/>
  <c r="D91" i="34"/>
  <c r="D90" i="34"/>
  <c r="D89" i="34"/>
  <c r="D88" i="34"/>
  <c r="D86" i="34"/>
  <c r="D84" i="34"/>
  <c r="D83" i="34"/>
  <c r="D76" i="34"/>
  <c r="D74" i="34"/>
  <c r="D73" i="34"/>
  <c r="D72" i="34"/>
  <c r="D67" i="34"/>
  <c r="D65" i="34"/>
  <c r="D63" i="34"/>
  <c r="D62" i="34"/>
  <c r="D61" i="34"/>
  <c r="D60" i="34"/>
  <c r="D58" i="34"/>
  <c r="D57" i="34"/>
  <c r="D56" i="34"/>
  <c r="D55" i="34"/>
  <c r="D54" i="34"/>
  <c r="D53" i="34"/>
  <c r="D52" i="34"/>
  <c r="D50" i="34"/>
  <c r="D48" i="34"/>
  <c r="D45" i="34"/>
  <c r="E651" i="34"/>
  <c r="E647" i="34"/>
  <c r="E646" i="34"/>
  <c r="E645" i="34"/>
  <c r="E642" i="34"/>
  <c r="E641" i="34"/>
  <c r="E639" i="34"/>
  <c r="E637" i="34"/>
  <c r="E633" i="34"/>
  <c r="E629" i="34"/>
  <c r="E628" i="34"/>
  <c r="E626" i="34"/>
  <c r="E624" i="34"/>
  <c r="E623" i="34"/>
  <c r="E621" i="34"/>
  <c r="E619" i="34"/>
  <c r="E618" i="34"/>
  <c r="E617" i="34"/>
  <c r="E614" i="34"/>
  <c r="E612" i="34"/>
  <c r="E608" i="34"/>
  <c r="E604" i="34"/>
  <c r="E601" i="34"/>
  <c r="E599" i="34"/>
  <c r="E598" i="34"/>
  <c r="E596" i="34"/>
  <c r="E594" i="34"/>
  <c r="E593" i="34"/>
  <c r="E590" i="34"/>
  <c r="E588" i="34"/>
  <c r="E586" i="34"/>
  <c r="E584" i="34"/>
  <c r="E583" i="34"/>
  <c r="E582" i="34"/>
  <c r="E580" i="34"/>
  <c r="E575" i="34"/>
  <c r="E573" i="34"/>
  <c r="E572" i="34"/>
  <c r="E570" i="34"/>
  <c r="E569" i="34"/>
  <c r="E568" i="34"/>
  <c r="E567" i="34"/>
  <c r="E566" i="34"/>
  <c r="E545" i="34"/>
  <c r="E543" i="34"/>
  <c r="E539" i="34"/>
  <c r="E535" i="34"/>
  <c r="E534" i="34"/>
  <c r="E533" i="34"/>
  <c r="E531" i="34"/>
  <c r="E529" i="34"/>
  <c r="E527" i="34"/>
  <c r="E525" i="34"/>
  <c r="E524" i="34"/>
  <c r="E519" i="34"/>
  <c r="E516" i="34"/>
  <c r="E515" i="34"/>
  <c r="E514" i="34"/>
  <c r="E510" i="34"/>
  <c r="E508" i="34"/>
  <c r="E506" i="34"/>
  <c r="E505" i="34"/>
  <c r="E503" i="34"/>
  <c r="E501" i="34"/>
  <c r="E500" i="34"/>
  <c r="E499" i="34"/>
  <c r="E495" i="34"/>
  <c r="E493" i="34"/>
  <c r="E486" i="34"/>
  <c r="E485" i="34"/>
  <c r="E484" i="34"/>
  <c r="E481" i="34"/>
  <c r="E479" i="34"/>
  <c r="E409" i="34"/>
  <c r="E407" i="34"/>
  <c r="E406" i="34"/>
  <c r="E404" i="34"/>
  <c r="E403" i="34"/>
  <c r="E396" i="34"/>
  <c r="E395" i="34"/>
  <c r="E393" i="34"/>
  <c r="E391" i="34"/>
  <c r="E389" i="34"/>
  <c r="E388" i="34"/>
  <c r="E387" i="34"/>
  <c r="E385" i="34"/>
  <c r="E384" i="34"/>
  <c r="E383" i="34"/>
  <c r="E382" i="34"/>
  <c r="E380" i="34"/>
  <c r="E378" i="34"/>
  <c r="E377" i="34"/>
  <c r="E376" i="34"/>
  <c r="E375" i="34"/>
  <c r="E373" i="34"/>
  <c r="E372" i="34"/>
  <c r="E371" i="34"/>
  <c r="E370" i="34"/>
  <c r="E365" i="34"/>
  <c r="E363" i="34"/>
  <c r="E359" i="34"/>
  <c r="E346" i="34"/>
  <c r="E341" i="34"/>
  <c r="E339" i="34"/>
  <c r="E337" i="34"/>
  <c r="E336" i="34"/>
  <c r="E331" i="34"/>
  <c r="E330" i="34"/>
  <c r="E329" i="34"/>
  <c r="E328" i="34"/>
  <c r="E327" i="34"/>
  <c r="E325" i="34"/>
  <c r="E324" i="34"/>
  <c r="E323" i="34"/>
  <c r="E322" i="34"/>
  <c r="E320" i="34"/>
  <c r="E319" i="34"/>
  <c r="E314" i="34"/>
  <c r="E312" i="34"/>
  <c r="E310" i="34"/>
  <c r="E309" i="34"/>
  <c r="E308" i="34"/>
  <c r="E303" i="34"/>
  <c r="E302" i="34"/>
  <c r="E300" i="34"/>
  <c r="E298" i="34"/>
  <c r="E297" i="34"/>
  <c r="E293" i="34"/>
  <c r="E292" i="34"/>
  <c r="E291" i="34"/>
  <c r="E289" i="34"/>
  <c r="E284" i="34"/>
  <c r="E283" i="34"/>
  <c r="E282" i="34"/>
  <c r="E280" i="34"/>
  <c r="E278" i="34"/>
  <c r="E276" i="34"/>
  <c r="E274" i="34"/>
  <c r="E260" i="34"/>
  <c r="E258" i="34"/>
  <c r="E256" i="34"/>
  <c r="E254" i="34"/>
  <c r="E252" i="34"/>
  <c r="E251" i="34"/>
  <c r="E250" i="34"/>
  <c r="E249" i="34"/>
  <c r="E248" i="34"/>
  <c r="E247" i="34"/>
  <c r="E246" i="34"/>
  <c r="E245" i="34"/>
  <c r="E244" i="34"/>
  <c r="E242" i="34"/>
  <c r="E238" i="34"/>
  <c r="E237" i="34"/>
  <c r="E236" i="34"/>
  <c r="E235" i="34"/>
  <c r="E234" i="34"/>
  <c r="E232" i="34"/>
  <c r="E230" i="34"/>
  <c r="E228" i="34"/>
  <c r="E226" i="34"/>
  <c r="E225" i="34"/>
  <c r="E223" i="34"/>
  <c r="E222" i="34"/>
  <c r="E221" i="34"/>
  <c r="E220" i="34"/>
  <c r="E214" i="34"/>
  <c r="E212" i="34"/>
  <c r="E211" i="34"/>
  <c r="E210" i="34"/>
  <c r="E204" i="34"/>
  <c r="E202" i="34"/>
  <c r="E200" i="34"/>
  <c r="E199" i="34"/>
  <c r="E198" i="34"/>
  <c r="E191" i="34"/>
  <c r="E183" i="34"/>
  <c r="E182" i="34"/>
  <c r="E181" i="34"/>
  <c r="E180" i="34"/>
  <c r="E179" i="34"/>
  <c r="E178" i="34"/>
  <c r="E177" i="34"/>
  <c r="E176" i="34"/>
  <c r="E175" i="34"/>
  <c r="E164" i="34"/>
  <c r="E162" i="34"/>
  <c r="E156" i="34"/>
  <c r="E155" i="34"/>
  <c r="E154" i="34"/>
  <c r="E153" i="34"/>
  <c r="E152" i="34"/>
  <c r="E151" i="34"/>
  <c r="E150" i="34"/>
  <c r="E149" i="34"/>
  <c r="E148" i="34"/>
  <c r="E147" i="34"/>
  <c r="E143" i="34"/>
  <c r="E141" i="34"/>
  <c r="E135" i="34"/>
  <c r="E132" i="34"/>
  <c r="E131" i="34"/>
  <c r="E130" i="34"/>
  <c r="E127" i="34"/>
  <c r="E126" i="34"/>
  <c r="E125" i="34"/>
  <c r="E123" i="34"/>
  <c r="E122" i="34"/>
  <c r="E121" i="34"/>
  <c r="E120" i="34"/>
  <c r="E119" i="34"/>
  <c r="E118" i="34"/>
  <c r="E117" i="34"/>
  <c r="E114" i="34"/>
  <c r="E113" i="34"/>
  <c r="E111" i="34"/>
  <c r="E110" i="34"/>
  <c r="E109" i="34"/>
  <c r="E105" i="34"/>
  <c r="E104" i="34"/>
  <c r="E97" i="34"/>
  <c r="E96" i="34"/>
  <c r="E95" i="34"/>
  <c r="E94" i="34"/>
  <c r="E93" i="34"/>
  <c r="E92" i="34"/>
  <c r="E91" i="34"/>
  <c r="E90" i="34"/>
  <c r="E89" i="34"/>
  <c r="E88" i="34"/>
  <c r="E86" i="34"/>
  <c r="E84" i="34"/>
  <c r="E83" i="34"/>
  <c r="E78" i="34"/>
  <c r="E76" i="34"/>
  <c r="E74" i="34"/>
  <c r="E73" i="34"/>
  <c r="E72" i="34"/>
  <c r="E63" i="34"/>
  <c r="E62" i="34"/>
  <c r="E61" i="34"/>
  <c r="E60" i="34"/>
  <c r="E58" i="34"/>
  <c r="E57" i="34"/>
  <c r="E56" i="34"/>
  <c r="E55" i="34"/>
  <c r="E54" i="34"/>
  <c r="E53" i="34"/>
  <c r="E52" i="34"/>
  <c r="E50" i="34"/>
  <c r="E48" i="34"/>
  <c r="E45" i="34"/>
  <c r="D43" i="34"/>
  <c r="R55" i="34" l="1"/>
  <c r="R151" i="34"/>
  <c r="S254" i="34"/>
  <c r="R254" i="34"/>
  <c r="R387" i="34"/>
  <c r="S404" i="34"/>
  <c r="R404" i="34"/>
  <c r="R566" i="34"/>
  <c r="R588" i="34"/>
  <c r="R612" i="34"/>
  <c r="R626" i="34"/>
  <c r="S626" i="34"/>
  <c r="R653" i="34"/>
  <c r="S127" i="34"/>
  <c r="R127" i="34"/>
  <c r="R230" i="34"/>
  <c r="R329" i="34"/>
  <c r="S531" i="34"/>
  <c r="R531" i="34"/>
  <c r="R96" i="34"/>
  <c r="R152" i="34"/>
  <c r="S330" i="34"/>
  <c r="R330" i="34"/>
  <c r="S406" i="34"/>
  <c r="R406" i="34"/>
  <c r="S533" i="34"/>
  <c r="R533" i="34"/>
  <c r="R590" i="34"/>
  <c r="R45" i="34"/>
  <c r="S57" i="34"/>
  <c r="R57" i="34"/>
  <c r="R76" i="34"/>
  <c r="R89" i="34"/>
  <c r="S104" i="34"/>
  <c r="R104" i="34"/>
  <c r="R120" i="34"/>
  <c r="R131" i="34"/>
  <c r="R153" i="34"/>
  <c r="S177" i="34"/>
  <c r="R177" i="34"/>
  <c r="R199" i="34"/>
  <c r="R219" i="34"/>
  <c r="R236" i="34"/>
  <c r="S236" i="34"/>
  <c r="R247" i="34"/>
  <c r="S258" i="34"/>
  <c r="R258" i="34"/>
  <c r="R289" i="34"/>
  <c r="R303" i="34"/>
  <c r="R322" i="34"/>
  <c r="R331" i="34"/>
  <c r="S372" i="34"/>
  <c r="R372" i="34"/>
  <c r="R389" i="34"/>
  <c r="R407" i="34"/>
  <c r="R463" i="34"/>
  <c r="R475" i="34"/>
  <c r="R501" i="34"/>
  <c r="R516" i="34"/>
  <c r="S534" i="34"/>
  <c r="R534" i="34"/>
  <c r="R568" i="34"/>
  <c r="S617" i="34"/>
  <c r="R617" i="34"/>
  <c r="R629" i="34"/>
  <c r="R118" i="34"/>
  <c r="R282" i="34"/>
  <c r="S457" i="34"/>
  <c r="R457" i="34"/>
  <c r="R74" i="34"/>
  <c r="S176" i="34"/>
  <c r="R176" i="34"/>
  <c r="S246" i="34"/>
  <c r="R246" i="34"/>
  <c r="S320" i="34"/>
  <c r="R320" i="34"/>
  <c r="R459" i="34"/>
  <c r="S628" i="34"/>
  <c r="R628" i="34"/>
  <c r="R58" i="34"/>
  <c r="R77" i="34"/>
  <c r="S77" i="34"/>
  <c r="R90" i="34"/>
  <c r="S105" i="34"/>
  <c r="R105" i="34"/>
  <c r="R121" i="34"/>
  <c r="R132" i="34"/>
  <c r="R154" i="34"/>
  <c r="R178" i="34"/>
  <c r="S200" i="34"/>
  <c r="R200" i="34"/>
  <c r="R220" i="34"/>
  <c r="R237" i="34"/>
  <c r="S248" i="34"/>
  <c r="R248" i="34"/>
  <c r="R260" i="34"/>
  <c r="S291" i="34"/>
  <c r="R291" i="34"/>
  <c r="S304" i="34"/>
  <c r="R304" i="34"/>
  <c r="R323" i="34"/>
  <c r="S336" i="34"/>
  <c r="R336" i="34"/>
  <c r="R380" i="34"/>
  <c r="R391" i="34"/>
  <c r="S464" i="34"/>
  <c r="R464" i="34"/>
  <c r="R479" i="34"/>
  <c r="S519" i="34"/>
  <c r="R519" i="34"/>
  <c r="S535" i="34"/>
  <c r="R535" i="34"/>
  <c r="R569" i="34"/>
  <c r="R594" i="34"/>
  <c r="R618" i="34"/>
  <c r="R633" i="34"/>
  <c r="R86" i="34"/>
  <c r="S191" i="34"/>
  <c r="R191" i="34"/>
  <c r="R300" i="34"/>
  <c r="S300" i="34"/>
  <c r="R499" i="34"/>
  <c r="R56" i="34"/>
  <c r="R119" i="34"/>
  <c r="S198" i="34"/>
  <c r="R198" i="34"/>
  <c r="S235" i="34"/>
  <c r="R235" i="34"/>
  <c r="R284" i="34"/>
  <c r="R388" i="34"/>
  <c r="S515" i="34"/>
  <c r="R515" i="34"/>
  <c r="R614" i="34"/>
  <c r="R48" i="34"/>
  <c r="R50" i="34"/>
  <c r="R60" i="34"/>
  <c r="S78" i="34"/>
  <c r="R78" i="34"/>
  <c r="R91" i="34"/>
  <c r="R111" i="34"/>
  <c r="R122" i="34"/>
  <c r="R135" i="34"/>
  <c r="R155" i="34"/>
  <c r="R180" i="34"/>
  <c r="S180" i="34"/>
  <c r="R204" i="34"/>
  <c r="R221" i="34"/>
  <c r="S238" i="34"/>
  <c r="R238" i="34"/>
  <c r="R249" i="34"/>
  <c r="R274" i="34"/>
  <c r="R292" i="34"/>
  <c r="R308" i="34"/>
  <c r="R324" i="34"/>
  <c r="S324" i="34"/>
  <c r="R382" i="34"/>
  <c r="R393" i="34"/>
  <c r="S466" i="34"/>
  <c r="R466" i="34"/>
  <c r="R481" i="34"/>
  <c r="R505" i="34"/>
  <c r="R524" i="34"/>
  <c r="S537" i="34"/>
  <c r="R537" i="34"/>
  <c r="R570" i="34"/>
  <c r="R596" i="34"/>
  <c r="R619" i="34"/>
  <c r="R637" i="34"/>
  <c r="R95" i="34"/>
  <c r="S216" i="34"/>
  <c r="R216" i="34"/>
  <c r="R319" i="34"/>
  <c r="S471" i="34"/>
  <c r="R471" i="34"/>
  <c r="R88" i="34"/>
  <c r="R130" i="34"/>
  <c r="R217" i="34"/>
  <c r="S256" i="34"/>
  <c r="R256" i="34"/>
  <c r="S371" i="34"/>
  <c r="R371" i="34"/>
  <c r="S500" i="34"/>
  <c r="R500" i="34"/>
  <c r="S567" i="34"/>
  <c r="R567" i="34"/>
  <c r="R52" i="34"/>
  <c r="R61" i="34"/>
  <c r="R79" i="34"/>
  <c r="R92" i="34"/>
  <c r="S113" i="34"/>
  <c r="R113" i="34"/>
  <c r="R123" i="34"/>
  <c r="R141" i="34"/>
  <c r="S141" i="34"/>
  <c r="R156" i="34"/>
  <c r="R181" i="34"/>
  <c r="S211" i="34"/>
  <c r="R211" i="34"/>
  <c r="R222" i="34"/>
  <c r="R241" i="34"/>
  <c r="S250" i="34"/>
  <c r="R250" i="34"/>
  <c r="R276" i="34"/>
  <c r="S293" i="34"/>
  <c r="R293" i="34"/>
  <c r="R309" i="34"/>
  <c r="R325" i="34"/>
  <c r="S339" i="34"/>
  <c r="R339" i="34"/>
  <c r="S383" i="34"/>
  <c r="R383" i="34"/>
  <c r="R395" i="34"/>
  <c r="R446" i="34"/>
  <c r="R467" i="34"/>
  <c r="R484" i="34"/>
  <c r="S506" i="34"/>
  <c r="R506" i="34"/>
  <c r="S525" i="34"/>
  <c r="R525" i="34"/>
  <c r="S539" i="34"/>
  <c r="R539" i="34"/>
  <c r="R598" i="34"/>
  <c r="R621" i="34"/>
  <c r="R65" i="34"/>
  <c r="S175" i="34"/>
  <c r="R175" i="34"/>
  <c r="R245" i="34"/>
  <c r="R359" i="34"/>
  <c r="R53" i="34"/>
  <c r="S62" i="34"/>
  <c r="R62" i="34"/>
  <c r="R83" i="34"/>
  <c r="R93" i="34"/>
  <c r="S114" i="34"/>
  <c r="R114" i="34"/>
  <c r="S125" i="34"/>
  <c r="R125" i="34"/>
  <c r="R143" i="34"/>
  <c r="R162" i="34"/>
  <c r="R182" i="34"/>
  <c r="R212" i="34"/>
  <c r="R223" i="34"/>
  <c r="S242" i="34"/>
  <c r="R242" i="34"/>
  <c r="R251" i="34"/>
  <c r="R278" i="34"/>
  <c r="R297" i="34"/>
  <c r="R310" i="34"/>
  <c r="R327" i="34"/>
  <c r="S341" i="34"/>
  <c r="R341" i="34"/>
  <c r="R384" i="34"/>
  <c r="R396" i="34"/>
  <c r="S396" i="34"/>
  <c r="R453" i="34"/>
  <c r="S468" i="34"/>
  <c r="R468" i="34"/>
  <c r="S485" i="34"/>
  <c r="R485" i="34"/>
  <c r="S508" i="34"/>
  <c r="R508" i="34"/>
  <c r="S527" i="34"/>
  <c r="R527" i="34"/>
  <c r="S543" i="34"/>
  <c r="R543" i="34"/>
  <c r="S575" i="34"/>
  <c r="R575" i="34"/>
  <c r="S599" i="34"/>
  <c r="R599" i="34"/>
  <c r="R623" i="34"/>
  <c r="R641" i="34"/>
  <c r="R54" i="34"/>
  <c r="S63" i="34"/>
  <c r="R63" i="34"/>
  <c r="R84" i="34"/>
  <c r="R94" i="34"/>
  <c r="R117" i="34"/>
  <c r="R126" i="34"/>
  <c r="R150" i="34"/>
  <c r="R164" i="34"/>
  <c r="R183" i="34"/>
  <c r="R214" i="34"/>
  <c r="S228" i="34"/>
  <c r="R228" i="34"/>
  <c r="R244" i="34"/>
  <c r="R252" i="34"/>
  <c r="R280" i="34"/>
  <c r="R298" i="34"/>
  <c r="S312" i="34"/>
  <c r="R312" i="34"/>
  <c r="R328" i="34"/>
  <c r="R346" i="34"/>
  <c r="R385" i="34"/>
  <c r="R403" i="34"/>
  <c r="R455" i="34"/>
  <c r="R469" i="34"/>
  <c r="R493" i="34"/>
  <c r="R510" i="34"/>
  <c r="S529" i="34"/>
  <c r="R529" i="34"/>
  <c r="S545" i="34"/>
  <c r="R545" i="34"/>
  <c r="R584" i="34"/>
  <c r="R601" i="34"/>
  <c r="R624" i="34"/>
  <c r="S642" i="34"/>
  <c r="R642" i="34"/>
  <c r="Q626" i="34"/>
  <c r="Q569" i="34"/>
  <c r="Q126" i="34"/>
  <c r="Q627" i="34"/>
  <c r="Q630" i="34"/>
  <c r="Q632" i="34"/>
  <c r="Q634" i="34"/>
  <c r="Q638" i="34"/>
  <c r="Q640" i="34"/>
  <c r="Q643" i="34"/>
  <c r="Q654" i="34"/>
  <c r="Q655" i="34"/>
  <c r="Q656" i="34"/>
  <c r="Q657" i="34"/>
  <c r="Q658" i="34"/>
  <c r="Q659" i="34"/>
  <c r="Q660" i="34"/>
  <c r="Q661" i="34"/>
  <c r="Q662" i="34"/>
  <c r="Q663" i="34"/>
  <c r="Q664" i="34"/>
  <c r="Q665" i="34"/>
  <c r="Q666" i="34"/>
  <c r="Q667" i="34"/>
  <c r="Q668" i="34"/>
  <c r="Q669" i="34"/>
  <c r="Q670" i="34"/>
  <c r="Q671" i="34"/>
  <c r="Q672" i="34"/>
  <c r="Q673" i="34"/>
  <c r="Q674" i="34"/>
  <c r="Q675" i="34"/>
  <c r="Q676" i="34"/>
  <c r="Q677" i="34"/>
  <c r="Q679" i="34"/>
  <c r="Q680" i="34"/>
  <c r="Q681" i="34"/>
  <c r="Q682" i="34"/>
  <c r="J630" i="34"/>
  <c r="J631" i="34"/>
  <c r="J632" i="34"/>
  <c r="J634" i="34"/>
  <c r="J635" i="34"/>
  <c r="J640" i="34"/>
  <c r="J643" i="34"/>
  <c r="J654" i="34"/>
  <c r="J655" i="34"/>
  <c r="J656" i="34"/>
  <c r="J657" i="34"/>
  <c r="J658" i="34"/>
  <c r="J659" i="34"/>
  <c r="J660" i="34"/>
  <c r="J661" i="34"/>
  <c r="J662" i="34"/>
  <c r="J663" i="34"/>
  <c r="J664" i="34"/>
  <c r="J665" i="34"/>
  <c r="J666" i="34"/>
  <c r="J667" i="34"/>
  <c r="J668" i="34"/>
  <c r="J669" i="34"/>
  <c r="J670" i="34"/>
  <c r="J671" i="34"/>
  <c r="J672" i="34"/>
  <c r="J673" i="34"/>
  <c r="J674" i="34"/>
  <c r="J675" i="34"/>
  <c r="J676" i="34"/>
  <c r="J677" i="34"/>
  <c r="J679" i="34"/>
  <c r="J680" i="34"/>
  <c r="J681" i="34"/>
  <c r="J682" i="34"/>
  <c r="E640" i="34"/>
  <c r="E643" i="34"/>
  <c r="E654" i="34"/>
  <c r="E655" i="34"/>
  <c r="E656" i="34"/>
  <c r="E657" i="34"/>
  <c r="E658" i="34"/>
  <c r="E659" i="34"/>
  <c r="E660" i="34"/>
  <c r="E661" i="34"/>
  <c r="E662" i="34"/>
  <c r="E663" i="34"/>
  <c r="E664" i="34"/>
  <c r="E665" i="34"/>
  <c r="E666" i="34"/>
  <c r="E667" i="34"/>
  <c r="E668" i="34"/>
  <c r="E669" i="34"/>
  <c r="E670" i="34"/>
  <c r="E671" i="34"/>
  <c r="E672" i="34"/>
  <c r="E673" i="34"/>
  <c r="E674" i="34"/>
  <c r="E675" i="34"/>
  <c r="E676" i="34"/>
  <c r="E677" i="34"/>
  <c r="E679" i="34"/>
  <c r="E680" i="34"/>
  <c r="E681" i="34"/>
  <c r="E682" i="34"/>
  <c r="X899" i="34"/>
  <c r="Y899" i="34"/>
  <c r="Q589" i="34"/>
  <c r="Q595" i="34"/>
  <c r="Q597" i="34"/>
  <c r="Q600" i="34"/>
  <c r="Q606" i="34"/>
  <c r="Q607" i="34"/>
  <c r="Q609" i="34"/>
  <c r="Q611" i="34"/>
  <c r="Q613" i="34"/>
  <c r="J589" i="34"/>
  <c r="J595" i="34"/>
  <c r="J597" i="34"/>
  <c r="J600" i="34"/>
  <c r="J605" i="34"/>
  <c r="J606" i="34"/>
  <c r="J607" i="34"/>
  <c r="J609" i="34"/>
  <c r="J611" i="34"/>
  <c r="J613" i="34"/>
  <c r="J616" i="34"/>
  <c r="J620" i="34"/>
  <c r="J622" i="34"/>
  <c r="J625" i="34"/>
  <c r="J627" i="34"/>
  <c r="E589" i="34"/>
  <c r="E595" i="34"/>
  <c r="E597" i="34"/>
  <c r="E600" i="34"/>
  <c r="E605" i="34"/>
  <c r="E606" i="34"/>
  <c r="E607" i="34"/>
  <c r="E609" i="34"/>
  <c r="E611" i="34"/>
  <c r="E613" i="34"/>
  <c r="E616" i="34"/>
  <c r="E620" i="34"/>
  <c r="E622" i="34"/>
  <c r="E625" i="34"/>
  <c r="E627" i="34"/>
  <c r="E630" i="34"/>
  <c r="E631" i="34"/>
  <c r="E632" i="34"/>
  <c r="E634" i="34"/>
  <c r="E635" i="34"/>
  <c r="E638" i="34"/>
  <c r="E541" i="34"/>
  <c r="E542" i="34"/>
  <c r="E544" i="34"/>
  <c r="E547" i="34"/>
  <c r="E548" i="34"/>
  <c r="E549" i="34"/>
  <c r="E550" i="34"/>
  <c r="E551" i="34"/>
  <c r="E552" i="34"/>
  <c r="E553" i="34"/>
  <c r="E554" i="34"/>
  <c r="E555" i="34"/>
  <c r="E556" i="34"/>
  <c r="E557" i="34"/>
  <c r="E558" i="34"/>
  <c r="E559" i="34"/>
  <c r="E560" i="34"/>
  <c r="E561" i="34"/>
  <c r="E562" i="34"/>
  <c r="E565" i="34"/>
  <c r="E571" i="34"/>
  <c r="E574" i="34"/>
  <c r="E576" i="34"/>
  <c r="E581" i="34"/>
  <c r="E585" i="34"/>
  <c r="E587" i="34"/>
  <c r="Y34" i="35"/>
  <c r="Y35" i="35" s="1"/>
  <c r="Y36" i="35" s="1"/>
  <c r="Q540" i="34"/>
  <c r="Q541" i="34"/>
  <c r="Q542" i="34"/>
  <c r="Q544" i="34"/>
  <c r="Q547" i="34"/>
  <c r="Q548" i="34"/>
  <c r="Q549" i="34"/>
  <c r="Q550" i="34"/>
  <c r="Q551" i="34"/>
  <c r="Q552" i="34"/>
  <c r="Q553" i="34"/>
  <c r="Q554" i="34"/>
  <c r="Q555" i="34"/>
  <c r="Q556" i="34"/>
  <c r="Q557" i="34"/>
  <c r="Q558" i="34"/>
  <c r="Q559" i="34"/>
  <c r="Q560" i="34"/>
  <c r="Q561" i="34"/>
  <c r="Q562" i="34"/>
  <c r="Q564" i="34"/>
  <c r="Q565" i="34"/>
  <c r="Q571" i="34"/>
  <c r="Q574" i="34"/>
  <c r="Q576" i="34"/>
  <c r="Q581" i="34"/>
  <c r="Q585" i="34"/>
  <c r="Q587" i="34"/>
  <c r="J540" i="34"/>
  <c r="J541" i="34"/>
  <c r="J542" i="34"/>
  <c r="J544" i="34"/>
  <c r="J547" i="34"/>
  <c r="J548" i="34"/>
  <c r="J549" i="34"/>
  <c r="J550" i="34"/>
  <c r="J551" i="34"/>
  <c r="J552" i="34"/>
  <c r="J553" i="34"/>
  <c r="J554" i="34"/>
  <c r="J555" i="34"/>
  <c r="J556" i="34"/>
  <c r="J557" i="34"/>
  <c r="J558" i="34"/>
  <c r="J559" i="34"/>
  <c r="J560" i="34"/>
  <c r="J561" i="34"/>
  <c r="J562" i="34"/>
  <c r="J564" i="34"/>
  <c r="J565" i="34"/>
  <c r="J571" i="34"/>
  <c r="J574" i="34"/>
  <c r="J576" i="34"/>
  <c r="J581" i="34"/>
  <c r="J585" i="34"/>
  <c r="J587" i="34"/>
  <c r="E540" i="34"/>
  <c r="S677" i="34" l="1"/>
  <c r="R677" i="34"/>
  <c r="R625" i="34"/>
  <c r="R587" i="34"/>
  <c r="R562" i="34"/>
  <c r="R554" i="34"/>
  <c r="S544" i="34"/>
  <c r="R544" i="34"/>
  <c r="R622" i="34"/>
  <c r="R675" i="34"/>
  <c r="R667" i="34"/>
  <c r="R659" i="34"/>
  <c r="R635" i="34"/>
  <c r="R669" i="34"/>
  <c r="R553" i="34"/>
  <c r="R620" i="34"/>
  <c r="R600" i="34"/>
  <c r="R674" i="34"/>
  <c r="R666" i="34"/>
  <c r="R658" i="34"/>
  <c r="R634" i="34"/>
  <c r="R607" i="34"/>
  <c r="R564" i="34"/>
  <c r="S542" i="34"/>
  <c r="R542" i="34"/>
  <c r="R560" i="34"/>
  <c r="R552" i="34"/>
  <c r="S541" i="34"/>
  <c r="R541" i="34"/>
  <c r="R616" i="34"/>
  <c r="S597" i="34"/>
  <c r="R597" i="34"/>
  <c r="S682" i="34"/>
  <c r="R682" i="34"/>
  <c r="R673" i="34"/>
  <c r="R665" i="34"/>
  <c r="R657" i="34"/>
  <c r="R632" i="34"/>
  <c r="R565" i="34"/>
  <c r="R627" i="34"/>
  <c r="R660" i="34"/>
  <c r="R585" i="34"/>
  <c r="S576" i="34"/>
  <c r="R576" i="34"/>
  <c r="R559" i="34"/>
  <c r="R551" i="34"/>
  <c r="S540" i="34"/>
  <c r="R540" i="34"/>
  <c r="R613" i="34"/>
  <c r="S595" i="34"/>
  <c r="R595" i="34"/>
  <c r="R681" i="34"/>
  <c r="S672" i="34"/>
  <c r="R672" i="34"/>
  <c r="R664" i="34"/>
  <c r="R656" i="34"/>
  <c r="R631" i="34"/>
  <c r="R556" i="34"/>
  <c r="S643" i="34"/>
  <c r="R643" i="34"/>
  <c r="R547" i="34"/>
  <c r="S676" i="34"/>
  <c r="R676" i="34"/>
  <c r="R550" i="34"/>
  <c r="R611" i="34"/>
  <c r="R680" i="34"/>
  <c r="R671" i="34"/>
  <c r="S663" i="34"/>
  <c r="R663" i="34"/>
  <c r="R655" i="34"/>
  <c r="S630" i="34"/>
  <c r="R630" i="34"/>
  <c r="R548" i="34"/>
  <c r="R661" i="34"/>
  <c r="R555" i="34"/>
  <c r="R668" i="34"/>
  <c r="R561" i="34"/>
  <c r="R558" i="34"/>
  <c r="R571" i="34"/>
  <c r="R557" i="34"/>
  <c r="R549" i="34"/>
  <c r="R609" i="34"/>
  <c r="S609" i="34"/>
  <c r="R679" i="34"/>
  <c r="R670" i="34"/>
  <c r="R662" i="34"/>
  <c r="R654" i="34"/>
  <c r="Q635" i="34"/>
  <c r="Q625" i="34"/>
  <c r="Q631" i="34"/>
  <c r="Q622" i="34"/>
  <c r="Q538" i="34"/>
  <c r="Q99" i="34"/>
  <c r="Q112" i="34"/>
  <c r="Q115" i="34"/>
  <c r="Q124" i="34"/>
  <c r="Q129" i="34"/>
  <c r="Q134" i="34"/>
  <c r="Q144" i="34"/>
  <c r="Q157" i="34"/>
  <c r="Q160" i="34"/>
  <c r="Q161" i="34"/>
  <c r="Q163" i="34"/>
  <c r="Q165" i="34"/>
  <c r="Q171" i="34"/>
  <c r="Q172" i="34"/>
  <c r="Q185" i="34"/>
  <c r="Q186" i="34"/>
  <c r="Q187" i="34"/>
  <c r="Q188" i="34"/>
  <c r="Q189" i="34"/>
  <c r="Q190" i="34"/>
  <c r="Q192" i="34"/>
  <c r="Q193" i="34"/>
  <c r="Q194" i="34"/>
  <c r="Q195" i="34"/>
  <c r="Q196" i="34"/>
  <c r="Q197" i="34"/>
  <c r="Q201" i="34"/>
  <c r="Q203" i="34"/>
  <c r="Q205" i="34"/>
  <c r="Q207" i="34"/>
  <c r="Q208" i="34"/>
  <c r="Q209" i="34"/>
  <c r="Q213" i="34"/>
  <c r="Q215" i="34"/>
  <c r="Q218" i="34"/>
  <c r="Q224" i="34"/>
  <c r="Q229" i="34"/>
  <c r="Q231" i="34"/>
  <c r="Q233" i="34"/>
  <c r="Q239" i="34"/>
  <c r="Q243" i="34"/>
  <c r="Q253" i="34"/>
  <c r="Q255" i="34"/>
  <c r="Q257" i="34"/>
  <c r="Q259" i="34"/>
  <c r="Q261" i="34"/>
  <c r="Q262" i="34"/>
  <c r="Q263" i="34"/>
  <c r="Q275" i="34"/>
  <c r="Q277" i="34"/>
  <c r="Q279" i="34"/>
  <c r="Q281" i="34"/>
  <c r="Q285" i="34"/>
  <c r="Q288" i="34"/>
  <c r="Q290" i="34"/>
  <c r="Q294" i="34"/>
  <c r="Q295" i="34"/>
  <c r="Q296" i="34"/>
  <c r="Q299" i="34"/>
  <c r="Q301" i="34"/>
  <c r="Q306" i="34"/>
  <c r="Q311" i="34"/>
  <c r="Q313" i="34"/>
  <c r="Q321" i="34"/>
  <c r="Q326" i="34"/>
  <c r="Q332" i="34"/>
  <c r="Q333" i="34"/>
  <c r="Q338" i="34"/>
  <c r="Q340" i="34"/>
  <c r="Q343" i="34"/>
  <c r="Q344" i="34"/>
  <c r="Q345" i="34"/>
  <c r="Q348" i="34"/>
  <c r="Q349" i="34"/>
  <c r="Q350" i="34"/>
  <c r="Q352" i="34"/>
  <c r="Q353" i="34"/>
  <c r="Q354" i="34"/>
  <c r="Q355" i="34"/>
  <c r="Q356" i="34"/>
  <c r="Q360" i="34"/>
  <c r="Q361" i="34"/>
  <c r="Q362" i="34"/>
  <c r="Q364" i="34"/>
  <c r="Q366" i="34"/>
  <c r="Q367" i="34"/>
  <c r="Q369" i="34"/>
  <c r="Q379" i="34"/>
  <c r="Q386" i="34"/>
  <c r="Q390" i="34"/>
  <c r="Q392" i="34"/>
  <c r="Q394" i="34"/>
  <c r="Q397" i="34"/>
  <c r="Q398" i="34"/>
  <c r="Q399" i="34"/>
  <c r="Q400" i="34"/>
  <c r="Q405" i="34"/>
  <c r="Q447" i="34"/>
  <c r="Q452" i="34"/>
  <c r="Q454" i="34"/>
  <c r="Q456" i="34"/>
  <c r="Q458" i="34"/>
  <c r="Q460" i="34"/>
  <c r="Q461" i="34"/>
  <c r="Q462" i="34"/>
  <c r="Q465" i="34"/>
  <c r="Q476" i="34"/>
  <c r="Q480" i="34"/>
  <c r="Q491" i="34"/>
  <c r="Q492" i="34"/>
  <c r="Q498" i="34"/>
  <c r="Q502" i="34"/>
  <c r="Q507" i="34"/>
  <c r="Q509" i="34"/>
  <c r="Q517" i="34"/>
  <c r="Q523" i="34"/>
  <c r="Q526" i="34"/>
  <c r="Q528" i="34"/>
  <c r="Q530" i="34"/>
  <c r="Q532" i="34"/>
  <c r="Q536" i="34"/>
  <c r="J112" i="34"/>
  <c r="J115" i="34"/>
  <c r="J124" i="34"/>
  <c r="J129" i="34"/>
  <c r="J134" i="34"/>
  <c r="J144" i="34"/>
  <c r="J157" i="34"/>
  <c r="J159" i="34"/>
  <c r="J160" i="34"/>
  <c r="J161" i="34"/>
  <c r="J163" i="34"/>
  <c r="J165" i="34"/>
  <c r="J171" i="34"/>
  <c r="J172" i="34"/>
  <c r="J174" i="34"/>
  <c r="J188" i="34"/>
  <c r="J189" i="34"/>
  <c r="J190" i="34"/>
  <c r="J192" i="34"/>
  <c r="J193" i="34"/>
  <c r="J194" i="34"/>
  <c r="J195" i="34"/>
  <c r="J196" i="34"/>
  <c r="J197" i="34"/>
  <c r="J201" i="34"/>
  <c r="J203" i="34"/>
  <c r="J205" i="34"/>
  <c r="J213" i="34"/>
  <c r="J215" i="34"/>
  <c r="J218" i="34"/>
  <c r="J224" i="34"/>
  <c r="J229" i="34"/>
  <c r="J239" i="34"/>
  <c r="J243" i="34"/>
  <c r="J253" i="34"/>
  <c r="J255" i="34"/>
  <c r="J257" i="34"/>
  <c r="J259" i="34"/>
  <c r="J261" i="34"/>
  <c r="J262" i="34"/>
  <c r="J263" i="34"/>
  <c r="J275" i="34"/>
  <c r="J277" i="34"/>
  <c r="J279" i="34"/>
  <c r="J281" i="34"/>
  <c r="J290" i="34"/>
  <c r="J294" i="34"/>
  <c r="J295" i="34"/>
  <c r="J296" i="34"/>
  <c r="J299" i="34"/>
  <c r="J301" i="34"/>
  <c r="J306" i="34"/>
  <c r="J311" i="34"/>
  <c r="J313" i="34"/>
  <c r="J321" i="34"/>
  <c r="J326" i="34"/>
  <c r="J332" i="34"/>
  <c r="J333" i="34"/>
  <c r="J338" i="34"/>
  <c r="J340" i="34"/>
  <c r="J343" i="34"/>
  <c r="J344" i="34"/>
  <c r="J345" i="34"/>
  <c r="J348" i="34"/>
  <c r="J349" i="34"/>
  <c r="J350" i="34"/>
  <c r="J352" i="34"/>
  <c r="J353" i="34"/>
  <c r="J354" i="34"/>
  <c r="J355" i="34"/>
  <c r="J356" i="34"/>
  <c r="J358" i="34"/>
  <c r="J361" i="34"/>
  <c r="J362" i="34"/>
  <c r="J379" i="34"/>
  <c r="J386" i="34"/>
  <c r="J390" i="34"/>
  <c r="J392" i="34"/>
  <c r="J394" i="34"/>
  <c r="J397" i="34"/>
  <c r="J398" i="34"/>
  <c r="J405" i="34"/>
  <c r="J498" i="34"/>
  <c r="J502" i="34"/>
  <c r="J507" i="34"/>
  <c r="J509" i="34"/>
  <c r="J517" i="34"/>
  <c r="J523" i="34"/>
  <c r="J526" i="34"/>
  <c r="J528" i="34"/>
  <c r="J530" i="34"/>
  <c r="J532" i="34"/>
  <c r="J536" i="34"/>
  <c r="E99" i="34"/>
  <c r="E112" i="34"/>
  <c r="E115" i="34"/>
  <c r="E124" i="34"/>
  <c r="E129" i="34"/>
  <c r="E134" i="34"/>
  <c r="E144" i="34"/>
  <c r="E157" i="34"/>
  <c r="E160" i="34"/>
  <c r="E161" i="34"/>
  <c r="E163" i="34"/>
  <c r="E165" i="34"/>
  <c r="E171" i="34"/>
  <c r="E172" i="34"/>
  <c r="E174" i="34"/>
  <c r="E185" i="34"/>
  <c r="E186" i="34"/>
  <c r="E187" i="34"/>
  <c r="E188" i="34"/>
  <c r="E189" i="34"/>
  <c r="E190" i="34"/>
  <c r="E192" i="34"/>
  <c r="E193" i="34"/>
  <c r="E194" i="34"/>
  <c r="E195" i="34"/>
  <c r="E196" i="34"/>
  <c r="E197" i="34"/>
  <c r="E201" i="34"/>
  <c r="E203" i="34"/>
  <c r="E205" i="34"/>
  <c r="E207" i="34"/>
  <c r="E208" i="34"/>
  <c r="E209" i="34"/>
  <c r="E213" i="34"/>
  <c r="E215" i="34"/>
  <c r="E224" i="34"/>
  <c r="E229" i="34"/>
  <c r="E231" i="34"/>
  <c r="E233" i="34"/>
  <c r="E239" i="34"/>
  <c r="E243" i="34"/>
  <c r="E253" i="34"/>
  <c r="E255" i="34"/>
  <c r="E257" i="34"/>
  <c r="E259" i="34"/>
  <c r="E261" i="34"/>
  <c r="E262" i="34"/>
  <c r="E263" i="34"/>
  <c r="E275" i="34"/>
  <c r="E277" i="34"/>
  <c r="E279" i="34"/>
  <c r="E281" i="34"/>
  <c r="E285" i="34"/>
  <c r="E288" i="34"/>
  <c r="E290" i="34"/>
  <c r="E294" i="34"/>
  <c r="E295" i="34"/>
  <c r="E296" i="34"/>
  <c r="E299" i="34"/>
  <c r="E301" i="34"/>
  <c r="E306" i="34"/>
  <c r="E311" i="34"/>
  <c r="E313" i="34"/>
  <c r="E321" i="34"/>
  <c r="E326" i="34"/>
  <c r="E332" i="34"/>
  <c r="E333" i="34"/>
  <c r="E338" i="34"/>
  <c r="E340" i="34"/>
  <c r="E343" i="34"/>
  <c r="E344" i="34"/>
  <c r="E345" i="34"/>
  <c r="E349" i="34"/>
  <c r="E350" i="34"/>
  <c r="E352" i="34"/>
  <c r="E353" i="34"/>
  <c r="E354" i="34"/>
  <c r="E355" i="34"/>
  <c r="E356" i="34"/>
  <c r="E358" i="34"/>
  <c r="E360" i="34"/>
  <c r="E361" i="34"/>
  <c r="E362" i="34"/>
  <c r="E364" i="34"/>
  <c r="E366" i="34"/>
  <c r="E367" i="34"/>
  <c r="E369" i="34"/>
  <c r="E379" i="34"/>
  <c r="E386" i="34"/>
  <c r="E390" i="34"/>
  <c r="E392" i="34"/>
  <c r="E394" i="34"/>
  <c r="E397" i="34"/>
  <c r="E398" i="34"/>
  <c r="E399" i="34"/>
  <c r="E400" i="34"/>
  <c r="E405" i="34"/>
  <c r="E480" i="34"/>
  <c r="E482" i="34"/>
  <c r="E490" i="34"/>
  <c r="E491" i="34"/>
  <c r="E492" i="34"/>
  <c r="E498" i="34"/>
  <c r="E502" i="34"/>
  <c r="E507" i="34"/>
  <c r="E509" i="34"/>
  <c r="E513" i="34"/>
  <c r="E517" i="34"/>
  <c r="E526" i="34"/>
  <c r="E528" i="34"/>
  <c r="E530" i="34"/>
  <c r="E532" i="34"/>
  <c r="E536" i="34"/>
  <c r="D99" i="34"/>
  <c r="D112" i="34"/>
  <c r="D115" i="34"/>
  <c r="D124" i="34"/>
  <c r="D134" i="34"/>
  <c r="D144" i="34"/>
  <c r="D157" i="34"/>
  <c r="D159" i="34"/>
  <c r="D160" i="34"/>
  <c r="D161" i="34"/>
  <c r="D163" i="34"/>
  <c r="D165" i="34"/>
  <c r="D171" i="34"/>
  <c r="D172" i="34"/>
  <c r="D174" i="34"/>
  <c r="D185" i="34"/>
  <c r="D186" i="34"/>
  <c r="D187" i="34"/>
  <c r="D188" i="34"/>
  <c r="D189" i="34"/>
  <c r="D190" i="34"/>
  <c r="D192" i="34"/>
  <c r="D193" i="34"/>
  <c r="D194" i="34"/>
  <c r="D195" i="34"/>
  <c r="D196" i="34"/>
  <c r="D197" i="34"/>
  <c r="D201" i="34"/>
  <c r="D203" i="34"/>
  <c r="D205" i="34"/>
  <c r="D207" i="34"/>
  <c r="D208" i="34"/>
  <c r="D209" i="34"/>
  <c r="D213" i="34"/>
  <c r="D215" i="34"/>
  <c r="D224" i="34"/>
  <c r="D229" i="34"/>
  <c r="D231" i="34"/>
  <c r="D233" i="34"/>
  <c r="D239" i="34"/>
  <c r="D243" i="34"/>
  <c r="D253" i="34"/>
  <c r="D255" i="34"/>
  <c r="D257" i="34"/>
  <c r="D259" i="34"/>
  <c r="D261" i="34"/>
  <c r="D262" i="34"/>
  <c r="R458" i="34" l="1"/>
  <c r="R224" i="34"/>
  <c r="S344" i="34"/>
  <c r="R344" i="34"/>
  <c r="R172" i="34"/>
  <c r="S172" i="34"/>
  <c r="S536" i="34"/>
  <c r="R536" i="34"/>
  <c r="R509" i="34"/>
  <c r="S476" i="34"/>
  <c r="R476" i="34"/>
  <c r="R454" i="34"/>
  <c r="R390" i="34"/>
  <c r="S354" i="34"/>
  <c r="R354" i="34"/>
  <c r="S343" i="34"/>
  <c r="R343" i="34"/>
  <c r="R311" i="34"/>
  <c r="R281" i="34"/>
  <c r="R257" i="34"/>
  <c r="R215" i="34"/>
  <c r="S194" i="34"/>
  <c r="R194" i="34"/>
  <c r="R171" i="34"/>
  <c r="S134" i="34"/>
  <c r="R134" i="34"/>
  <c r="R294" i="34"/>
  <c r="R290" i="34"/>
  <c r="S507" i="34"/>
  <c r="R507" i="34"/>
  <c r="R452" i="34"/>
  <c r="R386" i="34"/>
  <c r="R353" i="34"/>
  <c r="S340" i="34"/>
  <c r="R340" i="34"/>
  <c r="S306" i="34"/>
  <c r="R306" i="34"/>
  <c r="S279" i="34"/>
  <c r="R279" i="34"/>
  <c r="S255" i="34"/>
  <c r="R255" i="34"/>
  <c r="R213" i="34"/>
  <c r="S193" i="34"/>
  <c r="R193" i="34"/>
  <c r="S165" i="34"/>
  <c r="R165" i="34"/>
  <c r="R129" i="34"/>
  <c r="S517" i="34"/>
  <c r="R517" i="34"/>
  <c r="R321" i="34"/>
  <c r="S196" i="34"/>
  <c r="R196" i="34"/>
  <c r="R480" i="34"/>
  <c r="R313" i="34"/>
  <c r="R259" i="34"/>
  <c r="R532" i="34"/>
  <c r="S472" i="34"/>
  <c r="R472" i="34"/>
  <c r="R530" i="34"/>
  <c r="S502" i="34"/>
  <c r="R502" i="34"/>
  <c r="R465" i="34"/>
  <c r="R447" i="34"/>
  <c r="R379" i="34"/>
  <c r="R352" i="34"/>
  <c r="S277" i="34"/>
  <c r="R277" i="34"/>
  <c r="S253" i="34"/>
  <c r="R253" i="34"/>
  <c r="R205" i="34"/>
  <c r="S205" i="34"/>
  <c r="R192" i="34"/>
  <c r="S163" i="34"/>
  <c r="R163" i="34"/>
  <c r="R124" i="34"/>
  <c r="S394" i="34"/>
  <c r="R394" i="34"/>
  <c r="S261" i="34"/>
  <c r="R261" i="34"/>
  <c r="R355" i="34"/>
  <c r="R144" i="34"/>
  <c r="S528" i="34"/>
  <c r="R528" i="34"/>
  <c r="S498" i="34"/>
  <c r="R498" i="34"/>
  <c r="S462" i="34"/>
  <c r="R462" i="34"/>
  <c r="S405" i="34"/>
  <c r="R405" i="34"/>
  <c r="S362" i="34"/>
  <c r="R362" i="34"/>
  <c r="S350" i="34"/>
  <c r="R350" i="34"/>
  <c r="R333" i="34"/>
  <c r="S299" i="34"/>
  <c r="R299" i="34"/>
  <c r="R275" i="34"/>
  <c r="S243" i="34"/>
  <c r="R243" i="34"/>
  <c r="R203" i="34"/>
  <c r="R190" i="34"/>
  <c r="S161" i="34"/>
  <c r="R161" i="34"/>
  <c r="R115" i="34"/>
  <c r="R345" i="34"/>
  <c r="S157" i="34"/>
  <c r="R157" i="34"/>
  <c r="R456" i="34"/>
  <c r="R218" i="34"/>
  <c r="S526" i="34"/>
  <c r="R526" i="34"/>
  <c r="R492" i="34"/>
  <c r="R461" i="34"/>
  <c r="S398" i="34"/>
  <c r="R398" i="34"/>
  <c r="R361" i="34"/>
  <c r="S349" i="34"/>
  <c r="R349" i="34"/>
  <c r="S332" i="34"/>
  <c r="R332" i="34"/>
  <c r="S296" i="34"/>
  <c r="R296" i="34"/>
  <c r="S263" i="34"/>
  <c r="R263" i="34"/>
  <c r="R239" i="34"/>
  <c r="S201" i="34"/>
  <c r="R201" i="34"/>
  <c r="S189" i="34"/>
  <c r="R189" i="34"/>
  <c r="R160" i="34"/>
  <c r="R112" i="34"/>
  <c r="S356" i="34"/>
  <c r="R356" i="34"/>
  <c r="S174" i="34"/>
  <c r="R174" i="34"/>
  <c r="R392" i="34"/>
  <c r="S195" i="34"/>
  <c r="R195" i="34"/>
  <c r="R523" i="34"/>
  <c r="R490" i="34"/>
  <c r="S460" i="34"/>
  <c r="R460" i="34"/>
  <c r="R397" i="34"/>
  <c r="S358" i="34"/>
  <c r="R358" i="34"/>
  <c r="S348" i="34"/>
  <c r="R348" i="34"/>
  <c r="R326" i="34"/>
  <c r="S295" i="34"/>
  <c r="R295" i="34"/>
  <c r="R262" i="34"/>
  <c r="R229" i="34"/>
  <c r="S197" i="34"/>
  <c r="R197" i="34"/>
  <c r="R188" i="34"/>
  <c r="S159" i="34"/>
  <c r="R159" i="34"/>
  <c r="Q38" i="34"/>
  <c r="Q40" i="34"/>
  <c r="Q41" i="34"/>
  <c r="Q42" i="34"/>
  <c r="Q47" i="34"/>
  <c r="Q49" i="34"/>
  <c r="Q59" i="34"/>
  <c r="Q81" i="34"/>
  <c r="Q82" i="34"/>
  <c r="Q85" i="34"/>
  <c r="Q87" i="34"/>
  <c r="J38" i="34"/>
  <c r="J40" i="34"/>
  <c r="J41" i="34"/>
  <c r="J42" i="34"/>
  <c r="J47" i="34"/>
  <c r="J49" i="34"/>
  <c r="J59" i="34"/>
  <c r="J81" i="34"/>
  <c r="J82" i="34"/>
  <c r="J85" i="34"/>
  <c r="J87" i="34"/>
  <c r="D38" i="34"/>
  <c r="D41" i="34"/>
  <c r="D42" i="34"/>
  <c r="D49" i="34"/>
  <c r="D59" i="34"/>
  <c r="D81" i="34"/>
  <c r="D82" i="34"/>
  <c r="D85" i="34"/>
  <c r="D87" i="34"/>
  <c r="E38" i="34"/>
  <c r="E41" i="34"/>
  <c r="E42" i="34"/>
  <c r="E49" i="34"/>
  <c r="E59" i="34"/>
  <c r="E81" i="34"/>
  <c r="E82" i="34"/>
  <c r="E85" i="34"/>
  <c r="E87" i="34"/>
  <c r="Q3" i="34" l="1"/>
  <c r="R42" i="34"/>
  <c r="R87" i="34"/>
  <c r="R41" i="34"/>
  <c r="R40" i="34"/>
  <c r="R82" i="34"/>
  <c r="S38" i="34"/>
  <c r="R38" i="34"/>
  <c r="R49" i="34"/>
  <c r="R47" i="34"/>
  <c r="R85" i="34"/>
  <c r="R81" i="34"/>
  <c r="S59" i="34"/>
  <c r="R59" i="34"/>
  <c r="C18" i="35"/>
  <c r="Y909" i="34" l="1"/>
  <c r="X909" i="34"/>
  <c r="Y908" i="34"/>
  <c r="X908" i="34"/>
  <c r="Y907" i="34"/>
  <c r="X907" i="34"/>
  <c r="Y906" i="34"/>
  <c r="X906" i="34"/>
  <c r="Y905" i="34"/>
  <c r="X905" i="34"/>
  <c r="Y904" i="34"/>
  <c r="X904" i="34"/>
  <c r="Y903" i="34"/>
  <c r="X903" i="34"/>
  <c r="Y902" i="34"/>
  <c r="X902" i="34"/>
  <c r="Y901" i="34"/>
  <c r="X901" i="34"/>
  <c r="Y900" i="34"/>
  <c r="X900" i="34"/>
  <c r="C31" i="35" l="1"/>
  <c r="C15" i="35"/>
  <c r="C16" i="35"/>
  <c r="C25" i="35"/>
  <c r="C32" i="35"/>
  <c r="C33" i="35"/>
  <c r="C22" i="35"/>
  <c r="C26" i="35"/>
  <c r="C29" i="35"/>
  <c r="C27" i="35"/>
  <c r="C21" i="35"/>
  <c r="C19" i="35"/>
  <c r="G34" i="38"/>
  <c r="H34" i="38" s="1"/>
  <c r="G35" i="38" s="1"/>
  <c r="H35" i="38" s="1"/>
  <c r="G36" i="38" s="1"/>
  <c r="H36" i="38" s="1"/>
  <c r="G37" i="38" s="1"/>
  <c r="H37" i="38" s="1"/>
  <c r="G38" i="38" s="1"/>
  <c r="H38" i="38" s="1"/>
  <c r="G27" i="38"/>
  <c r="H27" i="38" s="1"/>
  <c r="G28" i="38" s="1"/>
  <c r="H28" i="38" s="1"/>
  <c r="G29" i="38" s="1"/>
  <c r="H29" i="38" s="1"/>
  <c r="G30" i="38" s="1"/>
  <c r="H30" i="38" s="1"/>
  <c r="G31" i="38" s="1"/>
  <c r="H31" i="38" s="1"/>
  <c r="G20" i="38"/>
  <c r="H20" i="38" s="1"/>
  <c r="G21" i="38" s="1"/>
  <c r="H21" i="38" s="1"/>
  <c r="G22" i="38" s="1"/>
  <c r="H22" i="38" s="1"/>
  <c r="G23" i="38" s="1"/>
  <c r="H23" i="38" s="1"/>
  <c r="G24" i="38" s="1"/>
  <c r="H24" i="38" s="1"/>
  <c r="G13" i="38"/>
  <c r="H13" i="38"/>
  <c r="G14" i="38" s="1"/>
  <c r="H14" i="38" s="1"/>
  <c r="G15" i="38" s="1"/>
  <c r="H15" i="38" s="1"/>
  <c r="G16" i="38" s="1"/>
  <c r="H16" i="38" s="1"/>
  <c r="G17" i="38" s="1"/>
  <c r="H17" i="38" s="1"/>
  <c r="H14" i="35" l="1"/>
  <c r="C24" i="35"/>
  <c r="C20" i="35"/>
  <c r="H10" i="44"/>
  <c r="G13" i="44" s="1"/>
  <c r="H13" i="44" s="1"/>
  <c r="G14" i="44" s="1"/>
  <c r="H14" i="44" s="1"/>
  <c r="G15" i="44" s="1"/>
  <c r="H15" i="44" s="1"/>
  <c r="G16" i="44" s="1"/>
  <c r="D32" i="35"/>
  <c r="H10" i="38" l="1"/>
  <c r="R6" i="45"/>
  <c r="AA6" i="45"/>
  <c r="AC6" i="45" s="1"/>
  <c r="R7" i="45"/>
  <c r="AA7" i="45"/>
  <c r="AC7" i="45"/>
  <c r="R8" i="45"/>
  <c r="AA8" i="45"/>
  <c r="AC8" i="45" s="1"/>
  <c r="R9" i="45"/>
  <c r="AA9" i="45"/>
  <c r="AC9" i="45" s="1"/>
  <c r="R10" i="45"/>
  <c r="AA10" i="45"/>
  <c r="AC10" i="45" s="1"/>
  <c r="R11" i="45"/>
  <c r="AA11" i="45"/>
  <c r="AC11" i="45" s="1"/>
  <c r="R12" i="45"/>
  <c r="AA12" i="45"/>
  <c r="AC12" i="45"/>
  <c r="R13" i="45"/>
  <c r="AA13" i="45"/>
  <c r="AC13" i="45" s="1"/>
  <c r="R14" i="45"/>
  <c r="AA14" i="45"/>
  <c r="AC14" i="45" s="1"/>
  <c r="R15" i="45"/>
  <c r="AA15" i="45"/>
  <c r="AC15" i="45"/>
  <c r="R16" i="45"/>
  <c r="R17" i="45"/>
  <c r="R18" i="45"/>
  <c r="R19" i="45"/>
  <c r="R20" i="45"/>
  <c r="AD20" i="45"/>
  <c r="AE20" i="45"/>
  <c r="Z21" i="45"/>
  <c r="AE21" i="45"/>
  <c r="AD21" i="45" s="1"/>
  <c r="AE22" i="45"/>
  <c r="AD22" i="45" s="1"/>
  <c r="M26" i="35"/>
  <c r="O26" i="35" s="1"/>
  <c r="M27" i="35"/>
  <c r="O27" i="35" s="1"/>
  <c r="W27" i="35"/>
  <c r="W26" i="35" l="1"/>
  <c r="Y26" i="35" s="1"/>
  <c r="V26" i="35"/>
  <c r="Y27" i="35"/>
  <c r="V27" i="35"/>
  <c r="AC16" i="45"/>
  <c r="AD16" i="45" s="1"/>
  <c r="X27" i="35"/>
  <c r="C11" i="38"/>
  <c r="C12" i="38"/>
  <c r="C13" i="38"/>
  <c r="C14" i="38"/>
  <c r="C15" i="38"/>
  <c r="C16" i="38"/>
  <c r="C17" i="38"/>
  <c r="C18" i="38"/>
  <c r="C19" i="38"/>
  <c r="C20" i="38"/>
  <c r="C21" i="38"/>
  <c r="C22" i="38"/>
  <c r="C23" i="38"/>
  <c r="C24" i="38"/>
  <c r="C25" i="38"/>
  <c r="C26" i="38"/>
  <c r="C27" i="38"/>
  <c r="C28" i="38"/>
  <c r="C29" i="38"/>
  <c r="C30" i="38"/>
  <c r="C31" i="38"/>
  <c r="C32" i="38"/>
  <c r="C33" i="38"/>
  <c r="C34" i="38"/>
  <c r="C35" i="38"/>
  <c r="C36" i="38"/>
  <c r="C37" i="38"/>
  <c r="C38" i="38"/>
  <c r="C39" i="38"/>
  <c r="X26" i="35" l="1"/>
  <c r="Z26" i="35" s="1"/>
  <c r="C12" i="35"/>
  <c r="C10" i="35"/>
  <c r="Z27" i="35"/>
  <c r="J5" i="35"/>
  <c r="J4" i="35"/>
  <c r="J3" i="35"/>
  <c r="M14" i="35"/>
  <c r="O14" i="35" s="1"/>
  <c r="M15" i="35"/>
  <c r="O15" i="35" s="1"/>
  <c r="W15" i="35"/>
  <c r="X15" i="35" s="1"/>
  <c r="M16" i="35"/>
  <c r="O16" i="35" s="1"/>
  <c r="M24" i="35"/>
  <c r="O24" i="35" s="1"/>
  <c r="W24" i="35"/>
  <c r="M25" i="35"/>
  <c r="O25" i="35" s="1"/>
  <c r="W25" i="35"/>
  <c r="X25" i="35" s="1"/>
  <c r="M13" i="35"/>
  <c r="O13" i="35" s="1"/>
  <c r="W13" i="35"/>
  <c r="X13" i="35" s="1"/>
  <c r="M17" i="35"/>
  <c r="O17" i="35" s="1"/>
  <c r="W17" i="35"/>
  <c r="X17" i="35" s="1"/>
  <c r="M18" i="35"/>
  <c r="O18" i="35" s="1"/>
  <c r="M19" i="35"/>
  <c r="O19" i="35" s="1"/>
  <c r="W19" i="35"/>
  <c r="X19" i="35" s="1"/>
  <c r="M20" i="35"/>
  <c r="O20" i="35" s="1"/>
  <c r="M21" i="35"/>
  <c r="O21" i="35" s="1"/>
  <c r="M22" i="35"/>
  <c r="O22" i="35" s="1"/>
  <c r="V22" i="35"/>
  <c r="M23" i="35"/>
  <c r="O23" i="35" s="1"/>
  <c r="M12" i="35"/>
  <c r="O12" i="35" s="1"/>
  <c r="V16" i="35" l="1"/>
  <c r="W22" i="35"/>
  <c r="Y22" i="35" s="1"/>
  <c r="W16" i="35"/>
  <c r="X16" i="35" s="1"/>
  <c r="V14" i="35"/>
  <c r="W14" i="35"/>
  <c r="X14" i="35" s="1"/>
  <c r="V21" i="35"/>
  <c r="W21" i="35"/>
  <c r="X21" i="35" s="1"/>
  <c r="W20" i="35"/>
  <c r="Y20" i="35" s="1"/>
  <c r="W18" i="35"/>
  <c r="X18" i="35" s="1"/>
  <c r="V18" i="35"/>
  <c r="W23" i="35"/>
  <c r="X23" i="35" s="1"/>
  <c r="V23" i="35"/>
  <c r="V24" i="35"/>
  <c r="J2" i="35"/>
  <c r="Y15" i="35"/>
  <c r="Z15" i="35" s="1"/>
  <c r="Y19" i="35"/>
  <c r="Z19" i="35" s="1"/>
  <c r="Y25" i="35"/>
  <c r="Z25" i="35" s="1"/>
  <c r="Y17" i="35"/>
  <c r="Z17" i="35" s="1"/>
  <c r="Y13" i="35"/>
  <c r="Z13" i="35" s="1"/>
  <c r="Y18" i="35" l="1"/>
  <c r="Z18" i="35" s="1"/>
  <c r="Y21" i="35"/>
  <c r="Z21" i="35" s="1"/>
  <c r="Y23" i="35"/>
  <c r="Z23" i="35" s="1"/>
  <c r="X20" i="35"/>
  <c r="Z20" i="35" s="1"/>
  <c r="X22" i="35"/>
  <c r="Z22" i="35" s="1"/>
  <c r="Y14" i="35"/>
  <c r="Z14" i="35" s="1"/>
  <c r="X24" i="35"/>
  <c r="Y24" i="35"/>
  <c r="Y16" i="35"/>
  <c r="H16" i="44"/>
  <c r="X29" i="35" l="1"/>
  <c r="Z16" i="35"/>
  <c r="Z24" i="35"/>
  <c r="Y29" i="35"/>
  <c r="Y31" i="35" s="1"/>
  <c r="Y32" i="35" s="1"/>
  <c r="G17" i="44"/>
  <c r="H17" i="44" s="1"/>
  <c r="T82" i="35"/>
  <c r="W81" i="35"/>
  <c r="T81" i="35" s="1"/>
  <c r="W80" i="35"/>
  <c r="T80" i="35" s="1"/>
  <c r="W79" i="35"/>
  <c r="T79" i="35" s="1"/>
  <c r="W78" i="35"/>
  <c r="T78" i="35" s="1"/>
  <c r="W77" i="35"/>
  <c r="T77" i="35" s="1"/>
  <c r="W76" i="35"/>
  <c r="T76" i="35" s="1"/>
  <c r="W75" i="35"/>
  <c r="T75" i="35" s="1"/>
  <c r="W74" i="35"/>
  <c r="T74" i="35" s="1"/>
  <c r="W73" i="35"/>
  <c r="T73" i="35" s="1"/>
  <c r="W72" i="35"/>
  <c r="T72" i="35" s="1"/>
  <c r="W71" i="35"/>
  <c r="T71" i="35" s="1"/>
  <c r="W70" i="35"/>
  <c r="T70" i="35" s="1"/>
  <c r="W69" i="35"/>
  <c r="T69" i="35" s="1"/>
  <c r="Z30" i="35" l="1"/>
  <c r="AA30" i="35" s="1"/>
  <c r="H20" i="44"/>
  <c r="G21" i="44" s="1"/>
  <c r="H21" i="44" s="1"/>
  <c r="G22" i="44" s="1"/>
  <c r="H22" i="44" s="1"/>
  <c r="G23" i="44" s="1"/>
  <c r="H23" i="44" s="1"/>
  <c r="G20" i="44"/>
  <c r="T83" i="35"/>
  <c r="G24" i="44" l="1"/>
  <c r="H24" i="44" s="1"/>
  <c r="G27" i="44" s="1"/>
  <c r="H27" i="44"/>
  <c r="G28" i="44" s="1"/>
  <c r="H28" i="44" s="1"/>
  <c r="G29" i="44" s="1"/>
  <c r="H29" i="44" s="1"/>
  <c r="G30" i="44" s="1"/>
  <c r="H30" i="44" s="1"/>
  <c r="G31" i="44" s="1"/>
  <c r="H31" i="44" s="1"/>
  <c r="G34" i="44" s="1"/>
  <c r="H34" i="44" s="1"/>
  <c r="S84" i="35"/>
  <c r="T84" i="35" s="1"/>
  <c r="W84" i="35" s="1"/>
  <c r="G35" i="44" l="1"/>
  <c r="H35" i="44" s="1"/>
  <c r="G36" i="44" s="1"/>
  <c r="H36" i="44" s="1"/>
  <c r="G37" i="44" s="1"/>
  <c r="H37" i="44" s="1"/>
  <c r="G38" i="44" s="1"/>
  <c r="H38" i="44" s="1"/>
  <c r="W62" i="35" l="1"/>
  <c r="T62" i="35" s="1"/>
  <c r="W54" i="35"/>
  <c r="T54" i="35" s="1"/>
  <c r="W42" i="35"/>
  <c r="T42" i="35" s="1"/>
  <c r="AD31" i="45"/>
  <c r="AE30" i="45"/>
  <c r="AD30" i="45"/>
  <c r="AE29" i="45"/>
  <c r="AD29" i="45"/>
  <c r="AE28" i="45"/>
  <c r="AD28" i="45"/>
  <c r="AE27" i="45"/>
  <c r="AD27" i="45"/>
  <c r="AE26" i="45"/>
  <c r="AD26" i="45"/>
  <c r="AE25" i="45"/>
  <c r="AD25" i="45"/>
  <c r="AE24" i="45"/>
  <c r="AD24" i="45"/>
  <c r="AE23" i="45"/>
  <c r="AD23" i="45"/>
  <c r="W56" i="35"/>
  <c r="T56" i="35" s="1"/>
  <c r="W57" i="35"/>
  <c r="T57" i="35" s="1"/>
  <c r="W58" i="35"/>
  <c r="T58" i="35" s="1"/>
  <c r="W59" i="35"/>
  <c r="T59" i="35" s="1"/>
  <c r="W60" i="35"/>
  <c r="T60" i="35" s="1"/>
  <c r="W61" i="35"/>
  <c r="T61" i="35" s="1"/>
  <c r="T63" i="35"/>
  <c r="W55" i="35"/>
  <c r="T55" i="35" s="1"/>
  <c r="W53" i="35"/>
  <c r="T53" i="35" s="1"/>
  <c r="W52" i="35"/>
  <c r="T52" i="35" s="1"/>
  <c r="W51" i="35"/>
  <c r="T51" i="35" s="1"/>
  <c r="W50" i="35"/>
  <c r="T50" i="35" s="1"/>
  <c r="AD32" i="45"/>
  <c r="AC33" i="45" s="1"/>
  <c r="C10" i="38"/>
  <c r="D33" i="35"/>
  <c r="D31" i="35"/>
  <c r="D30" i="35"/>
  <c r="D29" i="35"/>
  <c r="D27" i="35"/>
  <c r="D26" i="35"/>
  <c r="D25" i="35"/>
  <c r="D24" i="35"/>
  <c r="D23" i="35"/>
  <c r="D22" i="35"/>
  <c r="D21" i="35"/>
  <c r="D20" i="35"/>
  <c r="D19" i="35"/>
  <c r="D18" i="35"/>
  <c r="D17" i="35"/>
  <c r="D16" i="35"/>
  <c r="D15" i="35"/>
  <c r="D14" i="35"/>
  <c r="D13" i="35"/>
  <c r="D12" i="35"/>
  <c r="D11" i="35"/>
  <c r="D10" i="35"/>
  <c r="D9" i="35"/>
  <c r="O45" i="35"/>
  <c r="W39" i="35"/>
  <c r="T39" i="35" s="1"/>
  <c r="W40" i="35"/>
  <c r="T40" i="35" s="1"/>
  <c r="W41" i="35"/>
  <c r="T41" i="35" s="1"/>
  <c r="W43" i="35"/>
  <c r="T43" i="35" s="1"/>
  <c r="W38" i="35"/>
  <c r="T38" i="35" s="1"/>
  <c r="AD36" i="45"/>
  <c r="C37" i="44"/>
  <c r="C38" i="44"/>
  <c r="C39" i="44"/>
  <c r="C34" i="44"/>
  <c r="C35" i="44"/>
  <c r="C20" i="44"/>
  <c r="C21" i="44"/>
  <c r="C22" i="44"/>
  <c r="C23" i="44"/>
  <c r="C24" i="44"/>
  <c r="C25" i="44"/>
  <c r="C17" i="44"/>
  <c r="C18" i="44"/>
  <c r="C19" i="44"/>
  <c r="C15" i="44"/>
  <c r="C16" i="44"/>
  <c r="C13" i="44"/>
  <c r="C12" i="44"/>
  <c r="C14" i="44"/>
  <c r="C10" i="44"/>
  <c r="C11" i="44"/>
  <c r="M46" i="44"/>
  <c r="O46" i="44" s="1"/>
  <c r="C27" i="44"/>
  <c r="C26" i="44"/>
  <c r="C28" i="44"/>
  <c r="C29" i="44"/>
  <c r="C30" i="44"/>
  <c r="B131" i="37"/>
  <c r="B132" i="37"/>
  <c r="B133" i="37"/>
  <c r="B134" i="37"/>
  <c r="B135" i="37"/>
  <c r="B136" i="37"/>
  <c r="B137" i="37"/>
  <c r="B138" i="37"/>
  <c r="B139" i="37"/>
  <c r="B140" i="37"/>
  <c r="B141" i="37"/>
  <c r="B142" i="37"/>
  <c r="B143" i="37"/>
  <c r="B144" i="37"/>
  <c r="B145" i="37"/>
  <c r="B146" i="37"/>
  <c r="B147" i="37"/>
  <c r="B148" i="37"/>
  <c r="B149" i="37"/>
  <c r="B120" i="37"/>
  <c r="B121" i="37"/>
  <c r="B122" i="37"/>
  <c r="B123" i="37"/>
  <c r="B124" i="37"/>
  <c r="B125" i="37"/>
  <c r="B126" i="37"/>
  <c r="B127" i="37"/>
  <c r="B128" i="37"/>
  <c r="B129" i="37"/>
  <c r="B130" i="37"/>
  <c r="B119" i="37"/>
  <c r="B114" i="37"/>
  <c r="B115" i="37"/>
  <c r="B116" i="37"/>
  <c r="B117" i="37"/>
  <c r="B118" i="37"/>
  <c r="B107" i="37"/>
  <c r="B108" i="37"/>
  <c r="B109" i="37"/>
  <c r="B110" i="37"/>
  <c r="B111" i="37"/>
  <c r="B112" i="37"/>
  <c r="B113" i="37"/>
  <c r="B102" i="37"/>
  <c r="B103" i="37"/>
  <c r="B104" i="37"/>
  <c r="B105" i="37"/>
  <c r="B106" i="37"/>
  <c r="B101" i="37"/>
  <c r="B100" i="37"/>
  <c r="B96" i="37"/>
  <c r="B97" i="37"/>
  <c r="B98" i="37"/>
  <c r="B99" i="37"/>
  <c r="B91" i="37"/>
  <c r="B92" i="37"/>
  <c r="B93" i="37"/>
  <c r="B94" i="37"/>
  <c r="B95" i="37"/>
  <c r="B87" i="37"/>
  <c r="B88" i="37"/>
  <c r="B89" i="37"/>
  <c r="B90" i="37"/>
  <c r="B81" i="37"/>
  <c r="B82" i="37"/>
  <c r="B83" i="37"/>
  <c r="B84" i="37"/>
  <c r="B85" i="37"/>
  <c r="B86" i="37"/>
  <c r="B80" i="37"/>
  <c r="B78" i="37"/>
  <c r="B79" i="37"/>
  <c r="B77" i="37"/>
  <c r="B73" i="37"/>
  <c r="B74" i="37"/>
  <c r="B75" i="37"/>
  <c r="B76" i="37"/>
  <c r="B3" i="37"/>
  <c r="B4" i="37"/>
  <c r="B5" i="37"/>
  <c r="B6" i="37"/>
  <c r="B7" i="37"/>
  <c r="B8" i="37"/>
  <c r="B9" i="37"/>
  <c r="B10" i="37"/>
  <c r="B11" i="37"/>
  <c r="B12" i="37"/>
  <c r="B13" i="37"/>
  <c r="B14" i="37"/>
  <c r="B15" i="37"/>
  <c r="B16" i="37"/>
  <c r="B17" i="37"/>
  <c r="B18" i="37"/>
  <c r="B19" i="37"/>
  <c r="B20" i="37"/>
  <c r="B21" i="37"/>
  <c r="B22" i="37"/>
  <c r="B23" i="37"/>
  <c r="B24" i="37"/>
  <c r="B25" i="37"/>
  <c r="B26" i="37"/>
  <c r="B27" i="37"/>
  <c r="B28" i="37"/>
  <c r="B29" i="37"/>
  <c r="B30" i="37"/>
  <c r="B31" i="37"/>
  <c r="B32" i="37"/>
  <c r="B33" i="37"/>
  <c r="B34" i="37"/>
  <c r="B35" i="37"/>
  <c r="B36" i="37"/>
  <c r="B37" i="37"/>
  <c r="B38" i="37"/>
  <c r="B39" i="37"/>
  <c r="B40" i="37"/>
  <c r="B41" i="37"/>
  <c r="B42" i="37"/>
  <c r="B43" i="37"/>
  <c r="B44" i="37"/>
  <c r="B45" i="37"/>
  <c r="B46" i="37"/>
  <c r="B47" i="37"/>
  <c r="B48" i="37"/>
  <c r="B49" i="37"/>
  <c r="B50" i="37"/>
  <c r="B51" i="37"/>
  <c r="B52" i="37"/>
  <c r="B53" i="37"/>
  <c r="B54" i="37"/>
  <c r="B55" i="37"/>
  <c r="B56" i="37"/>
  <c r="B57" i="37"/>
  <c r="B58" i="37"/>
  <c r="B59" i="37"/>
  <c r="B60" i="37"/>
  <c r="B61" i="37"/>
  <c r="B62" i="37"/>
  <c r="B63" i="37"/>
  <c r="B64" i="37"/>
  <c r="B65" i="37"/>
  <c r="B66" i="37"/>
  <c r="B67" i="37"/>
  <c r="B68" i="37"/>
  <c r="B69" i="37"/>
  <c r="B70" i="37"/>
  <c r="B71" i="37"/>
  <c r="B72" i="37"/>
  <c r="C31" i="44"/>
  <c r="C32" i="44"/>
  <c r="C33" i="44"/>
  <c r="C36" i="44"/>
  <c r="S17" i="34" l="1"/>
  <c r="S18" i="34"/>
  <c r="S47" i="34"/>
  <c r="S411" i="34"/>
  <c r="S377" i="34"/>
  <c r="S378" i="34"/>
  <c r="S9" i="34"/>
  <c r="S10" i="34"/>
  <c r="S110" i="34"/>
  <c r="S109" i="34"/>
  <c r="S968" i="34"/>
  <c r="S969" i="34"/>
  <c r="S73" i="34"/>
  <c r="S578" i="34"/>
  <c r="S645" i="34"/>
  <c r="S579" i="34"/>
  <c r="S207" i="34"/>
  <c r="S824" i="34"/>
  <c r="S859" i="34"/>
  <c r="S823" i="34"/>
  <c r="S860" i="34"/>
  <c r="S788" i="34"/>
  <c r="S206" i="34"/>
  <c r="S751" i="34"/>
  <c r="S787" i="34"/>
  <c r="S752" i="34"/>
  <c r="S897" i="34"/>
  <c r="S896" i="34"/>
  <c r="S479" i="34"/>
  <c r="S274" i="34"/>
  <c r="S74" i="34"/>
  <c r="S612" i="34"/>
  <c r="S446" i="34"/>
  <c r="S143" i="34"/>
  <c r="S308" i="34"/>
  <c r="S237" i="34"/>
  <c r="S309" i="34"/>
  <c r="S681" i="34"/>
  <c r="S680" i="34"/>
  <c r="S548" i="34"/>
  <c r="S547" i="34"/>
  <c r="S611" i="34"/>
  <c r="S480" i="34"/>
  <c r="S447" i="34"/>
  <c r="S144" i="34"/>
  <c r="S275" i="34"/>
  <c r="S41" i="34"/>
  <c r="S40" i="34"/>
  <c r="S413" i="34"/>
  <c r="S146" i="34"/>
  <c r="S316" i="34"/>
  <c r="S208" i="34"/>
  <c r="S310" i="34"/>
  <c r="S276" i="34"/>
  <c r="S481" i="34"/>
  <c r="S280" i="34"/>
  <c r="S345" i="34"/>
  <c r="S239" i="34"/>
  <c r="S379" i="34"/>
  <c r="S591" i="34"/>
  <c r="S441" i="34"/>
  <c r="S416" i="34"/>
  <c r="S399" i="34"/>
  <c r="S69" i="34"/>
  <c r="S70" i="34"/>
  <c r="S283" i="34"/>
  <c r="S317" i="34"/>
  <c r="S315" i="34"/>
  <c r="S314" i="34"/>
  <c r="S845" i="34"/>
  <c r="S809" i="34"/>
  <c r="S846" i="34"/>
  <c r="S882" i="34"/>
  <c r="S810" i="34"/>
  <c r="S450" i="34"/>
  <c r="S227" i="34"/>
  <c r="S487" i="34"/>
  <c r="S486" i="34"/>
  <c r="S703" i="34"/>
  <c r="S704" i="34"/>
  <c r="S691" i="34"/>
  <c r="S633" i="34"/>
  <c r="S95" i="34"/>
  <c r="S653" i="34"/>
  <c r="S453" i="34"/>
  <c r="S303" i="34"/>
  <c r="S590" i="34"/>
  <c r="S331" i="34"/>
  <c r="S501" i="34"/>
  <c r="S382" i="34"/>
  <c r="S284" i="34"/>
  <c r="S260" i="34"/>
  <c r="S94" i="34"/>
  <c r="S455" i="34"/>
  <c r="S130" i="34"/>
  <c r="S624" i="34"/>
  <c r="S131" i="34"/>
  <c r="S319" i="34"/>
  <c r="S467" i="34"/>
  <c r="S164" i="34"/>
  <c r="S484" i="34"/>
  <c r="S297" i="34"/>
  <c r="S634" i="34"/>
  <c r="S559" i="34"/>
  <c r="S668" i="34"/>
  <c r="S669" i="34"/>
  <c r="S654" i="34"/>
  <c r="S587" i="34"/>
  <c r="S551" i="34"/>
  <c r="S659" i="34"/>
  <c r="S281" i="34"/>
  <c r="S313" i="34"/>
  <c r="S452" i="34"/>
  <c r="S490" i="34"/>
  <c r="S454" i="34"/>
  <c r="S259" i="34"/>
  <c r="S509" i="34"/>
  <c r="S442" i="34"/>
  <c r="S419" i="34"/>
  <c r="S418" i="34"/>
  <c r="S434" i="34"/>
  <c r="S422" i="34"/>
  <c r="S433" i="34"/>
  <c r="S147" i="34"/>
  <c r="S271" i="34"/>
  <c r="S710" i="34"/>
  <c r="S408" i="34"/>
  <c r="S234" i="34"/>
  <c r="S233" i="34"/>
  <c r="S811" i="34"/>
  <c r="S602" i="34"/>
  <c r="S775" i="34"/>
  <c r="S588" i="34"/>
  <c r="S119" i="34"/>
  <c r="S510" i="34"/>
  <c r="S584" i="34"/>
  <c r="S618" i="34"/>
  <c r="S245" i="34"/>
  <c r="S244" i="34"/>
  <c r="S469" i="34"/>
  <c r="S181" i="34"/>
  <c r="S407" i="34"/>
  <c r="S388" i="34"/>
  <c r="S152" i="34"/>
  <c r="S182" i="34"/>
  <c r="S247" i="34"/>
  <c r="S570" i="34"/>
  <c r="S621" i="34"/>
  <c r="S619" i="34"/>
  <c r="S622" i="34"/>
  <c r="S553" i="34"/>
  <c r="S657" i="34"/>
  <c r="S670" i="34"/>
  <c r="S656" i="34"/>
  <c r="S585" i="34"/>
  <c r="S557" i="34"/>
  <c r="S635" i="34"/>
  <c r="S554" i="34"/>
  <c r="S556" i="34"/>
  <c r="S229" i="34"/>
  <c r="S1004" i="34"/>
  <c r="S900" i="34"/>
  <c r="S912" i="34"/>
  <c r="S651" i="34"/>
  <c r="S865" i="34"/>
  <c r="S839" i="34"/>
  <c r="S868" i="34"/>
  <c r="S876" i="34"/>
  <c r="S877" i="34"/>
  <c r="S878" i="34"/>
  <c r="S795" i="34"/>
  <c r="S831" i="34"/>
  <c r="S841" i="34"/>
  <c r="S805" i="34"/>
  <c r="S803" i="34"/>
  <c r="S759" i="34"/>
  <c r="S699" i="34"/>
  <c r="S698" i="34"/>
  <c r="S770" i="34"/>
  <c r="S697" i="34"/>
  <c r="S769" i="34"/>
  <c r="S689" i="34"/>
  <c r="S767" i="34"/>
  <c r="S665" i="34"/>
  <c r="S620" i="34"/>
  <c r="S616" i="34"/>
  <c r="S627" i="34"/>
  <c r="S662" i="34"/>
  <c r="S664" i="34"/>
  <c r="S655" i="34"/>
  <c r="S996" i="34"/>
  <c r="S995" i="34"/>
  <c r="S1003" i="34"/>
  <c r="S923" i="34"/>
  <c r="S924" i="34"/>
  <c r="S888" i="34"/>
  <c r="S815" i="34"/>
  <c r="S814" i="34"/>
  <c r="S850" i="34"/>
  <c r="S851" i="34"/>
  <c r="S887" i="34"/>
  <c r="S708" i="34"/>
  <c r="S779" i="34"/>
  <c r="S778" i="34"/>
  <c r="S673" i="34"/>
  <c r="S674" i="34"/>
  <c r="S424" i="34"/>
  <c r="S998" i="34"/>
  <c r="S21" i="34"/>
  <c r="S23" i="34"/>
  <c r="S16" i="34"/>
  <c r="S20" i="34"/>
  <c r="S905" i="34"/>
  <c r="S926" i="34"/>
  <c r="S975" i="34"/>
  <c r="S903" i="34"/>
  <c r="S962" i="34"/>
  <c r="S906" i="34"/>
  <c r="S902" i="34"/>
  <c r="S939" i="34"/>
  <c r="S992" i="34"/>
  <c r="S944" i="34"/>
  <c r="S920" i="34"/>
  <c r="S938" i="34"/>
  <c r="S977" i="34"/>
  <c r="S941" i="34"/>
  <c r="S908" i="34"/>
  <c r="S956" i="34"/>
  <c r="S974" i="34"/>
  <c r="S980" i="34"/>
  <c r="S149" i="34"/>
  <c r="S286" i="34"/>
  <c r="S187" i="34"/>
  <c r="S853" i="34"/>
  <c r="S830" i="34"/>
  <c r="S829" i="34"/>
  <c r="S872" i="34"/>
  <c r="S827" i="34"/>
  <c r="S847" i="34"/>
  <c r="S884" i="34"/>
  <c r="S869" i="34"/>
  <c r="S866" i="34"/>
  <c r="S890" i="34"/>
  <c r="S64" i="34"/>
  <c r="S116" i="34"/>
  <c r="S724" i="34"/>
  <c r="S745" i="34"/>
  <c r="S322" i="34"/>
  <c r="S155" i="34"/>
  <c r="S384" i="34"/>
  <c r="S150" i="34"/>
  <c r="S385" i="34"/>
  <c r="S212" i="34"/>
  <c r="S121" i="34"/>
  <c r="S278" i="34"/>
  <c r="S298" i="34"/>
  <c r="S204" i="34"/>
  <c r="S458" i="34"/>
  <c r="S203" i="34"/>
  <c r="S333" i="34"/>
  <c r="S213" i="34"/>
  <c r="S218" i="34"/>
  <c r="S115" i="34"/>
  <c r="S492" i="34"/>
  <c r="S390" i="34"/>
  <c r="S85" i="34"/>
  <c r="S431" i="34"/>
  <c r="S423" i="34"/>
  <c r="S437" i="34"/>
  <c r="S482" i="34"/>
  <c r="S414" i="34"/>
  <c r="S22" i="34"/>
  <c r="S491" i="34"/>
  <c r="S369" i="34"/>
  <c r="S11" i="34"/>
  <c r="S916" i="34"/>
  <c r="S917" i="34"/>
  <c r="S988" i="34"/>
  <c r="S989" i="34"/>
  <c r="S30" i="34"/>
  <c r="S97" i="34"/>
  <c r="S145" i="34"/>
  <c r="S25" i="34"/>
  <c r="S26" i="34"/>
  <c r="S44" i="34"/>
  <c r="S225" i="34"/>
  <c r="S209" i="34"/>
  <c r="S186" i="34"/>
  <c r="S807" i="34"/>
  <c r="S843" i="34"/>
  <c r="S881" i="34"/>
  <c r="S880" i="34"/>
  <c r="S844" i="34"/>
  <c r="S167" i="34"/>
  <c r="S335" i="34"/>
  <c r="S128" i="34"/>
  <c r="S133" i="34"/>
  <c r="S702" i="34"/>
  <c r="S771" i="34"/>
  <c r="S772" i="34"/>
  <c r="S701" i="34"/>
  <c r="S329" i="34"/>
  <c r="S217" i="34"/>
  <c r="S61" i="34"/>
  <c r="S346" i="34"/>
  <c r="S241" i="34"/>
  <c r="S76" i="34"/>
  <c r="S505" i="34"/>
  <c r="S65" i="34"/>
  <c r="S389" i="34"/>
  <c r="S566" i="34"/>
  <c r="S178" i="34"/>
  <c r="S120" i="34"/>
  <c r="S598" i="34"/>
  <c r="S199" i="34"/>
  <c r="S380" i="34"/>
  <c r="S499" i="34"/>
  <c r="S93" i="34"/>
  <c r="S249" i="34"/>
  <c r="S92" i="34"/>
  <c r="S162" i="34"/>
  <c r="S403" i="34"/>
  <c r="S60" i="34"/>
  <c r="S84" i="34"/>
  <c r="S154" i="34"/>
  <c r="S230" i="34"/>
  <c r="S52" i="34"/>
  <c r="S666" i="34"/>
  <c r="S631" i="34"/>
  <c r="S632" i="34"/>
  <c r="S667" i="34"/>
  <c r="S558" i="34"/>
  <c r="S550" i="34"/>
  <c r="S571" i="34"/>
  <c r="S294" i="34"/>
  <c r="S465" i="34"/>
  <c r="S355" i="34"/>
  <c r="S262" i="34"/>
  <c r="S321" i="34"/>
  <c r="S257" i="34"/>
  <c r="S129" i="34"/>
  <c r="S397" i="34"/>
  <c r="S112" i="34"/>
  <c r="S311" i="34"/>
  <c r="S28" i="34"/>
  <c r="S173" i="34"/>
  <c r="S984" i="34"/>
  <c r="S987" i="34"/>
  <c r="S976" i="34"/>
  <c r="S904" i="34"/>
  <c r="S986" i="34"/>
  <c r="S914" i="34"/>
  <c r="S27" i="34"/>
  <c r="S773" i="34"/>
  <c r="S774" i="34"/>
  <c r="S153" i="34"/>
  <c r="S132" i="34"/>
  <c r="S118" i="34"/>
  <c r="S863" i="34"/>
  <c r="S1002" i="34"/>
  <c r="S29" i="34"/>
  <c r="S649" i="34"/>
  <c r="S683" i="34"/>
  <c r="S19" i="34"/>
  <c r="S32" i="34"/>
  <c r="S993" i="34"/>
  <c r="S907" i="34"/>
  <c r="S921" i="34"/>
  <c r="S971" i="34"/>
  <c r="S979" i="34"/>
  <c r="S67" i="34"/>
  <c r="S586" i="34"/>
  <c r="S318" i="34"/>
  <c r="S184" i="34"/>
  <c r="S798" i="34"/>
  <c r="S885" i="34"/>
  <c r="S834" i="34"/>
  <c r="S862" i="34"/>
  <c r="S812" i="34"/>
  <c r="S790" i="34"/>
  <c r="S871" i="34"/>
  <c r="S848" i="34"/>
  <c r="S495" i="34"/>
  <c r="S168" i="34"/>
  <c r="S497" i="34"/>
  <c r="S563" i="34"/>
  <c r="S489" i="34"/>
  <c r="S488" i="34"/>
  <c r="S776" i="34"/>
  <c r="S762" i="34"/>
  <c r="S899" i="34"/>
  <c r="S754" i="34"/>
  <c r="S693" i="34"/>
  <c r="S706" i="34"/>
  <c r="S475" i="34"/>
  <c r="S629" i="34"/>
  <c r="S90" i="34"/>
  <c r="S614" i="34"/>
  <c r="S221" i="34"/>
  <c r="S524" i="34"/>
  <c r="S395" i="34"/>
  <c r="S359" i="34"/>
  <c r="S126" i="34"/>
  <c r="S594" i="34"/>
  <c r="S292" i="34"/>
  <c r="S89" i="34"/>
  <c r="S463" i="34"/>
  <c r="S183" i="34"/>
  <c r="S327" i="34"/>
  <c r="S151" i="34"/>
  <c r="S596" i="34"/>
  <c r="S83" i="34"/>
  <c r="S88" i="34"/>
  <c r="S56" i="34"/>
  <c r="S223" i="34"/>
  <c r="S328" i="34"/>
  <c r="S117" i="34"/>
  <c r="S222" i="34"/>
  <c r="S58" i="34"/>
  <c r="S623" i="34"/>
  <c r="S282" i="34"/>
  <c r="S135" i="34"/>
  <c r="S393" i="34"/>
  <c r="S387" i="34"/>
  <c r="S325" i="34"/>
  <c r="S214" i="34"/>
  <c r="S91" i="34"/>
  <c r="S637" i="34"/>
  <c r="S671" i="34"/>
  <c r="S555" i="34"/>
  <c r="S562" i="34"/>
  <c r="S564" i="34"/>
  <c r="S565" i="34"/>
  <c r="S658" i="34"/>
  <c r="S361" i="34"/>
  <c r="S171" i="34"/>
  <c r="S456" i="34"/>
  <c r="S224" i="34"/>
  <c r="S290" i="34"/>
  <c r="S192" i="34"/>
  <c r="S190" i="34"/>
  <c r="S352" i="34"/>
  <c r="S530" i="34"/>
  <c r="S461" i="34"/>
  <c r="S215" i="34"/>
  <c r="S532" i="34"/>
  <c r="S160" i="34"/>
  <c r="S523" i="34"/>
  <c r="S326" i="34"/>
  <c r="S124" i="34"/>
  <c r="S386" i="34"/>
  <c r="S49" i="34"/>
  <c r="S81" i="34"/>
  <c r="S552" i="34"/>
  <c r="S512" i="34"/>
  <c r="S426" i="34"/>
  <c r="S425" i="34"/>
  <c r="S14" i="34"/>
  <c r="S15" i="34"/>
  <c r="S946" i="34"/>
  <c r="S910" i="34"/>
  <c r="S982" i="34"/>
  <c r="S983" i="34"/>
  <c r="S288" i="34"/>
  <c r="S802" i="34"/>
  <c r="S875" i="34"/>
  <c r="S799" i="34"/>
  <c r="S794" i="34"/>
  <c r="S832" i="34"/>
  <c r="S796" i="34"/>
  <c r="S838" i="34"/>
  <c r="S874" i="34"/>
  <c r="S837" i="34"/>
  <c r="S801" i="34"/>
  <c r="S793" i="34"/>
  <c r="S817" i="34"/>
  <c r="S835" i="34"/>
  <c r="S729" i="34"/>
  <c r="S765" i="34"/>
  <c r="S766" i="34"/>
  <c r="S763" i="34"/>
  <c r="S719" i="34"/>
  <c r="S758" i="34"/>
  <c r="S721" i="34"/>
  <c r="S688" i="34"/>
  <c r="S760" i="34"/>
  <c r="S695" i="34"/>
  <c r="S687" i="34"/>
  <c r="S722" i="34"/>
  <c r="S757" i="34"/>
  <c r="S781" i="34"/>
  <c r="S55" i="34"/>
  <c r="S219" i="34"/>
  <c r="S156" i="34"/>
  <c r="S45" i="34"/>
  <c r="S391" i="34"/>
  <c r="S123" i="34"/>
  <c r="S493" i="34"/>
  <c r="S220" i="34"/>
  <c r="S323" i="34"/>
  <c r="S86" i="34"/>
  <c r="S48" i="34"/>
  <c r="S122" i="34"/>
  <c r="S251" i="34"/>
  <c r="S54" i="34"/>
  <c r="S252" i="34"/>
  <c r="S96" i="34"/>
  <c r="S459" i="34"/>
  <c r="S289" i="34"/>
  <c r="S560" i="34"/>
  <c r="S661" i="34"/>
  <c r="S561" i="34"/>
  <c r="S660" i="34"/>
  <c r="S392" i="34"/>
  <c r="S188" i="34"/>
  <c r="S87" i="34"/>
  <c r="S82" i="34"/>
  <c r="S51" i="34"/>
  <c r="S80" i="34"/>
  <c r="S569" i="34"/>
  <c r="S601" i="34"/>
  <c r="S568" i="34"/>
  <c r="S79" i="34"/>
  <c r="S53" i="34"/>
  <c r="S50" i="34"/>
  <c r="S600" i="34"/>
  <c r="S592" i="34"/>
  <c r="S970" i="34"/>
  <c r="S34" i="34"/>
  <c r="S580" i="34"/>
  <c r="S572" i="34"/>
  <c r="S825" i="34"/>
  <c r="S789" i="34"/>
  <c r="S870" i="34"/>
  <c r="S797" i="34"/>
  <c r="S833" i="34"/>
  <c r="S861" i="34"/>
  <c r="S75" i="34"/>
  <c r="S761" i="34"/>
  <c r="S692" i="34"/>
  <c r="S753" i="34"/>
  <c r="S725" i="34"/>
  <c r="S717" i="34"/>
  <c r="S898" i="34"/>
  <c r="S111" i="34"/>
  <c r="S641" i="34"/>
  <c r="S516" i="34"/>
  <c r="S549" i="34"/>
  <c r="S625" i="34"/>
  <c r="S675" i="34"/>
  <c r="S607" i="34"/>
  <c r="S613" i="34"/>
  <c r="S679" i="34"/>
  <c r="S353" i="34"/>
  <c r="S42" i="34"/>
  <c r="C17" i="35"/>
  <c r="C9" i="35"/>
  <c r="C14" i="35"/>
  <c r="C13" i="35"/>
  <c r="C23" i="35"/>
  <c r="C11" i="35"/>
  <c r="C30" i="35"/>
  <c r="AD33" i="45"/>
  <c r="AE33" i="45" s="1"/>
  <c r="T45" i="35"/>
  <c r="S46" i="35" s="1"/>
  <c r="T46" i="35" s="1"/>
  <c r="W46" i="35" s="1"/>
  <c r="T64" i="35"/>
  <c r="S65" i="35" s="1"/>
  <c r="H13" i="35"/>
  <c r="H10" i="35" l="1"/>
  <c r="C35" i="35"/>
  <c r="H12" i="35"/>
  <c r="T65" i="35"/>
  <c r="W65" i="35" s="1"/>
  <c r="H11" i="35" l="1"/>
  <c r="I11" i="35" s="1"/>
  <c r="H15" i="35" l="1"/>
  <c r="T66" i="35" s="1"/>
  <c r="W66" i="35" s="1"/>
  <c r="J11" i="35"/>
  <c r="AD34" i="45" a="1"/>
  <c r="AD35" i="45" s="1"/>
  <c r="T85" i="35" l="1"/>
  <c r="W85" i="35" s="1"/>
  <c r="T47" i="35"/>
  <c r="W47" i="35" s="1"/>
  <c r="AD34" i="45"/>
  <c r="AE34" i="45" s="1"/>
  <c r="AB30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5" authorId="0" shapeId="0" xr:uid="{7DCF4CB4-EDF0-47C2-A79C-0D7BD498A13E}">
      <text>
        <r>
          <rPr>
            <b/>
            <sz val="9"/>
            <color indexed="81"/>
            <rFont val="Segoe UI"/>
            <family val="2"/>
          </rPr>
          <t xml:space="preserve">AZUL ALIMENTADO PELO THARCISO NAS DUAS PLANILHAS E UNIFICADO PELO MIRANDA EM UMA SÓ
VERDE FORAM OS RDOs FEITOS PELO THARCISO E LANÇADOS NA PLANILHA MIRANDA
AMARELO PARTE DIARIA QUE ESTAVA NA GAVETA DO ESCRITORIO E LANÇADO NA PLANILHA PELO MIRANDA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K43" authorId="0" shapeId="0" xr:uid="{72C34215-D25D-41A3-B425-5E22CBD40F4F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km real do dia 26/06</t>
        </r>
      </text>
    </comment>
  </commentList>
</comments>
</file>

<file path=xl/sharedStrings.xml><?xml version="1.0" encoding="utf-8"?>
<sst xmlns="http://schemas.openxmlformats.org/spreadsheetml/2006/main" count="2254" uniqueCount="481">
  <si>
    <t>Item</t>
  </si>
  <si>
    <t>Und.</t>
  </si>
  <si>
    <t>S.VPP-00758</t>
  </si>
  <si>
    <t>H</t>
  </si>
  <si>
    <t>S.VPP-00759</t>
  </si>
  <si>
    <t>S.VPP-00754</t>
  </si>
  <si>
    <t>S.VPP-00755</t>
  </si>
  <si>
    <t>VB</t>
  </si>
  <si>
    <t/>
  </si>
  <si>
    <t>S.VP-01435</t>
  </si>
  <si>
    <t>S.VP-01436</t>
  </si>
  <si>
    <t>S.VP-01437</t>
  </si>
  <si>
    <t>S.VP-01438</t>
  </si>
  <si>
    <t>S.VP-01439</t>
  </si>
  <si>
    <t>S.VP-01440</t>
  </si>
  <si>
    <t>S.VP-01441</t>
  </si>
  <si>
    <t>S.VP-01442</t>
  </si>
  <si>
    <t>S.VP-01443</t>
  </si>
  <si>
    <t>S.VP-01444</t>
  </si>
  <si>
    <t>S.VP-01445</t>
  </si>
  <si>
    <t>KM</t>
  </si>
  <si>
    <t>S.VP-01446</t>
  </si>
  <si>
    <t>S.VP-01447</t>
  </si>
  <si>
    <t>S.VP-01448</t>
  </si>
  <si>
    <t>S.VP-01449</t>
  </si>
  <si>
    <t>S.VP-01450</t>
  </si>
  <si>
    <t>S.VP-01451</t>
  </si>
  <si>
    <t>S.VP-01452</t>
  </si>
  <si>
    <t>S.VP-01453</t>
  </si>
  <si>
    <t>S.VP-01454</t>
  </si>
  <si>
    <t>3.25</t>
  </si>
  <si>
    <t>S.VP-01455</t>
  </si>
  <si>
    <t>3.26</t>
  </si>
  <si>
    <t>S.VP-01456</t>
  </si>
  <si>
    <t>3.27</t>
  </si>
  <si>
    <t>S.VP-01457</t>
  </si>
  <si>
    <t>3.28</t>
  </si>
  <si>
    <t>S.VP-01458</t>
  </si>
  <si>
    <t>S.VP-01459</t>
  </si>
  <si>
    <t>S.VP-01460</t>
  </si>
  <si>
    <t>S.VP-01461</t>
  </si>
  <si>
    <t>S.VP-01462</t>
  </si>
  <si>
    <t>S.VP-01463</t>
  </si>
  <si>
    <t>S.VP-01464</t>
  </si>
  <si>
    <t>S.VP-01465</t>
  </si>
  <si>
    <t>S.VP-01466</t>
  </si>
  <si>
    <t>S.VP-01467</t>
  </si>
  <si>
    <t>S.VP-01468</t>
  </si>
  <si>
    <t>S.VP-01469</t>
  </si>
  <si>
    <t>S.VP-01470</t>
  </si>
  <si>
    <t>3.41</t>
  </si>
  <si>
    <t>S.VP-01471</t>
  </si>
  <si>
    <t>3.42</t>
  </si>
  <si>
    <t>S.VP-01472</t>
  </si>
  <si>
    <t>3.43</t>
  </si>
  <si>
    <t>S.VP-01473</t>
  </si>
  <si>
    <t>3.44</t>
  </si>
  <si>
    <t>S.VP-01474</t>
  </si>
  <si>
    <t>S.VP-01475</t>
  </si>
  <si>
    <t>MES</t>
  </si>
  <si>
    <t>S.VP-01476</t>
  </si>
  <si>
    <t>CONTROLE DE VIAGENS DE TRANSPORTE DE MATERIAL</t>
  </si>
  <si>
    <t>Motorista:</t>
  </si>
  <si>
    <t>Código de frota</t>
  </si>
  <si>
    <t>Placa</t>
  </si>
  <si>
    <t>DATA</t>
  </si>
  <si>
    <t>COMPRIMENTO</t>
  </si>
  <si>
    <t>LARGURA</t>
  </si>
  <si>
    <t>ALTURA 1</t>
  </si>
  <si>
    <t>ALTURA 2</t>
  </si>
  <si>
    <t>ALTURA 3</t>
  </si>
  <si>
    <t>MÉDIA</t>
  </si>
  <si>
    <t>VOLUME</t>
  </si>
  <si>
    <t>Nº ROMANEIRO</t>
  </si>
  <si>
    <t>HORA DA CARGA</t>
  </si>
  <si>
    <t>HORA DA DESCARGA</t>
  </si>
  <si>
    <t>ASSINATURA FORNECEDOR</t>
  </si>
  <si>
    <t>DR CONSTRUTORA E SERVIÇOS LTDA</t>
  </si>
  <si>
    <t>RDO</t>
  </si>
  <si>
    <t xml:space="preserve">DIA </t>
  </si>
  <si>
    <t>MUNICÍPIO</t>
  </si>
  <si>
    <t>CÓDIGO DO RDO</t>
  </si>
  <si>
    <t>NÚMERO</t>
  </si>
  <si>
    <t>SÃO LUIS</t>
  </si>
  <si>
    <t>S.VPP-00120</t>
  </si>
  <si>
    <t>S.VPP-00118</t>
  </si>
  <si>
    <t>IMPERATRIZ</t>
  </si>
  <si>
    <t>S.VPP-00767</t>
  </si>
  <si>
    <t>JOAO LISBOA</t>
  </si>
  <si>
    <t>S.VPP-00778</t>
  </si>
  <si>
    <t>S.VPP-00766</t>
  </si>
  <si>
    <t>PORTO FRANCO</t>
  </si>
  <si>
    <t>RIBAMAR FIQUENE</t>
  </si>
  <si>
    <t>SÃO FRANCISCO DO BREJÃO</t>
  </si>
  <si>
    <t>S.VPI-00006</t>
  </si>
  <si>
    <t>Supervisor DR Construtora</t>
  </si>
  <si>
    <t>Fiscal VLI</t>
  </si>
  <si>
    <t>Total Medição =</t>
  </si>
  <si>
    <t>Data</t>
  </si>
  <si>
    <t>FROTA</t>
  </si>
  <si>
    <t>Semana</t>
  </si>
  <si>
    <t>CÓDIGO SAP</t>
  </si>
  <si>
    <t>Horimetro Inicial</t>
  </si>
  <si>
    <t>Horimetro Final</t>
  </si>
  <si>
    <t>KM INICIAL</t>
  </si>
  <si>
    <t>KM FINAL</t>
  </si>
  <si>
    <t>Município</t>
  </si>
  <si>
    <t>Descrição</t>
  </si>
  <si>
    <t>Preço (R$)</t>
  </si>
  <si>
    <t>Quant. De Hrs</t>
  </si>
  <si>
    <t>HM</t>
  </si>
  <si>
    <t>TOTAL (R$)</t>
  </si>
  <si>
    <t>SUPERVISÃO</t>
  </si>
  <si>
    <t>CENTRO</t>
  </si>
  <si>
    <t>KM IN</t>
  </si>
  <si>
    <t>KM FN</t>
  </si>
  <si>
    <t>LITROS</t>
  </si>
  <si>
    <t>VALOR</t>
  </si>
  <si>
    <t>MEDIA Veiculos</t>
  </si>
  <si>
    <t>Media EGP</t>
  </si>
  <si>
    <t>Observações</t>
  </si>
  <si>
    <t>RE-017</t>
  </si>
  <si>
    <t>RE-018</t>
  </si>
  <si>
    <t>RE-016</t>
  </si>
  <si>
    <t>CM-003</t>
  </si>
  <si>
    <t>CBL-001</t>
  </si>
  <si>
    <t>CBL-002</t>
  </si>
  <si>
    <t>CBL-003</t>
  </si>
  <si>
    <t>CBL-004</t>
  </si>
  <si>
    <t>CBL-005</t>
  </si>
  <si>
    <t>PC-004</t>
  </si>
  <si>
    <t>EH-008</t>
  </si>
  <si>
    <t>REL-01</t>
  </si>
  <si>
    <t>MN-002</t>
  </si>
  <si>
    <t>MEL-01</t>
  </si>
  <si>
    <t>HH</t>
  </si>
  <si>
    <t>MNL-01</t>
  </si>
  <si>
    <t>REL-02</t>
  </si>
  <si>
    <t>CTL-01</t>
  </si>
  <si>
    <t>CTL-02</t>
  </si>
  <si>
    <t>ARAGUAÍNA</t>
  </si>
  <si>
    <t>locação</t>
  </si>
  <si>
    <t>M.O</t>
  </si>
  <si>
    <t>LOCAÇÕES</t>
  </si>
  <si>
    <t>ARAGUAINA</t>
  </si>
  <si>
    <t>km</t>
  </si>
  <si>
    <t>km/L</t>
  </si>
  <si>
    <t>L</t>
  </si>
  <si>
    <t>R$/L</t>
  </si>
  <si>
    <t>R$</t>
  </si>
  <si>
    <t>CBL-006</t>
  </si>
  <si>
    <t>CTL - 01</t>
  </si>
  <si>
    <t>CTL - 02</t>
  </si>
  <si>
    <t>EGPs</t>
  </si>
  <si>
    <t>Caminhões</t>
  </si>
  <si>
    <t>Total de frota</t>
  </si>
  <si>
    <t>CB-009</t>
  </si>
  <si>
    <t>CM-002/SR-005</t>
  </si>
  <si>
    <t>VL-041</t>
  </si>
  <si>
    <t>CB-010</t>
  </si>
  <si>
    <t>VL-051</t>
  </si>
  <si>
    <t>MNL-001</t>
  </si>
  <si>
    <t>CB-013</t>
  </si>
  <si>
    <t>Localiza</t>
  </si>
  <si>
    <t>VL</t>
  </si>
  <si>
    <t>CB-014</t>
  </si>
  <si>
    <t>CONTRATO 4994</t>
  </si>
  <si>
    <t>PC-002</t>
  </si>
  <si>
    <t>CB-022</t>
  </si>
  <si>
    <t>RESUMO POR MUNICÍPIO</t>
  </si>
  <si>
    <t>MUNICÍPIOS</t>
  </si>
  <si>
    <t>VALOR R$</t>
  </si>
  <si>
    <t>Trecho</t>
  </si>
  <si>
    <t>PCL-001</t>
  </si>
  <si>
    <t>Ribamar Fiquene</t>
  </si>
  <si>
    <t>T-01</t>
  </si>
  <si>
    <t>Campestre</t>
  </si>
  <si>
    <t>Araguaina</t>
  </si>
  <si>
    <t>S.Luiz</t>
  </si>
  <si>
    <t>Porto Franco</t>
  </si>
  <si>
    <t>T-02</t>
  </si>
  <si>
    <t>ITEM</t>
  </si>
  <si>
    <t>Qde EGP</t>
  </si>
  <si>
    <t>Qde hrs</t>
  </si>
  <si>
    <t>Qde dias</t>
  </si>
  <si>
    <t>Qde dias perda</t>
  </si>
  <si>
    <t>HORAS/MÊS</t>
  </si>
  <si>
    <t>FATURAMENTO MÁXIMO</t>
  </si>
  <si>
    <t>TOTAL (R$) DIA</t>
  </si>
  <si>
    <t>TOTAL (R$) MÊS</t>
  </si>
  <si>
    <t>TOTAL (R$) MÊS + Perdas</t>
  </si>
  <si>
    <t>Imperatriz</t>
  </si>
  <si>
    <t>T-03</t>
  </si>
  <si>
    <t>PALMAS</t>
  </si>
  <si>
    <t>Sao Luis</t>
  </si>
  <si>
    <t>T-04</t>
  </si>
  <si>
    <t>ENG. VLI</t>
  </si>
  <si>
    <t>João Lisboa</t>
  </si>
  <si>
    <t>VL! - 2015</t>
  </si>
  <si>
    <t>Açailândia</t>
  </si>
  <si>
    <t>Total</t>
  </si>
  <si>
    <t>S.F. Brejão</t>
  </si>
  <si>
    <t>Edson Lobão</t>
  </si>
  <si>
    <t>Palmeirante</t>
  </si>
  <si>
    <t>Tupiratins</t>
  </si>
  <si>
    <t>Guaraí</t>
  </si>
  <si>
    <t>Tupirama</t>
  </si>
  <si>
    <t>Rio dos Bois</t>
  </si>
  <si>
    <t>Miracema</t>
  </si>
  <si>
    <t>Porto Nacional</t>
  </si>
  <si>
    <t>ESTREITO</t>
  </si>
  <si>
    <t>AGUIARNÓPOLIS</t>
  </si>
  <si>
    <t>Fechamento Imperatriz</t>
  </si>
  <si>
    <t>PALMEIRAS DO TOCANTINS</t>
  </si>
  <si>
    <t>S.VPP-00785</t>
  </si>
  <si>
    <t>MOBILIZAÇÃO MINIESCAVADEIRA</t>
  </si>
  <si>
    <t>DARCINÓPOLIS</t>
  </si>
  <si>
    <t>S.VPP-00787</t>
  </si>
  <si>
    <t>HORA PRODUTIVA MINIESCAVADEIRA</t>
  </si>
  <si>
    <t>HP</t>
  </si>
  <si>
    <t>Faturado</t>
  </si>
  <si>
    <t>DESVIO</t>
  </si>
  <si>
    <t>Perda valor</t>
  </si>
  <si>
    <t>BABAÇULÂNDIA</t>
  </si>
  <si>
    <t>S.VPP-00788</t>
  </si>
  <si>
    <t>HORA IMPRODUTIVA MINIESCAVADEIRA</t>
  </si>
  <si>
    <t>HI</t>
  </si>
  <si>
    <t>PT Porto Franco</t>
  </si>
  <si>
    <t>TOTAL</t>
  </si>
  <si>
    <t>Caso 100% realizado se programado</t>
  </si>
  <si>
    <t>Gestor:</t>
  </si>
  <si>
    <t>Tharcísio Pereira</t>
  </si>
  <si>
    <t>EQ</t>
  </si>
  <si>
    <t>Dia Tb 9hs</t>
  </si>
  <si>
    <t>Dia Tb 8hs</t>
  </si>
  <si>
    <t>Soma Total HP</t>
  </si>
  <si>
    <t>Horas total</t>
  </si>
  <si>
    <t>PC</t>
  </si>
  <si>
    <t>RE</t>
  </si>
  <si>
    <t>CB</t>
  </si>
  <si>
    <t>NOV</t>
  </si>
  <si>
    <t>CM</t>
  </si>
  <si>
    <t>EH</t>
  </si>
  <si>
    <t>MN</t>
  </si>
  <si>
    <t>Dias com atividades</t>
  </si>
  <si>
    <t>Perda de %</t>
  </si>
  <si>
    <t>Valor medição Real</t>
  </si>
  <si>
    <t>Conforme programação do mês de dias de trabalho</t>
  </si>
  <si>
    <t>QTDE</t>
  </si>
  <si>
    <t>Total Horas</t>
  </si>
  <si>
    <t>CB-021</t>
  </si>
  <si>
    <t>CB-023</t>
  </si>
  <si>
    <t>CM-002</t>
  </si>
  <si>
    <t>EH-016</t>
  </si>
  <si>
    <t>Estimativa conforme andamento e previsao faltante</t>
  </si>
  <si>
    <t>(Tudo)</t>
  </si>
  <si>
    <t>(vazio)</t>
  </si>
  <si>
    <t>Rótulos de Linha</t>
  </si>
  <si>
    <t>Soma de Quant. De Hrs</t>
  </si>
  <si>
    <t>Soma de TOTAL (R$)</t>
  </si>
  <si>
    <t>Total Geral</t>
  </si>
  <si>
    <t>Hr Prog.</t>
  </si>
  <si>
    <t>Hr Manutenção</t>
  </si>
  <si>
    <t>Custo Hr</t>
  </si>
  <si>
    <t>Vlr Total Hr</t>
  </si>
  <si>
    <t>Valores</t>
  </si>
  <si>
    <t>RE-015</t>
  </si>
  <si>
    <t>CB-008</t>
  </si>
  <si>
    <t>Programação conforme datas programadas para trabalho</t>
  </si>
  <si>
    <t>Valor de medição (programado menos hr maquina parada)</t>
  </si>
  <si>
    <t>Memória de Cálculo Veiculo -  Imperatriz-MA</t>
  </si>
  <si>
    <t xml:space="preserve">Imperatriz,  21 de Novembro de 2022.
 À
DR CONSTRUTORA
Apresentamos o controle de disponibilidade de veiculo no transporte durante serviços prestados no mês Setembro e Outubro de 2022,  periodo de 21/09/2022 à 20/10/2022 dentro das instalações VLI na supervisão de trecho I em atendimento na cidade de Imperatriz - MA.  De acordo com o controle adotado, não se identificaram dias que o veículo ficou indisponível por  problemas/falhas mecânicas, não havendo necessidade de alterações no valor da verba.              
Veículo:     Carro - 7 lugares                                                                                                                                                                                                                                                                                                        Verba: 30/30  Verba: 1,0
Contrato número: 4600004994-00
Objeto Contratado: Este Contrato tem por objeto Contrato Guarda Chuva para prestação de serviços de melhorias de acesso às estradas vicinais no corredor Centro Norte - Ferrovia Norte Sul. 
</t>
  </si>
  <si>
    <t xml:space="preserve">Controle de dias de disponibilidade de Veículo </t>
  </si>
  <si>
    <t>Dia</t>
  </si>
  <si>
    <t xml:space="preserve">Local </t>
  </si>
  <si>
    <t xml:space="preserve">Capacidade </t>
  </si>
  <si>
    <t>Veículo</t>
  </si>
  <si>
    <t xml:space="preserve">KM Inicial </t>
  </si>
  <si>
    <t>KM Final</t>
  </si>
  <si>
    <t>Ass. DR CONSTRUTORA</t>
  </si>
  <si>
    <t>Ass.  Tec VLI</t>
  </si>
  <si>
    <t>5 LUGARES</t>
  </si>
  <si>
    <t>FOLGA</t>
  </si>
  <si>
    <t xml:space="preserve">__________________________________________
  Nome por extenso: Cairo Miranda
  Função: Preposto
  Empresa: DR Construtora 
</t>
  </si>
  <si>
    <t>INICIAL</t>
  </si>
  <si>
    <t>FINAL</t>
  </si>
  <si>
    <t>DIAS</t>
  </si>
  <si>
    <t>MEDIA</t>
  </si>
  <si>
    <t xml:space="preserve">Memória de Cálculo Veiculo -  Araguaína-TO  </t>
  </si>
  <si>
    <t xml:space="preserve">Araguaína,  21 de Outubro de 2022.
 À
DR CONSTRUTORA
Apresentamos o controle de disponibilidade de veiculo no transporte durante serviços prestados no mês de Setembro e Outubro de 2022,  periodo de 21/09/2022 à 20/10/2022 dentro das instalações VLI na supervisão de trecho I em atendimento na cidade Araguaína - TO. De acordo com o controle adotado,  não se identificaram dias que o veículo ficou indisponível por  problemas/falhas mecânicas, não havendo necessidade de alterações no valor da verba.              
Veículo:     Carro - 7 lugares VL-041                                                                                                                                                                                                                                                                   Verba: 30/30                                         
Contrato número: 4600004994-00
Objeto Contratado: Este Contrato tem por objeto Contrato Guarda Chuva para prestação de serviços de melhorias de acesso às estradas vicinais no corredor Centro Norte - Ferrovia Norte Sul. 
</t>
  </si>
  <si>
    <t>SAVEIRO</t>
  </si>
  <si>
    <t>Código de frota:</t>
  </si>
  <si>
    <t>Placa:</t>
  </si>
  <si>
    <t>MÉDIA DAS ALTURAS</t>
  </si>
  <si>
    <t xml:space="preserve"> Nº ROMANEIO</t>
  </si>
  <si>
    <t>HORA DO CARGA</t>
  </si>
  <si>
    <t>HORA DO DESCARGA</t>
  </si>
  <si>
    <t>ASSINATURA  (FORNECEDOR)</t>
  </si>
  <si>
    <t>PC-006</t>
  </si>
  <si>
    <t>PC-07</t>
  </si>
  <si>
    <t>PC -07</t>
  </si>
  <si>
    <t>PC-007</t>
  </si>
  <si>
    <t>PC -007</t>
  </si>
  <si>
    <t>CTL-001</t>
  </si>
  <si>
    <t>CTL-002</t>
  </si>
  <si>
    <t>MN-006</t>
  </si>
  <si>
    <t>MN-07</t>
  </si>
  <si>
    <t>CBL-054</t>
  </si>
  <si>
    <t>CBL-055</t>
  </si>
  <si>
    <t>PCL -07</t>
  </si>
  <si>
    <t>REL-04</t>
  </si>
  <si>
    <t>REL-03</t>
  </si>
  <si>
    <t>CBL-053</t>
  </si>
  <si>
    <t>CBL-051</t>
  </si>
  <si>
    <t>CBL-052</t>
  </si>
  <si>
    <t>PCL-002</t>
  </si>
  <si>
    <t>REL-004</t>
  </si>
  <si>
    <t>MEDIÇÃO VLI 2015 DR ENGENHARIA 16/12/24 a 20/01/2025</t>
  </si>
  <si>
    <t>VLL-005</t>
  </si>
  <si>
    <t>VLL-006</t>
  </si>
  <si>
    <t>MN-007</t>
  </si>
  <si>
    <t>VLL-002</t>
  </si>
  <si>
    <t>Mobilização De Retroescavadeira C/ Operador</t>
  </si>
  <si>
    <t>Desmobilização De Retroescavadeira C/ Operador</t>
  </si>
  <si>
    <t>Hr Produtiva Retroescavadeira C/Operador</t>
  </si>
  <si>
    <t>Hr Improdutiva Retroescavadeira C/Operador</t>
  </si>
  <si>
    <t>Mobilização Pa Carregadeira C/ Operador</t>
  </si>
  <si>
    <t>Desmobilização De Pa Carregadeira C/Operador</t>
  </si>
  <si>
    <t>Hora Produtiva Pa Carregadeira C/Operador</t>
  </si>
  <si>
    <t>Hora Improdutiva Pa Carregadeira C/Operador</t>
  </si>
  <si>
    <t>Mobilização Caminhão Basculante - C/Motorista</t>
  </si>
  <si>
    <t>Desmobilização Caminhão Basculante - C/Motorista</t>
  </si>
  <si>
    <t>Km Rodado Caminhão Basculante - C/Motorista</t>
  </si>
  <si>
    <t>Hora Improdutiva Basculante - C/Motorista</t>
  </si>
  <si>
    <t>Mobilização De Caminhão Pipa C/Mototista</t>
  </si>
  <si>
    <t>Desmobilização De Caminhão Pipa C/Mototista</t>
  </si>
  <si>
    <t>Hora Produtiva Caminhão Pipa</t>
  </si>
  <si>
    <t>Hora Improdutiva Caminhão Pipa C/ Motorista</t>
  </si>
  <si>
    <t>Mobilização De Motoniveladora C/Operador</t>
  </si>
  <si>
    <t>Desmobilização De Motoniveladora C/Operador</t>
  </si>
  <si>
    <t>Hora Produtiva Motoniveladora C/Operador</t>
  </si>
  <si>
    <t>Hora Improdutiva Motoniveladora C/Operador</t>
  </si>
  <si>
    <t>Mobilização De Trator Esteira – C/Operador</t>
  </si>
  <si>
    <t>Desmobilização De Trator Esteira – C/Operador</t>
  </si>
  <si>
    <t>Hora Produtiva Trator Esteira – C/ Operador</t>
  </si>
  <si>
    <t>Hora Improdutiva Trator Esteira – C/ Operador</t>
  </si>
  <si>
    <t>Mobilização Carreta Prancha - C/ Motorista</t>
  </si>
  <si>
    <t>Desmobilização Carreta Prancha - C/ Motorista</t>
  </si>
  <si>
    <t>Km Rodado Carreta Prancha - C/ Motorista</t>
  </si>
  <si>
    <t>Hora Improdutiva Carreta Prancha - C/ Motorista</t>
  </si>
  <si>
    <t>Mobilização Miniescavadeira C/ Operador</t>
  </si>
  <si>
    <t>Desmobilização Miniescavadeira C/ Operador</t>
  </si>
  <si>
    <t>Hora Produtiva Miniescavadeira Hidraulica C/ Operador</t>
  </si>
  <si>
    <t>Hora Improdutiva Miniescavadeira Hidraulica C/ Operador</t>
  </si>
  <si>
    <t>Mobilização Escavadeira Hidraulica</t>
  </si>
  <si>
    <t>Desmobilização Escavadeira Hidraulica</t>
  </si>
  <si>
    <t>Hora Produtiva Escavadeira Hidraulica</t>
  </si>
  <si>
    <t>Hora Improdutiva Escavadeira Hidraulica</t>
  </si>
  <si>
    <t>Mobilização Rolo Compactador C/ Operador</t>
  </si>
  <si>
    <t>Desmobilização Rolo Compactador C/ Operador</t>
  </si>
  <si>
    <t>Hora Produtiva Rolo Compactador C/Operador</t>
  </si>
  <si>
    <t>Hora Improdutiva Rolo Compactador C/Operador</t>
  </si>
  <si>
    <t>Transporte Rodoviario Carro 5 Passageiros</t>
  </si>
  <si>
    <t>Transporte Rodoviario Carro 7 Passageiros</t>
  </si>
  <si>
    <t>S.VP-01477</t>
  </si>
  <si>
    <t>S.VP-01478</t>
  </si>
  <si>
    <t>S.VP-01395</t>
  </si>
  <si>
    <t>S.VP-01396</t>
  </si>
  <si>
    <t>S.VP-01397</t>
  </si>
  <si>
    <t>S.VP-01398</t>
  </si>
  <si>
    <t>S.VP-01399</t>
  </si>
  <si>
    <t>S.VP-01400</t>
  </si>
  <si>
    <t>S.VP-01401</t>
  </si>
  <si>
    <t>S.VP-01402</t>
  </si>
  <si>
    <t>S.VP-01403</t>
  </si>
  <si>
    <t>S.VP-01404</t>
  </si>
  <si>
    <t>S.VP-01405</t>
  </si>
  <si>
    <t>S.VP-01406</t>
  </si>
  <si>
    <t>S.VP-01407</t>
  </si>
  <si>
    <t>S.VP-01408</t>
  </si>
  <si>
    <t>S.VP-01409</t>
  </si>
  <si>
    <t>S.VP-01410</t>
  </si>
  <si>
    <t>S.VP-01411</t>
  </si>
  <si>
    <t>S.VP-01412</t>
  </si>
  <si>
    <t>S.VP-01413</t>
  </si>
  <si>
    <t>S.VP-01414</t>
  </si>
  <si>
    <t>S.VP-01415</t>
  </si>
  <si>
    <t>S.VP-01416</t>
  </si>
  <si>
    <t>S.VP-01417</t>
  </si>
  <si>
    <t>S.VP-01418</t>
  </si>
  <si>
    <t>S.VP-01419</t>
  </si>
  <si>
    <t>S.VP-01420</t>
  </si>
  <si>
    <t>S.VP-01421</t>
  </si>
  <si>
    <t>S.VP-01422</t>
  </si>
  <si>
    <t>S.VP-01423</t>
  </si>
  <si>
    <t>S.VP-01424</t>
  </si>
  <si>
    <t>S.VP-01425</t>
  </si>
  <si>
    <t>S.VP-01426</t>
  </si>
  <si>
    <t>S.VP-01427</t>
  </si>
  <si>
    <t>S.VP-01428</t>
  </si>
  <si>
    <t>S.VP-01429</t>
  </si>
  <si>
    <t>S.VP-01430</t>
  </si>
  <si>
    <t>S.VP-01431</t>
  </si>
  <si>
    <t>S.VP-01432</t>
  </si>
  <si>
    <t>MOBILIZAÇÃO DE RETROESCAVADEIRA C/ OPERADOR</t>
  </si>
  <si>
    <t>DESMOBILIZAÇÃO DE RETROESCAVADEIRA C/ OPERADOR</t>
  </si>
  <si>
    <t>HR PRODUTIVA RETROESCAVADEIRA C/OPERADOR</t>
  </si>
  <si>
    <t>HR IMPRODUTIVA RETROESCAVADEIRA C/OPERADOR</t>
  </si>
  <si>
    <t>MOBILIZAÇÃO PA CARREGADEIRA C/ OPERADOR</t>
  </si>
  <si>
    <t>DESMOBILIZAÇÃO DE PA CARREGADEIRA C/OPERADOR</t>
  </si>
  <si>
    <t>HORA PRODUTIVA PA CARREGADEIRA C/OPERADOR</t>
  </si>
  <si>
    <t>HORA IMPRODUTIVA PA CARREGADEIRA C/OPERADOR</t>
  </si>
  <si>
    <t>MOBILIZAÇÃO CAMINHÃO BASCULANTE - C/MOTORISTA</t>
  </si>
  <si>
    <t>DESMOBILIZAÇÃO CAMINHÃO BASCULANTE - C/MOTORISTA</t>
  </si>
  <si>
    <t>KM RODADO CAMINHÃO BASCULANTE - C/MOTORISTA</t>
  </si>
  <si>
    <t>HORA IMPRODUTIVA BASCULANTE - C/MOTORISTA</t>
  </si>
  <si>
    <t>MOBILIZAÇÃO DE CAMINHÃO PIPA C/MOTOTISTA</t>
  </si>
  <si>
    <t>DESMOBILIZAÇÃO DE CAMINHÃO PIPA C/MOTOTISTA</t>
  </si>
  <si>
    <t>HORA PRODUTIVA CAMINHÃO PIPA</t>
  </si>
  <si>
    <t>HORA IMPRODUTIVA CAMINHÃO PIPA C/ MOTORISTA</t>
  </si>
  <si>
    <t>MOBILIZAÇÃO DE MOTONIVELADORA C/OPERADOR</t>
  </si>
  <si>
    <t>DESMOBILIZAÇÃO DE MOTONIVELADORA C/OPERADOR</t>
  </si>
  <si>
    <t>HORA PRODUTIVA MOTONIVELADORA C/OPERADOR</t>
  </si>
  <si>
    <t>HORA IMPRODUTIVA MOTONIVELADORA C/OPERADOR</t>
  </si>
  <si>
    <t>MOBILIZAÇÃO DE TRATOR ESTEIRA – C/OPERADOR</t>
  </si>
  <si>
    <t>DESMOBILIZAÇÃO DE TRATOR ESTEIRA – C/OPERADOR</t>
  </si>
  <si>
    <t>HORA PRODUTIVA TRATOR ESTEIRA – C/ OPERADOR</t>
  </si>
  <si>
    <t>HORA IMPRODUTIVA TRATOR ESTEIRA – C/ OPERADOR</t>
  </si>
  <si>
    <t>MOBILIZAÇÃO CARRETA PRANCHA - C/ MOTORISTA</t>
  </si>
  <si>
    <t>DESMOBILIZAÇÃO CARRETA PRANCHA - C/ MOTORISTA</t>
  </si>
  <si>
    <t>KM RODADO CARRETA PRANCHA - C/ MOTORISTA</t>
  </si>
  <si>
    <t>HORA IMPRODUTIVA CARRETA PRANCHA - C/ MOTORISTA</t>
  </si>
  <si>
    <t>MOBILIZAÇÃO MINIESCAVADEIRA C/ OPERADOR</t>
  </si>
  <si>
    <t>DESMOBILIZAÇÃO MINIESCAVADEIRA C/ OPERADOR</t>
  </si>
  <si>
    <t>HORA PRODUTIVA MINIESCAVADEIRA HIDRAULICA C/ OPERADOR</t>
  </si>
  <si>
    <t>HORA IMPRODUTIVA MINIESCAVADEIRA HIDRAULICA C/ OPERADOR</t>
  </si>
  <si>
    <t>MOBILIZAÇÃO ESCAVADEIRA HIDRAULICA</t>
  </si>
  <si>
    <t>DESMOBILIZAÇÃO ESCAVADEIRA HIDRAULICA</t>
  </si>
  <si>
    <t>HORA PRODUTIVA ESCAVADEIRA HIDRAULICA</t>
  </si>
  <si>
    <t>HORA IMPRODUTIVA ESCAVADEIRA HIDRAULICA</t>
  </si>
  <si>
    <t>MOBILIZAÇÃO ROLO COMPACTADOR C/ OPERADOR</t>
  </si>
  <si>
    <t>DESMOBILIZAÇÃO ROLO COMPACTADOR C/ OPERADOR</t>
  </si>
  <si>
    <t>HORA PRODUTIVA ROLO COMPACTADOR C/OPERADOR</t>
  </si>
  <si>
    <t>HORA IMPRODUTIVA ROLO COMPACTADOR C/OPERADOR</t>
  </si>
  <si>
    <t>RENTAL - CÓDIGO SAP</t>
  </si>
  <si>
    <t>RENTAL - Descrição</t>
  </si>
  <si>
    <t>RENTAL - Und.</t>
  </si>
  <si>
    <t>RENTAL - Preço</t>
  </si>
  <si>
    <t>RENTAL - Item</t>
  </si>
  <si>
    <t>MOBRA - CÓDIGO SAP</t>
  </si>
  <si>
    <t>MOBRA - Descrição</t>
  </si>
  <si>
    <t>MOBRA - Und.</t>
  </si>
  <si>
    <t>MOBRA - Preço</t>
  </si>
  <si>
    <t>-</t>
  </si>
  <si>
    <t>MNL-002</t>
  </si>
  <si>
    <t>PCL -01</t>
  </si>
  <si>
    <t>VLL 01</t>
  </si>
  <si>
    <t>VLL 02</t>
  </si>
  <si>
    <t>VLL03</t>
  </si>
  <si>
    <t>VLL-04</t>
  </si>
  <si>
    <t>VLL-05</t>
  </si>
  <si>
    <t>VLL-06</t>
  </si>
  <si>
    <t>Fórmula1</t>
  </si>
  <si>
    <t>Retroescavadeira</t>
  </si>
  <si>
    <t>Motoniveladora</t>
  </si>
  <si>
    <t>Pá Carregadeira</t>
  </si>
  <si>
    <t>Caminhão Basculante</t>
  </si>
  <si>
    <t>Caminhão Pipa</t>
  </si>
  <si>
    <t>Miniescavadeira</t>
  </si>
  <si>
    <t>Trator de Esteira</t>
  </si>
  <si>
    <t>Carreta Prancha</t>
  </si>
  <si>
    <t>Escavadeira Hidráulica</t>
  </si>
  <si>
    <t>Rolo Compactador</t>
  </si>
  <si>
    <t>Veículo Leve</t>
  </si>
  <si>
    <t>Tipo do Equipamento</t>
  </si>
  <si>
    <t>Tipo do Serviço</t>
  </si>
  <si>
    <t>Improdutivo</t>
  </si>
  <si>
    <t>Produtivo</t>
  </si>
  <si>
    <t>Mobilização</t>
  </si>
  <si>
    <t>Desmobilização</t>
  </si>
  <si>
    <t>Código do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</si>
</sst>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&quot;R$&quot;* #,##0.00_-;\-&quot;R$&quot;* #,##0.00_-;_-&quot;R$&quot;* &quot;-&quot;??_-;_-@_-"/>
    <numFmt numFmtId="167" formatCode="_(&quot;R$ &quot;* #,##0.00_);_(&quot;R$ &quot;* \(#,##0.00\);_(&quot;R$ &quot;* &quot;-&quot;??_);_(@_)"/>
    <numFmt numFmtId="168" formatCode="[$-416]d\-mmm;@"/>
    <numFmt numFmtId="169" formatCode="General_)"/>
    <numFmt numFmtId="170" formatCode="0.000"/>
    <numFmt numFmtId="171" formatCode="&quot;R$&quot;\ #,##0.00"/>
    <numFmt numFmtId="172" formatCode="dd/mm/yy;@"/>
    <numFmt numFmtId="173" formatCode="_(* #,##0_);_(* \(#,##0\);_(* &quot;-&quot;??_);_(@_)"/>
    <numFmt numFmtId="174" formatCode="0.000%"/>
    <numFmt numFmtId="175" formatCode="0.0"/>
  </numFmts>
  <fonts count="4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9"/>
      <color indexed="10"/>
      <name val="Geneva"/>
    </font>
    <font>
      <sz val="10"/>
      <name val="Courier"/>
      <family val="3"/>
    </font>
    <font>
      <sz val="10"/>
      <name val="Times New Roman"/>
      <family val="1"/>
    </font>
    <font>
      <sz val="10"/>
      <name val="MS Sans Serif"/>
      <family val="2"/>
    </font>
    <font>
      <sz val="10"/>
      <color indexed="8"/>
      <name val="Tahoma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8"/>
      <name val="Arial"/>
      <family val="2"/>
    </font>
    <font>
      <b/>
      <sz val="18"/>
      <name val="Calibri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color indexed="81"/>
      <name val="Segoe UI"/>
      <family val="2"/>
    </font>
    <font>
      <sz val="10"/>
      <name val="Arial"/>
      <family val="2"/>
    </font>
    <font>
      <b/>
      <sz val="14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b/>
      <sz val="20"/>
      <name val="Calibri"/>
      <family val="2"/>
    </font>
    <font>
      <sz val="9"/>
      <color indexed="81"/>
      <name val="Segoe UI"/>
      <family val="2"/>
    </font>
    <font>
      <b/>
      <u/>
      <sz val="14"/>
      <name val="Calibri"/>
      <family val="2"/>
    </font>
    <font>
      <sz val="11"/>
      <color rgb="FFFF0000"/>
      <name val="Calibri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u/>
      <sz val="10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0"/>
      <name val="Calibri"/>
      <family val="2"/>
    </font>
    <font>
      <sz val="10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4.9989318521683403E-2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91">
    <xf numFmtId="0" fontId="0" fillId="0" borderId="0"/>
    <xf numFmtId="0" fontId="9" fillId="0" borderId="0"/>
    <xf numFmtId="0" fontId="10" fillId="0" borderId="0"/>
    <xf numFmtId="0" fontId="5" fillId="0" borderId="0">
      <alignment horizontal="centerContinuous" vertical="justify"/>
    </xf>
    <xf numFmtId="168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8" fontId="21" fillId="0" borderId="0"/>
    <xf numFmtId="168" fontId="21" fillId="0" borderId="0"/>
    <xf numFmtId="168" fontId="4" fillId="0" borderId="0"/>
    <xf numFmtId="0" fontId="21" fillId="0" borderId="0"/>
    <xf numFmtId="168" fontId="8" fillId="0" borderId="0"/>
    <xf numFmtId="168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169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21" fillId="0" borderId="0"/>
    <xf numFmtId="168" fontId="21" fillId="0" borderId="0"/>
    <xf numFmtId="168" fontId="4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38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3" fillId="0" borderId="0"/>
    <xf numFmtId="168" fontId="3" fillId="0" borderId="0"/>
    <xf numFmtId="0" fontId="3" fillId="0" borderId="0"/>
    <xf numFmtId="168" fontId="3" fillId="0" borderId="0"/>
    <xf numFmtId="168" fontId="3" fillId="0" borderId="0"/>
    <xf numFmtId="0" fontId="2" fillId="0" borderId="0"/>
    <xf numFmtId="43" fontId="27" fillId="0" borderId="0" applyFont="0" applyFill="0" applyBorder="0" applyAlignment="0" applyProtection="0"/>
    <xf numFmtId="9" fontId="32" fillId="0" borderId="0" applyFont="0" applyFill="0" applyBorder="0" applyAlignment="0" applyProtection="0"/>
    <xf numFmtId="44" fontId="34" fillId="0" borderId="0" applyFont="0" applyFill="0" applyBorder="0" applyAlignment="0" applyProtection="0"/>
  </cellStyleXfs>
  <cellXfs count="344">
    <xf numFmtId="0" fontId="0" fillId="0" borderId="0" xfId="0"/>
    <xf numFmtId="168" fontId="15" fillId="0" borderId="0" xfId="16" applyFont="1"/>
    <xf numFmtId="0" fontId="17" fillId="0" borderId="0" xfId="19" applyFont="1"/>
    <xf numFmtId="0" fontId="15" fillId="0" borderId="0" xfId="16" applyNumberFormat="1" applyFont="1"/>
    <xf numFmtId="168" fontId="15" fillId="0" borderId="0" xfId="17" applyFont="1"/>
    <xf numFmtId="1" fontId="15" fillId="0" borderId="6" xfId="17" applyNumberFormat="1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5" fillId="4" borderId="0" xfId="87" applyFont="1" applyFill="1" applyAlignment="1">
      <alignment vertical="center"/>
    </xf>
    <xf numFmtId="0" fontId="2" fillId="4" borderId="0" xfId="87" applyFill="1"/>
    <xf numFmtId="0" fontId="24" fillId="5" borderId="10" xfId="87" applyFont="1" applyFill="1" applyBorder="1" applyAlignment="1">
      <alignment horizontal="center" vertical="center" wrapText="1"/>
    </xf>
    <xf numFmtId="0" fontId="2" fillId="4" borderId="0" xfId="87" applyFill="1" applyAlignment="1">
      <alignment horizontal="center" vertical="center"/>
    </xf>
    <xf numFmtId="14" fontId="0" fillId="0" borderId="0" xfId="0" applyNumberFormat="1"/>
    <xf numFmtId="0" fontId="29" fillId="0" borderId="10" xfId="88" applyNumberFormat="1" applyFont="1" applyFill="1" applyBorder="1" applyAlignment="1">
      <alignment horizontal="center" vertical="center"/>
    </xf>
    <xf numFmtId="173" fontId="29" fillId="0" borderId="10" xfId="88" applyNumberFormat="1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/>
    </xf>
    <xf numFmtId="2" fontId="15" fillId="0" borderId="10" xfId="17" applyNumberFormat="1" applyFont="1" applyBorder="1" applyAlignment="1">
      <alignment horizontal="center"/>
    </xf>
    <xf numFmtId="1" fontId="15" fillId="0" borderId="10" xfId="17" applyNumberFormat="1" applyFont="1" applyBorder="1" applyAlignment="1">
      <alignment horizontal="center"/>
    </xf>
    <xf numFmtId="1" fontId="5" fillId="0" borderId="10" xfId="17" applyNumberFormat="1" applyBorder="1" applyAlignment="1">
      <alignment horizontal="center"/>
    </xf>
    <xf numFmtId="14" fontId="5" fillId="0" borderId="10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0" xfId="87"/>
    <xf numFmtId="168" fontId="15" fillId="0" borderId="10" xfId="17" applyFont="1" applyBorder="1" applyAlignment="1">
      <alignment horizontal="center"/>
    </xf>
    <xf numFmtId="170" fontId="15" fillId="0" borderId="10" xfId="17" applyNumberFormat="1" applyFont="1" applyBorder="1" applyAlignment="1">
      <alignment horizontal="center"/>
    </xf>
    <xf numFmtId="166" fontId="17" fillId="0" borderId="0" xfId="19" applyNumberFormat="1" applyFont="1"/>
    <xf numFmtId="0" fontId="22" fillId="0" borderId="0" xfId="0" applyFont="1" applyAlignment="1">
      <alignment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0" fillId="0" borderId="10" xfId="0" applyBorder="1"/>
    <xf numFmtId="43" fontId="26" fillId="0" borderId="0" xfId="80" applyFont="1" applyBorder="1" applyAlignment="1" applyProtection="1">
      <alignment horizontal="left" vertical="center"/>
      <protection locked="0"/>
    </xf>
    <xf numFmtId="43" fontId="26" fillId="0" borderId="0" xfId="80" applyFont="1" applyFill="1" applyBorder="1" applyAlignment="1" applyProtection="1">
      <alignment horizontal="left" vertical="center"/>
      <protection locked="0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vertical="center" wrapText="1"/>
    </xf>
    <xf numFmtId="10" fontId="17" fillId="0" borderId="0" xfId="89" applyNumberFormat="1" applyFont="1"/>
    <xf numFmtId="0" fontId="16" fillId="0" borderId="0" xfId="19" applyFont="1" applyAlignment="1">
      <alignment horizontal="left"/>
    </xf>
    <xf numFmtId="174" fontId="17" fillId="0" borderId="0" xfId="89" applyNumberFormat="1" applyFont="1"/>
    <xf numFmtId="0" fontId="2" fillId="0" borderId="0" xfId="87" applyAlignment="1">
      <alignment horizontal="center" vertical="center"/>
    </xf>
    <xf numFmtId="172" fontId="2" fillId="0" borderId="0" xfId="87" applyNumberFormat="1" applyAlignment="1">
      <alignment horizontal="center" vertical="center"/>
    </xf>
    <xf numFmtId="44" fontId="15" fillId="0" borderId="0" xfId="90" applyFont="1"/>
    <xf numFmtId="1" fontId="15" fillId="0" borderId="0" xfId="16" applyNumberFormat="1" applyFont="1"/>
    <xf numFmtId="1" fontId="17" fillId="0" borderId="0" xfId="19" applyNumberFormat="1" applyFont="1" applyAlignment="1">
      <alignment horizontal="center" vertical="center"/>
    </xf>
    <xf numFmtId="0" fontId="16" fillId="2" borderId="28" xfId="19" applyFont="1" applyFill="1" applyBorder="1" applyAlignment="1">
      <alignment horizontal="center"/>
    </xf>
    <xf numFmtId="0" fontId="16" fillId="4" borderId="29" xfId="19" applyFont="1" applyFill="1" applyBorder="1" applyAlignment="1">
      <alignment horizontal="left"/>
    </xf>
    <xf numFmtId="1" fontId="17" fillId="0" borderId="30" xfId="19" applyNumberFormat="1" applyFont="1" applyBorder="1" applyAlignment="1">
      <alignment horizontal="center" vertical="center"/>
    </xf>
    <xf numFmtId="0" fontId="15" fillId="6" borderId="15" xfId="17" applyNumberFormat="1" applyFont="1" applyFill="1" applyBorder="1" applyAlignment="1">
      <alignment horizontal="center"/>
    </xf>
    <xf numFmtId="4" fontId="17" fillId="6" borderId="26" xfId="19" applyNumberFormat="1" applyFont="1" applyFill="1" applyBorder="1" applyAlignment="1">
      <alignment horizontal="center"/>
    </xf>
    <xf numFmtId="168" fontId="18" fillId="2" borderId="5" xfId="16" applyFont="1" applyFill="1" applyBorder="1" applyAlignment="1">
      <alignment horizontal="center"/>
    </xf>
    <xf numFmtId="168" fontId="36" fillId="0" borderId="0" xfId="16" applyFont="1"/>
    <xf numFmtId="44" fontId="17" fillId="0" borderId="0" xfId="90" applyFont="1"/>
    <xf numFmtId="44" fontId="17" fillId="0" borderId="0" xfId="90" applyFont="1" applyBorder="1"/>
    <xf numFmtId="0" fontId="36" fillId="0" borderId="35" xfId="19" applyFont="1" applyBorder="1" applyAlignment="1">
      <alignment horizontal="center" vertical="center"/>
    </xf>
    <xf numFmtId="0" fontId="36" fillId="0" borderId="18" xfId="19" applyFont="1" applyBorder="1" applyAlignment="1">
      <alignment horizontal="center" vertical="center"/>
    </xf>
    <xf numFmtId="44" fontId="36" fillId="0" borderId="36" xfId="90" applyFont="1" applyBorder="1"/>
    <xf numFmtId="0" fontId="36" fillId="0" borderId="6" xfId="19" applyFont="1" applyBorder="1" applyAlignment="1">
      <alignment horizontal="center" vertical="center"/>
    </xf>
    <xf numFmtId="0" fontId="36" fillId="0" borderId="14" xfId="19" applyFont="1" applyBorder="1" applyAlignment="1">
      <alignment horizontal="center" vertical="center"/>
    </xf>
    <xf numFmtId="44" fontId="36" fillId="0" borderId="37" xfId="90" applyFont="1" applyBorder="1"/>
    <xf numFmtId="44" fontId="36" fillId="0" borderId="24" xfId="90" applyFont="1" applyBorder="1"/>
    <xf numFmtId="4" fontId="17" fillId="6" borderId="41" xfId="19" applyNumberFormat="1" applyFont="1" applyFill="1" applyBorder="1" applyAlignment="1">
      <alignment horizontal="center"/>
    </xf>
    <xf numFmtId="0" fontId="15" fillId="6" borderId="0" xfId="17" applyNumberFormat="1" applyFont="1" applyFill="1" applyAlignment="1">
      <alignment horizontal="center"/>
    </xf>
    <xf numFmtId="1" fontId="20" fillId="0" borderId="0" xfId="16" applyNumberFormat="1" applyFont="1" applyAlignment="1">
      <alignment vertical="center"/>
    </xf>
    <xf numFmtId="168" fontId="20" fillId="0" borderId="0" xfId="16" applyFont="1" applyAlignment="1">
      <alignment vertical="center"/>
    </xf>
    <xf numFmtId="168" fontId="18" fillId="0" borderId="0" xfId="16" applyFont="1" applyAlignment="1">
      <alignment vertical="center"/>
    </xf>
    <xf numFmtId="168" fontId="20" fillId="4" borderId="0" xfId="16" applyFont="1" applyFill="1" applyAlignment="1">
      <alignment vertical="center"/>
    </xf>
    <xf numFmtId="168" fontId="15" fillId="4" borderId="0" xfId="16" applyFont="1" applyFill="1"/>
    <xf numFmtId="44" fontId="35" fillId="4" borderId="0" xfId="90" applyFont="1" applyFill="1" applyBorder="1"/>
    <xf numFmtId="44" fontId="15" fillId="4" borderId="0" xfId="90" applyFont="1" applyFill="1" applyBorder="1"/>
    <xf numFmtId="43" fontId="15" fillId="4" borderId="0" xfId="16" applyNumberFormat="1" applyFont="1" applyFill="1"/>
    <xf numFmtId="175" fontId="15" fillId="4" borderId="0" xfId="16" applyNumberFormat="1" applyFont="1" applyFill="1"/>
    <xf numFmtId="175" fontId="15" fillId="0" borderId="0" xfId="16" applyNumberFormat="1" applyFont="1"/>
    <xf numFmtId="175" fontId="35" fillId="4" borderId="0" xfId="16" applyNumberFormat="1" applyFont="1" applyFill="1" applyAlignment="1">
      <alignment horizontal="right" vertical="center"/>
    </xf>
    <xf numFmtId="175" fontId="15" fillId="6" borderId="10" xfId="17" applyNumberFormat="1" applyFont="1" applyFill="1" applyBorder="1" applyAlignment="1">
      <alignment horizontal="center"/>
    </xf>
    <xf numFmtId="172" fontId="2" fillId="4" borderId="10" xfId="87" applyNumberFormat="1" applyFill="1" applyBorder="1" applyAlignment="1">
      <alignment horizontal="center" vertical="center"/>
    </xf>
    <xf numFmtId="3" fontId="2" fillId="4" borderId="10" xfId="87" applyNumberFormat="1" applyFill="1" applyBorder="1" applyAlignment="1">
      <alignment horizontal="center" vertical="center"/>
    </xf>
    <xf numFmtId="0" fontId="2" fillId="4" borderId="10" xfId="87" applyFill="1" applyBorder="1" applyAlignment="1">
      <alignment horizontal="center" vertical="center" wrapText="1"/>
    </xf>
    <xf numFmtId="168" fontId="15" fillId="6" borderId="10" xfId="17" applyFont="1" applyFill="1" applyBorder="1" applyAlignment="1">
      <alignment horizontal="center"/>
    </xf>
    <xf numFmtId="0" fontId="2" fillId="10" borderId="0" xfId="87" applyFill="1" applyAlignment="1">
      <alignment horizontal="center" vertical="center"/>
    </xf>
    <xf numFmtId="3" fontId="2" fillId="4" borderId="0" xfId="87" applyNumberFormat="1" applyFill="1" applyAlignment="1">
      <alignment horizontal="center" vertical="center"/>
    </xf>
    <xf numFmtId="0" fontId="16" fillId="2" borderId="40" xfId="19" applyFont="1" applyFill="1" applyBorder="1" applyAlignment="1">
      <alignment horizontal="center"/>
    </xf>
    <xf numFmtId="0" fontId="17" fillId="0" borderId="0" xfId="19" applyFont="1" applyAlignment="1">
      <alignment vertical="center"/>
    </xf>
    <xf numFmtId="0" fontId="17" fillId="0" borderId="12" xfId="19" applyFont="1" applyBorder="1"/>
    <xf numFmtId="0" fontId="17" fillId="0" borderId="18" xfId="19" applyFont="1" applyBorder="1"/>
    <xf numFmtId="0" fontId="17" fillId="0" borderId="31" xfId="19" applyFont="1" applyBorder="1"/>
    <xf numFmtId="0" fontId="17" fillId="0" borderId="43" xfId="19" applyFont="1" applyBorder="1"/>
    <xf numFmtId="0" fontId="17" fillId="0" borderId="13" xfId="19" applyFont="1" applyBorder="1"/>
    <xf numFmtId="0" fontId="17" fillId="0" borderId="11" xfId="19" applyFont="1" applyBorder="1"/>
    <xf numFmtId="0" fontId="17" fillId="0" borderId="44" xfId="19" applyFont="1" applyBorder="1"/>
    <xf numFmtId="0" fontId="17" fillId="0" borderId="0" xfId="19" applyFont="1" applyAlignment="1">
      <alignment horizontal="right" vertical="center"/>
    </xf>
    <xf numFmtId="43" fontId="26" fillId="0" borderId="0" xfId="80" applyFont="1" applyBorder="1" applyAlignment="1" applyProtection="1">
      <alignment horizontal="right" vertical="center"/>
      <protection locked="0"/>
    </xf>
    <xf numFmtId="0" fontId="17" fillId="0" borderId="46" xfId="19" applyFont="1" applyBorder="1" applyAlignment="1">
      <alignment horizontal="center" vertical="center"/>
    </xf>
    <xf numFmtId="9" fontId="17" fillId="0" borderId="0" xfId="89" applyFont="1" applyAlignment="1">
      <alignment horizontal="right" vertical="center"/>
    </xf>
    <xf numFmtId="0" fontId="17" fillId="0" borderId="10" xfId="19" applyFont="1" applyBorder="1" applyAlignment="1">
      <alignment horizontal="center" vertical="center"/>
    </xf>
    <xf numFmtId="0" fontId="17" fillId="0" borderId="10" xfId="19" applyFont="1" applyBorder="1"/>
    <xf numFmtId="44" fontId="17" fillId="0" borderId="10" xfId="90" applyFont="1" applyBorder="1" applyAlignment="1">
      <alignment horizontal="center" vertical="center"/>
    </xf>
    <xf numFmtId="44" fontId="17" fillId="0" borderId="10" xfId="19" applyNumberFormat="1" applyFont="1" applyBorder="1"/>
    <xf numFmtId="44" fontId="17" fillId="0" borderId="17" xfId="19" applyNumberFormat="1" applyFont="1" applyBorder="1"/>
    <xf numFmtId="44" fontId="17" fillId="0" borderId="45" xfId="19" applyNumberFormat="1" applyFont="1" applyBorder="1"/>
    <xf numFmtId="44" fontId="41" fillId="0" borderId="45" xfId="19" applyNumberFormat="1" applyFont="1" applyBorder="1"/>
    <xf numFmtId="0" fontId="0" fillId="0" borderId="0" xfId="0" pivotButton="1"/>
    <xf numFmtId="171" fontId="0" fillId="0" borderId="0" xfId="0" applyNumberFormat="1"/>
    <xf numFmtId="44" fontId="17" fillId="0" borderId="0" xfId="19" applyNumberFormat="1" applyFont="1"/>
    <xf numFmtId="0" fontId="17" fillId="0" borderId="0" xfId="19" applyFont="1" applyAlignment="1">
      <alignment horizontal="center" vertical="center"/>
    </xf>
    <xf numFmtId="9" fontId="17" fillId="0" borderId="0" xfId="89" applyFont="1"/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9" fontId="17" fillId="0" borderId="0" xfId="89" applyFont="1" applyAlignment="1">
      <alignment horizontal="center" vertical="center"/>
    </xf>
    <xf numFmtId="9" fontId="17" fillId="0" borderId="0" xfId="19" applyNumberFormat="1" applyFont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4" borderId="2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44" fontId="0" fillId="4" borderId="0" xfId="9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4" fontId="0" fillId="4" borderId="42" xfId="9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4" fontId="0" fillId="0" borderId="0" xfId="90" applyFont="1" applyAlignment="1">
      <alignment vertical="center"/>
    </xf>
    <xf numFmtId="44" fontId="5" fillId="0" borderId="22" xfId="9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44" fontId="0" fillId="0" borderId="23" xfId="0" applyNumberFormat="1" applyBorder="1" applyAlignment="1">
      <alignment vertical="center"/>
    </xf>
    <xf numFmtId="44" fontId="0" fillId="0" borderId="24" xfId="0" applyNumberFormat="1" applyBorder="1" applyAlignment="1">
      <alignment vertical="center"/>
    </xf>
    <xf numFmtId="44" fontId="22" fillId="9" borderId="0" xfId="0" applyNumberFormat="1" applyFont="1" applyFill="1" applyAlignment="1">
      <alignment vertical="center"/>
    </xf>
    <xf numFmtId="0" fontId="2" fillId="4" borderId="10" xfId="87" applyFill="1" applyBorder="1" applyAlignment="1">
      <alignment horizontal="center" vertical="center"/>
    </xf>
    <xf numFmtId="0" fontId="43" fillId="4" borderId="10" xfId="87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44" fontId="0" fillId="0" borderId="0" xfId="0" applyNumberFormat="1"/>
    <xf numFmtId="44" fontId="15" fillId="0" borderId="0" xfId="90" applyFont="1" applyBorder="1"/>
    <xf numFmtId="0" fontId="15" fillId="6" borderId="49" xfId="17" applyNumberFormat="1" applyFont="1" applyFill="1" applyBorder="1" applyAlignment="1">
      <alignment horizontal="center"/>
    </xf>
    <xf numFmtId="44" fontId="15" fillId="4" borderId="49" xfId="90" applyFont="1" applyFill="1" applyBorder="1" applyAlignment="1">
      <alignment horizontal="center"/>
    </xf>
    <xf numFmtId="0" fontId="15" fillId="4" borderId="3" xfId="17" applyNumberFormat="1" applyFont="1" applyFill="1" applyBorder="1" applyAlignment="1">
      <alignment horizontal="center"/>
    </xf>
    <xf numFmtId="0" fontId="17" fillId="0" borderId="0" xfId="19" applyFont="1" applyAlignment="1">
      <alignment horizontal="right"/>
    </xf>
    <xf numFmtId="171" fontId="17" fillId="0" borderId="0" xfId="89" applyNumberFormat="1" applyFont="1"/>
    <xf numFmtId="170" fontId="20" fillId="0" borderId="0" xfId="88" applyNumberFormat="1" applyFont="1" applyAlignment="1">
      <alignment vertical="center"/>
    </xf>
    <xf numFmtId="170" fontId="15" fillId="0" borderId="10" xfId="88" applyNumberFormat="1" applyFont="1" applyFill="1" applyBorder="1" applyAlignment="1">
      <alignment horizontal="center"/>
    </xf>
    <xf numFmtId="170" fontId="15" fillId="0" borderId="0" xfId="88" applyNumberFormat="1" applyFont="1"/>
    <xf numFmtId="44" fontId="17" fillId="0" borderId="0" xfId="90" applyFont="1" applyAlignment="1">
      <alignment horizontal="center" vertical="center"/>
    </xf>
    <xf numFmtId="44" fontId="17" fillId="0" borderId="0" xfId="19" applyNumberFormat="1" applyFont="1" applyAlignment="1">
      <alignment horizontal="center" vertical="center"/>
    </xf>
    <xf numFmtId="0" fontId="17" fillId="0" borderId="0" xfId="90" applyNumberFormat="1" applyFont="1" applyAlignment="1">
      <alignment horizontal="center" vertical="center"/>
    </xf>
    <xf numFmtId="0" fontId="17" fillId="0" borderId="17" xfId="19" applyFont="1" applyBorder="1" applyAlignment="1">
      <alignment horizontal="center" vertical="center"/>
    </xf>
    <xf numFmtId="0" fontId="17" fillId="0" borderId="47" xfId="19" applyFont="1" applyBorder="1" applyAlignment="1">
      <alignment horizontal="center" vertical="center"/>
    </xf>
    <xf numFmtId="44" fontId="17" fillId="0" borderId="47" xfId="19" applyNumberFormat="1" applyFont="1" applyBorder="1"/>
    <xf numFmtId="44" fontId="17" fillId="0" borderId="46" xfId="19" applyNumberFormat="1" applyFont="1" applyBorder="1"/>
    <xf numFmtId="0" fontId="17" fillId="0" borderId="51" xfId="19" applyFont="1" applyBorder="1" applyAlignment="1">
      <alignment horizontal="center"/>
    </xf>
    <xf numFmtId="0" fontId="17" fillId="0" borderId="13" xfId="19" applyFont="1" applyBorder="1" applyAlignment="1">
      <alignment horizontal="center" vertical="center"/>
    </xf>
    <xf numFmtId="3" fontId="17" fillId="0" borderId="15" xfId="19" applyNumberFormat="1" applyFont="1" applyBorder="1" applyAlignment="1">
      <alignment horizontal="center" vertical="center"/>
    </xf>
    <xf numFmtId="0" fontId="17" fillId="0" borderId="52" xfId="19" applyFont="1" applyBorder="1"/>
    <xf numFmtId="174" fontId="17" fillId="0" borderId="31" xfId="89" applyNumberFormat="1" applyFont="1" applyBorder="1"/>
    <xf numFmtId="174" fontId="17" fillId="0" borderId="13" xfId="89" applyNumberFormat="1" applyFont="1" applyBorder="1"/>
    <xf numFmtId="9" fontId="17" fillId="0" borderId="0" xfId="19" applyNumberFormat="1" applyFont="1"/>
    <xf numFmtId="0" fontId="17" fillId="0" borderId="0" xfId="19" applyFont="1" applyAlignment="1">
      <alignment horizontal="left" vertical="center"/>
    </xf>
    <xf numFmtId="44" fontId="17" fillId="0" borderId="0" xfId="19" applyNumberFormat="1" applyFont="1" applyAlignment="1">
      <alignment horizontal="left" vertical="center"/>
    </xf>
    <xf numFmtId="44" fontId="0" fillId="0" borderId="0" xfId="90" applyFont="1"/>
    <xf numFmtId="44" fontId="0" fillId="0" borderId="0" xfId="90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1" fillId="4" borderId="10" xfId="87" applyFont="1" applyFill="1" applyBorder="1" applyAlignment="1">
      <alignment horizontal="center" vertical="center"/>
    </xf>
    <xf numFmtId="44" fontId="41" fillId="0" borderId="0" xfId="19" applyNumberFormat="1" applyFont="1"/>
    <xf numFmtId="44" fontId="17" fillId="0" borderId="0" xfId="90" applyFont="1" applyBorder="1" applyAlignment="1">
      <alignment horizontal="center" vertical="center"/>
    </xf>
    <xf numFmtId="10" fontId="15" fillId="0" borderId="0" xfId="89" applyNumberFormat="1" applyFont="1"/>
    <xf numFmtId="44" fontId="15" fillId="4" borderId="0" xfId="90" applyFont="1" applyFill="1"/>
    <xf numFmtId="10" fontId="17" fillId="0" borderId="0" xfId="89" applyNumberFormat="1" applyFont="1" applyAlignment="1">
      <alignment horizontal="center" vertical="center"/>
    </xf>
    <xf numFmtId="175" fontId="15" fillId="0" borderId="10" xfId="17" applyNumberFormat="1" applyFont="1" applyBorder="1" applyAlignment="1">
      <alignment horizontal="center"/>
    </xf>
    <xf numFmtId="43" fontId="15" fillId="0" borderId="0" xfId="88" applyFont="1"/>
    <xf numFmtId="168" fontId="15" fillId="2" borderId="10" xfId="17" applyFont="1" applyFill="1" applyBorder="1" applyAlignment="1">
      <alignment horizontal="center"/>
    </xf>
    <xf numFmtId="44" fontId="14" fillId="2" borderId="10" xfId="90" applyFont="1" applyFill="1" applyBorder="1" applyAlignment="1">
      <alignment horizontal="center"/>
    </xf>
    <xf numFmtId="2" fontId="17" fillId="0" borderId="0" xfId="89" applyNumberFormat="1" applyFont="1"/>
    <xf numFmtId="44" fontId="17" fillId="9" borderId="0" xfId="19" applyNumberFormat="1" applyFont="1" applyFill="1"/>
    <xf numFmtId="14" fontId="17" fillId="9" borderId="0" xfId="89" applyNumberFormat="1" applyFont="1" applyFill="1"/>
    <xf numFmtId="168" fontId="15" fillId="2" borderId="10" xfId="17" applyFont="1" applyFill="1" applyBorder="1"/>
    <xf numFmtId="4" fontId="15" fillId="2" borderId="10" xfId="17" applyNumberFormat="1" applyFont="1" applyFill="1" applyBorder="1" applyAlignment="1">
      <alignment horizontal="center"/>
    </xf>
    <xf numFmtId="1" fontId="15" fillId="6" borderId="10" xfId="17" applyNumberFormat="1" applyFont="1" applyFill="1" applyBorder="1" applyAlignment="1">
      <alignment horizontal="center"/>
    </xf>
    <xf numFmtId="2" fontId="15" fillId="0" borderId="0" xfId="16" applyNumberFormat="1" applyFont="1"/>
    <xf numFmtId="44" fontId="17" fillId="8" borderId="0" xfId="19" applyNumberFormat="1" applyFont="1" applyFill="1"/>
    <xf numFmtId="44" fontId="15" fillId="0" borderId="0" xfId="90" applyFont="1" applyAlignment="1">
      <alignment horizontal="center"/>
    </xf>
    <xf numFmtId="168" fontId="15" fillId="0" borderId="0" xfId="17" applyFont="1" applyAlignment="1">
      <alignment horizontal="center"/>
    </xf>
    <xf numFmtId="0" fontId="17" fillId="0" borderId="0" xfId="19" applyFont="1" applyAlignment="1">
      <alignment horizontal="center"/>
    </xf>
    <xf numFmtId="2" fontId="17" fillId="0" borderId="0" xfId="19" applyNumberFormat="1" applyFont="1" applyAlignment="1">
      <alignment horizontal="center" vertical="center"/>
    </xf>
    <xf numFmtId="44" fontId="17" fillId="0" borderId="0" xfId="89" applyNumberFormat="1" applyFont="1"/>
    <xf numFmtId="44" fontId="17" fillId="0" borderId="0" xfId="19" applyNumberFormat="1" applyFont="1" applyAlignment="1">
      <alignment vertical="center"/>
    </xf>
    <xf numFmtId="171" fontId="17" fillId="0" borderId="0" xfId="19" applyNumberFormat="1" applyFont="1"/>
    <xf numFmtId="168" fontId="15" fillId="0" borderId="0" xfId="16" applyFont="1" applyAlignment="1">
      <alignment horizontal="center" vertical="center"/>
    </xf>
    <xf numFmtId="44" fontId="15" fillId="4" borderId="0" xfId="90" applyFont="1" applyFill="1" applyAlignment="1">
      <alignment horizontal="center"/>
    </xf>
    <xf numFmtId="44" fontId="15" fillId="4" borderId="3" xfId="17" applyNumberFormat="1" applyFont="1" applyFill="1" applyBorder="1" applyAlignment="1">
      <alignment horizontal="center"/>
    </xf>
    <xf numFmtId="168" fontId="44" fillId="0" borderId="10" xfId="17" applyFont="1" applyBorder="1" applyAlignment="1">
      <alignment horizontal="center"/>
    </xf>
    <xf numFmtId="4" fontId="17" fillId="6" borderId="53" xfId="19" applyNumberFormat="1" applyFont="1" applyFill="1" applyBorder="1" applyAlignment="1">
      <alignment horizontal="center"/>
    </xf>
    <xf numFmtId="4" fontId="17" fillId="6" borderId="54" xfId="19" applyNumberFormat="1" applyFont="1" applyFill="1" applyBorder="1" applyAlignment="1">
      <alignment horizontal="center"/>
    </xf>
    <xf numFmtId="171" fontId="17" fillId="2" borderId="45" xfId="19" applyNumberFormat="1" applyFont="1" applyFill="1" applyBorder="1" applyAlignment="1">
      <alignment horizontal="center" vertical="center"/>
    </xf>
    <xf numFmtId="1" fontId="17" fillId="0" borderId="45" xfId="19" applyNumberFormat="1" applyFont="1" applyBorder="1" applyAlignment="1">
      <alignment horizontal="center" vertical="center"/>
    </xf>
    <xf numFmtId="0" fontId="17" fillId="2" borderId="45" xfId="19" applyFont="1" applyFill="1" applyBorder="1" applyAlignment="1">
      <alignment horizontal="center" vertical="center"/>
    </xf>
    <xf numFmtId="0" fontId="36" fillId="0" borderId="6" xfId="19" applyFont="1" applyBorder="1"/>
    <xf numFmtId="0" fontId="36" fillId="0" borderId="10" xfId="19" applyFont="1" applyBorder="1" applyAlignment="1">
      <alignment horizontal="center"/>
    </xf>
    <xf numFmtId="44" fontId="36" fillId="0" borderId="56" xfId="90" applyFont="1" applyBorder="1"/>
    <xf numFmtId="44" fontId="36" fillId="0" borderId="10" xfId="19" applyNumberFormat="1" applyFont="1" applyBorder="1" applyAlignment="1">
      <alignment horizontal="center"/>
    </xf>
    <xf numFmtId="0" fontId="36" fillId="0" borderId="57" xfId="19" applyFont="1" applyBorder="1"/>
    <xf numFmtId="44" fontId="36" fillId="0" borderId="58" xfId="19" applyNumberFormat="1" applyFont="1" applyBorder="1"/>
    <xf numFmtId="44" fontId="18" fillId="0" borderId="59" xfId="90" applyFont="1" applyBorder="1"/>
    <xf numFmtId="2" fontId="15" fillId="0" borderId="0" xfId="90" applyNumberFormat="1" applyFont="1"/>
    <xf numFmtId="2" fontId="15" fillId="9" borderId="0" xfId="16" applyNumberFormat="1" applyFont="1" applyFill="1"/>
    <xf numFmtId="44" fontId="36" fillId="8" borderId="23" xfId="90" applyFont="1" applyFill="1" applyBorder="1"/>
    <xf numFmtId="44" fontId="15" fillId="9" borderId="0" xfId="90" applyFont="1" applyFill="1"/>
    <xf numFmtId="44" fontId="14" fillId="4" borderId="0" xfId="90" applyFont="1" applyFill="1"/>
    <xf numFmtId="44" fontId="14" fillId="4" borderId="0" xfId="90" applyFont="1" applyFill="1" applyAlignment="1">
      <alignment wrapText="1"/>
    </xf>
    <xf numFmtId="43" fontId="14" fillId="4" borderId="0" xfId="16" applyNumberFormat="1" applyFont="1" applyFill="1"/>
    <xf numFmtId="44" fontId="35" fillId="8" borderId="0" xfId="90" applyFont="1" applyFill="1" applyAlignment="1">
      <alignment horizontal="center" vertical="center"/>
    </xf>
    <xf numFmtId="44" fontId="15" fillId="4" borderId="0" xfId="90" applyFont="1" applyFill="1" applyBorder="1" applyAlignment="1">
      <alignment horizontal="center"/>
    </xf>
    <xf numFmtId="0" fontId="15" fillId="4" borderId="0" xfId="16" applyNumberFormat="1" applyFont="1" applyFill="1" applyAlignment="1">
      <alignment horizontal="center"/>
    </xf>
    <xf numFmtId="14" fontId="15" fillId="4" borderId="0" xfId="90" applyNumberFormat="1" applyFont="1" applyFill="1" applyBorder="1" applyAlignment="1">
      <alignment horizontal="center"/>
    </xf>
    <xf numFmtId="14" fontId="15" fillId="0" borderId="0" xfId="90" applyNumberFormat="1" applyFont="1" applyBorder="1" applyAlignment="1">
      <alignment horizontal="center"/>
    </xf>
    <xf numFmtId="14" fontId="15" fillId="0" borderId="0" xfId="16" applyNumberFormat="1" applyFont="1"/>
    <xf numFmtId="14" fontId="15" fillId="0" borderId="0" xfId="17" applyNumberFormat="1" applyFont="1"/>
    <xf numFmtId="14" fontId="15" fillId="0" borderId="0" xfId="90" applyNumberFormat="1" applyFont="1"/>
    <xf numFmtId="44" fontId="15" fillId="4" borderId="3" xfId="90" applyFont="1" applyFill="1" applyBorder="1" applyAlignment="1">
      <alignment horizontal="center"/>
    </xf>
    <xf numFmtId="44" fontId="14" fillId="4" borderId="3" xfId="90" applyFont="1" applyFill="1" applyBorder="1" applyAlignment="1">
      <alignment horizontal="center"/>
    </xf>
    <xf numFmtId="44" fontId="14" fillId="4" borderId="3" xfId="17" applyNumberFormat="1" applyFont="1" applyFill="1" applyBorder="1" applyAlignment="1">
      <alignment horizontal="center"/>
    </xf>
    <xf numFmtId="0" fontId="15" fillId="4" borderId="3" xfId="17" quotePrefix="1" applyNumberFormat="1" applyFont="1" applyFill="1" applyBorder="1" applyAlignment="1">
      <alignment horizontal="center"/>
    </xf>
    <xf numFmtId="44" fontId="14" fillId="6" borderId="10" xfId="90" applyFont="1" applyFill="1" applyBorder="1" applyAlignment="1">
      <alignment horizontal="center"/>
    </xf>
    <xf numFmtId="0" fontId="16" fillId="2" borderId="27" xfId="19" applyFont="1" applyFill="1" applyBorder="1" applyAlignment="1">
      <alignment horizontal="center"/>
    </xf>
    <xf numFmtId="0" fontId="16" fillId="2" borderId="25" xfId="19" applyFont="1" applyFill="1" applyBorder="1" applyAlignment="1">
      <alignment horizontal="center"/>
    </xf>
    <xf numFmtId="171" fontId="16" fillId="0" borderId="0" xfId="19" applyNumberFormat="1" applyFont="1" applyAlignment="1">
      <alignment horizontal="center"/>
    </xf>
    <xf numFmtId="0" fontId="1" fillId="0" borderId="0" xfId="87" applyFont="1" applyAlignment="1">
      <alignment horizontal="center" vertical="center"/>
    </xf>
    <xf numFmtId="0" fontId="1" fillId="4" borderId="10" xfId="87" applyFont="1" applyFill="1" applyBorder="1" applyAlignment="1">
      <alignment horizontal="center" vertical="center" wrapText="1"/>
    </xf>
    <xf numFmtId="0" fontId="1" fillId="10" borderId="0" xfId="87" applyFont="1" applyFill="1" applyAlignment="1">
      <alignment horizontal="center" vertical="center"/>
    </xf>
    <xf numFmtId="170" fontId="15" fillId="0" borderId="10" xfId="80" applyNumberFormat="1" applyFont="1" applyFill="1" applyBorder="1" applyAlignment="1">
      <alignment horizontal="center"/>
    </xf>
    <xf numFmtId="168" fontId="15" fillId="0" borderId="60" xfId="17" applyFont="1" applyBorder="1" applyAlignment="1">
      <alignment horizontal="center"/>
    </xf>
    <xf numFmtId="168" fontId="15" fillId="6" borderId="60" xfId="17" applyFont="1" applyFill="1" applyBorder="1" applyAlignment="1">
      <alignment horizontal="center"/>
    </xf>
    <xf numFmtId="1" fontId="15" fillId="6" borderId="60" xfId="17" applyNumberFormat="1" applyFont="1" applyFill="1" applyBorder="1" applyAlignment="1">
      <alignment horizontal="center"/>
    </xf>
    <xf numFmtId="1" fontId="15" fillId="0" borderId="60" xfId="17" applyNumberFormat="1" applyFont="1" applyBorder="1" applyAlignment="1">
      <alignment horizontal="center"/>
    </xf>
    <xf numFmtId="170" fontId="15" fillId="0" borderId="60" xfId="17" applyNumberFormat="1" applyFont="1" applyBorder="1" applyAlignment="1">
      <alignment horizontal="center"/>
    </xf>
    <xf numFmtId="170" fontId="15" fillId="0" borderId="60" xfId="88" applyNumberFormat="1" applyFont="1" applyFill="1" applyBorder="1" applyAlignment="1">
      <alignment horizontal="center"/>
    </xf>
    <xf numFmtId="168" fontId="15" fillId="2" borderId="60" xfId="17" applyFont="1" applyFill="1" applyBorder="1" applyAlignment="1">
      <alignment horizontal="center"/>
    </xf>
    <xf numFmtId="44" fontId="14" fillId="2" borderId="60" xfId="90" applyFont="1" applyFill="1" applyBorder="1" applyAlignment="1">
      <alignment horizontal="center"/>
    </xf>
    <xf numFmtId="170" fontId="15" fillId="0" borderId="60" xfId="80" applyNumberFormat="1" applyFont="1" applyFill="1" applyBorder="1" applyAlignment="1">
      <alignment horizontal="center"/>
    </xf>
    <xf numFmtId="175" fontId="15" fillId="0" borderId="60" xfId="17" applyNumberFormat="1" applyFont="1" applyBorder="1" applyAlignment="1">
      <alignment horizontal="center"/>
    </xf>
    <xf numFmtId="175" fontId="15" fillId="0" borderId="0" xfId="16" applyNumberFormat="1" applyFont="1" applyAlignment="1">
      <alignment horizontal="center"/>
    </xf>
    <xf numFmtId="1" fontId="15" fillId="0" borderId="60" xfId="16" applyNumberFormat="1" applyFont="1" applyBorder="1" applyAlignment="1">
      <alignment horizontal="center"/>
    </xf>
    <xf numFmtId="168" fontId="15" fillId="0" borderId="60" xfId="16" applyFont="1" applyBorder="1" applyAlignment="1">
      <alignment horizontal="center"/>
    </xf>
    <xf numFmtId="168" fontId="15" fillId="0" borderId="0" xfId="17" applyFont="1" applyAlignment="1">
      <alignment horizontal="center" vertical="center"/>
    </xf>
    <xf numFmtId="168" fontId="15" fillId="0" borderId="3" xfId="17" applyFont="1" applyBorder="1"/>
    <xf numFmtId="1" fontId="45" fillId="0" borderId="9" xfId="0" quotePrefix="1" applyNumberFormat="1" applyFont="1" applyBorder="1" applyAlignment="1">
      <alignment horizontal="center" vertical="center"/>
    </xf>
    <xf numFmtId="168" fontId="15" fillId="0" borderId="3" xfId="17" applyFont="1" applyBorder="1" applyAlignment="1">
      <alignment horizontal="center" vertical="center"/>
    </xf>
    <xf numFmtId="1" fontId="15" fillId="0" borderId="0" xfId="17" applyNumberFormat="1" applyFont="1" applyAlignment="1">
      <alignment horizontal="center"/>
    </xf>
    <xf numFmtId="168" fontId="15" fillId="0" borderId="0" xfId="17" applyFont="1" applyAlignment="1">
      <alignment horizontal="right"/>
    </xf>
    <xf numFmtId="44" fontId="15" fillId="0" borderId="0" xfId="90" applyFont="1" applyAlignment="1">
      <alignment horizontal="center" vertical="center"/>
    </xf>
    <xf numFmtId="44" fontId="15" fillId="0" borderId="0" xfId="89" applyNumberFormat="1" applyFont="1" applyAlignment="1">
      <alignment horizontal="center" vertical="center"/>
    </xf>
    <xf numFmtId="10" fontId="15" fillId="0" borderId="0" xfId="89" applyNumberFormat="1" applyFont="1" applyAlignment="1">
      <alignment horizontal="center" vertical="center"/>
    </xf>
    <xf numFmtId="1" fontId="18" fillId="2" borderId="4" xfId="16" applyNumberFormat="1" applyFont="1" applyFill="1" applyBorder="1" applyAlignment="1">
      <alignment horizontal="center" wrapText="1"/>
    </xf>
    <xf numFmtId="1" fontId="18" fillId="2" borderId="19" xfId="16" applyNumberFormat="1" applyFont="1" applyFill="1" applyBorder="1" applyAlignment="1">
      <alignment horizontal="center" wrapText="1"/>
    </xf>
    <xf numFmtId="170" fontId="18" fillId="2" borderId="19" xfId="88" applyNumberFormat="1" applyFont="1" applyFill="1" applyBorder="1" applyAlignment="1">
      <alignment vertical="top"/>
    </xf>
    <xf numFmtId="170" fontId="18" fillId="2" borderId="20" xfId="88" applyNumberFormat="1" applyFont="1" applyFill="1" applyBorder="1" applyAlignment="1">
      <alignment vertical="top"/>
    </xf>
    <xf numFmtId="175" fontId="18" fillId="2" borderId="5" xfId="16" applyNumberFormat="1" applyFont="1" applyFill="1" applyBorder="1" applyAlignment="1">
      <alignment horizontal="center"/>
    </xf>
    <xf numFmtId="44" fontId="18" fillId="2" borderId="5" xfId="90" applyFont="1" applyFill="1" applyBorder="1" applyAlignment="1">
      <alignment horizontal="center"/>
    </xf>
    <xf numFmtId="168" fontId="18" fillId="2" borderId="31" xfId="16" applyFont="1" applyFill="1" applyBorder="1"/>
    <xf numFmtId="168" fontId="18" fillId="2" borderId="0" xfId="16" applyFont="1" applyFill="1"/>
    <xf numFmtId="168" fontId="18" fillId="2" borderId="0" xfId="16" applyFont="1" applyFill="1" applyAlignment="1">
      <alignment horizontal="center" vertical="center"/>
    </xf>
    <xf numFmtId="168" fontId="18" fillId="2" borderId="48" xfId="16" applyFont="1" applyFill="1" applyBorder="1" applyAlignment="1">
      <alignment horizontal="center" vertical="center"/>
    </xf>
    <xf numFmtId="44" fontId="18" fillId="2" borderId="50" xfId="90" applyFont="1" applyFill="1" applyBorder="1" applyAlignment="1">
      <alignment horizontal="center" vertical="center"/>
    </xf>
    <xf numFmtId="168" fontId="18" fillId="2" borderId="50" xfId="16" applyFont="1" applyFill="1" applyBorder="1" applyAlignment="1">
      <alignment horizontal="center" vertical="center" wrapText="1"/>
    </xf>
    <xf numFmtId="168" fontId="18" fillId="2" borderId="0" xfId="16" applyFont="1" applyFill="1" applyAlignment="1">
      <alignment horizontal="center" vertical="center" wrapText="1"/>
    </xf>
    <xf numFmtId="168" fontId="36" fillId="0" borderId="0" xfId="16" applyFont="1" applyAlignment="1">
      <alignment horizontal="center" vertical="center"/>
    </xf>
    <xf numFmtId="0" fontId="40" fillId="0" borderId="0" xfId="19" applyFont="1"/>
    <xf numFmtId="1" fontId="45" fillId="0" borderId="62" xfId="0" quotePrefix="1" applyNumberFormat="1" applyFont="1" applyBorder="1" applyAlignment="1">
      <alignment horizontal="center" vertical="center"/>
    </xf>
    <xf numFmtId="168" fontId="15" fillId="0" borderId="49" xfId="17" applyFont="1" applyBorder="1"/>
    <xf numFmtId="168" fontId="15" fillId="0" borderId="49" xfId="17" applyFont="1" applyBorder="1" applyAlignment="1">
      <alignment horizontal="center" vertical="center"/>
    </xf>
    <xf numFmtId="44" fontId="46" fillId="0" borderId="63" xfId="90" applyFont="1" applyBorder="1" applyAlignment="1" applyProtection="1">
      <alignment horizontal="center" vertical="center"/>
      <protection locked="0"/>
    </xf>
    <xf numFmtId="168" fontId="15" fillId="11" borderId="46" xfId="17" applyFont="1" applyFill="1" applyBorder="1" applyAlignment="1">
      <alignment horizontal="center" vertical="center"/>
    </xf>
    <xf numFmtId="44" fontId="15" fillId="11" borderId="46" xfId="90" applyFont="1" applyFill="1" applyBorder="1" applyAlignment="1">
      <alignment horizontal="center" vertical="center"/>
    </xf>
    <xf numFmtId="168" fontId="15" fillId="11" borderId="46" xfId="16" applyFont="1" applyFill="1" applyBorder="1" applyAlignment="1">
      <alignment horizontal="center" vertical="center"/>
    </xf>
    <xf numFmtId="171" fontId="15" fillId="0" borderId="0" xfId="17" applyNumberFormat="1" applyFont="1" applyAlignment="1">
      <alignment horizontal="center" vertical="center"/>
    </xf>
    <xf numFmtId="44" fontId="15" fillId="0" borderId="0" xfId="17" applyNumberFormat="1" applyFont="1" applyAlignment="1">
      <alignment horizontal="center" vertical="center"/>
    </xf>
    <xf numFmtId="1" fontId="45" fillId="9" borderId="61" xfId="0" quotePrefix="1" applyNumberFormat="1" applyFont="1" applyFill="1" applyBorder="1" applyAlignment="1">
      <alignment horizontal="center" vertical="center"/>
    </xf>
    <xf numFmtId="168" fontId="15" fillId="9" borderId="60" xfId="17" applyFont="1" applyFill="1" applyBorder="1" applyAlignment="1">
      <alignment horizontal="center" vertical="center"/>
    </xf>
    <xf numFmtId="43" fontId="45" fillId="9" borderId="60" xfId="80" applyFont="1" applyFill="1" applyBorder="1" applyAlignment="1" applyProtection="1">
      <alignment horizontal="left" vertical="center"/>
      <protection locked="0"/>
    </xf>
    <xf numFmtId="43" fontId="45" fillId="9" borderId="60" xfId="80" applyFont="1" applyFill="1" applyBorder="1" applyAlignment="1" applyProtection="1">
      <alignment horizontal="center" vertical="center"/>
      <protection locked="0"/>
    </xf>
    <xf numFmtId="168" fontId="15" fillId="9" borderId="60" xfId="17" applyFont="1" applyFill="1" applyBorder="1"/>
    <xf numFmtId="168" fontId="47" fillId="13" borderId="46" xfId="16" applyFont="1" applyFill="1" applyBorder="1" applyAlignment="1">
      <alignment horizontal="center" vertical="center"/>
    </xf>
    <xf numFmtId="168" fontId="47" fillId="13" borderId="46" xfId="17" applyFont="1" applyFill="1" applyBorder="1" applyAlignment="1">
      <alignment horizontal="center" vertical="center"/>
    </xf>
    <xf numFmtId="44" fontId="47" fillId="13" borderId="46" xfId="90" applyFont="1" applyFill="1" applyBorder="1" applyAlignment="1">
      <alignment horizontal="center" vertical="center"/>
    </xf>
    <xf numFmtId="1" fontId="15" fillId="11" borderId="44" xfId="17" applyNumberFormat="1" applyFont="1" applyFill="1" applyBorder="1" applyAlignment="1">
      <alignment horizontal="center" vertical="center"/>
    </xf>
    <xf numFmtId="44" fontId="46" fillId="9" borderId="60" xfId="90" applyFont="1" applyFill="1" applyBorder="1" applyAlignment="1" applyProtection="1">
      <alignment horizontal="center" vertical="center"/>
      <protection locked="0"/>
    </xf>
    <xf numFmtId="1" fontId="47" fillId="13" borderId="46" xfId="17" applyNumberFormat="1" applyFont="1" applyFill="1" applyBorder="1" applyAlignment="1">
      <alignment horizontal="center" vertical="center"/>
    </xf>
    <xf numFmtId="1" fontId="48" fillId="12" borderId="60" xfId="0" quotePrefix="1" applyNumberFormat="1" applyFont="1" applyFill="1" applyBorder="1" applyAlignment="1">
      <alignment horizontal="center" vertical="center"/>
    </xf>
    <xf numFmtId="168" fontId="47" fillId="12" borderId="60" xfId="17" applyFont="1" applyFill="1" applyBorder="1" applyAlignment="1">
      <alignment horizontal="center" vertical="center"/>
    </xf>
    <xf numFmtId="43" fontId="48" fillId="12" borderId="60" xfId="80" applyFont="1" applyFill="1" applyBorder="1" applyAlignment="1" applyProtection="1">
      <alignment horizontal="center" vertical="center"/>
      <protection locked="0"/>
    </xf>
    <xf numFmtId="44" fontId="48" fillId="12" borderId="60" xfId="90" applyFont="1" applyFill="1" applyBorder="1" applyAlignment="1" applyProtection="1">
      <alignment horizontal="center" vertical="center"/>
      <protection locked="0"/>
    </xf>
    <xf numFmtId="44" fontId="15" fillId="0" borderId="3" xfId="90" applyFont="1" applyBorder="1" applyAlignment="1">
      <alignment horizontal="center" vertical="center"/>
    </xf>
    <xf numFmtId="44" fontId="46" fillId="0" borderId="0" xfId="90" applyFont="1" applyBorder="1" applyAlignment="1" applyProtection="1">
      <alignment horizontal="center" vertical="center"/>
      <protection locked="0"/>
    </xf>
    <xf numFmtId="44" fontId="47" fillId="11" borderId="46" xfId="90" applyFont="1" applyFill="1" applyBorder="1" applyAlignment="1">
      <alignment horizontal="center" vertical="center"/>
    </xf>
    <xf numFmtId="0" fontId="17" fillId="0" borderId="0" xfId="19" applyFont="1" applyAlignment="1">
      <alignment horizontal="center"/>
    </xf>
    <xf numFmtId="0" fontId="17" fillId="0" borderId="10" xfId="19" applyFont="1" applyBorder="1" applyAlignment="1">
      <alignment horizontal="center" vertical="center"/>
    </xf>
    <xf numFmtId="0" fontId="17" fillId="0" borderId="0" xfId="19" applyFont="1" applyAlignment="1">
      <alignment horizontal="center" vertical="center"/>
    </xf>
    <xf numFmtId="44" fontId="17" fillId="0" borderId="21" xfId="19" applyNumberFormat="1" applyFont="1" applyBorder="1" applyAlignment="1">
      <alignment horizontal="center" vertical="center"/>
    </xf>
    <xf numFmtId="0" fontId="17" fillId="0" borderId="21" xfId="19" applyFont="1" applyBorder="1" applyAlignment="1">
      <alignment horizontal="center" vertical="center"/>
    </xf>
    <xf numFmtId="0" fontId="18" fillId="0" borderId="0" xfId="19" applyFont="1" applyAlignment="1">
      <alignment horizontal="center" vertical="center"/>
    </xf>
    <xf numFmtId="0" fontId="18" fillId="3" borderId="7" xfId="19" applyFont="1" applyFill="1" applyBorder="1" applyAlignment="1">
      <alignment horizontal="center" vertical="center"/>
    </xf>
    <xf numFmtId="0" fontId="18" fillId="3" borderId="22" xfId="19" applyFont="1" applyFill="1" applyBorder="1" applyAlignment="1">
      <alignment horizontal="center" vertical="center"/>
    </xf>
    <xf numFmtId="0" fontId="18" fillId="3" borderId="8" xfId="19" applyFont="1" applyFill="1" applyBorder="1" applyAlignment="1">
      <alignment horizontal="center" vertical="center"/>
    </xf>
    <xf numFmtId="0" fontId="16" fillId="2" borderId="21" xfId="19" applyFont="1" applyFill="1" applyBorder="1" applyAlignment="1">
      <alignment horizontal="center"/>
    </xf>
    <xf numFmtId="0" fontId="16" fillId="2" borderId="0" xfId="19" applyFont="1" applyFill="1" applyAlignment="1">
      <alignment horizontal="center"/>
    </xf>
    <xf numFmtId="0" fontId="16" fillId="2" borderId="23" xfId="19" applyFont="1" applyFill="1" applyBorder="1" applyAlignment="1">
      <alignment horizontal="center"/>
    </xf>
    <xf numFmtId="0" fontId="37" fillId="0" borderId="38" xfId="19" applyFont="1" applyBorder="1" applyAlignment="1">
      <alignment horizontal="center"/>
    </xf>
    <xf numFmtId="0" fontId="37" fillId="0" borderId="39" xfId="19" applyFont="1" applyBorder="1" applyAlignment="1">
      <alignment horizontal="center"/>
    </xf>
    <xf numFmtId="0" fontId="36" fillId="0" borderId="32" xfId="19" applyFont="1" applyBorder="1" applyAlignment="1">
      <alignment horizontal="center"/>
    </xf>
    <xf numFmtId="0" fontId="36" fillId="0" borderId="33" xfId="19" applyFont="1" applyBorder="1" applyAlignment="1">
      <alignment horizontal="center"/>
    </xf>
    <xf numFmtId="0" fontId="36" fillId="0" borderId="34" xfId="19" applyFont="1" applyBorder="1" applyAlignment="1">
      <alignment horizontal="center"/>
    </xf>
    <xf numFmtId="0" fontId="18" fillId="0" borderId="4" xfId="19" applyFont="1" applyBorder="1" applyAlignment="1">
      <alignment horizontal="center" vertical="center"/>
    </xf>
    <xf numFmtId="0" fontId="18" fillId="0" borderId="5" xfId="19" applyFont="1" applyBorder="1" applyAlignment="1">
      <alignment horizontal="center" vertical="center"/>
    </xf>
    <xf numFmtId="0" fontId="18" fillId="0" borderId="55" xfId="19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5" fillId="7" borderId="15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22" fillId="7" borderId="15" xfId="0" applyFont="1" applyFill="1" applyBorder="1" applyAlignment="1">
      <alignment horizontal="center" vertical="center"/>
    </xf>
    <xf numFmtId="0" fontId="22" fillId="7" borderId="16" xfId="0" applyFont="1" applyFill="1" applyBorder="1" applyAlignment="1">
      <alignment horizontal="center" vertical="center"/>
    </xf>
    <xf numFmtId="0" fontId="22" fillId="7" borderId="1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3" fillId="0" borderId="11" xfId="0" applyFont="1" applyBorder="1" applyAlignment="1">
      <alignment horizontal="center" vertical="center"/>
    </xf>
    <xf numFmtId="168" fontId="35" fillId="4" borderId="0" xfId="16" applyFont="1" applyFill="1" applyAlignment="1">
      <alignment horizontal="right" vertical="center"/>
    </xf>
    <xf numFmtId="168" fontId="14" fillId="2" borderId="0" xfId="16" applyFont="1" applyFill="1" applyAlignment="1">
      <alignment horizontal="center" vertical="center"/>
    </xf>
    <xf numFmtId="175" fontId="35" fillId="4" borderId="0" xfId="16" applyNumberFormat="1" applyFont="1" applyFill="1" applyAlignment="1">
      <alignment horizontal="right" vertical="center"/>
    </xf>
    <xf numFmtId="1" fontId="38" fillId="0" borderId="0" xfId="16" applyNumberFormat="1" applyFont="1" applyAlignment="1">
      <alignment horizontal="center" vertical="center"/>
    </xf>
    <xf numFmtId="44" fontId="15" fillId="4" borderId="0" xfId="90" applyFont="1" applyFill="1" applyAlignment="1">
      <alignment horizontal="center"/>
    </xf>
    <xf numFmtId="0" fontId="1" fillId="4" borderId="0" xfId="87" applyFont="1" applyFill="1" applyAlignment="1">
      <alignment horizontal="left" vertical="center" wrapText="1"/>
    </xf>
    <xf numFmtId="0" fontId="25" fillId="4" borderId="0" xfId="87" applyFont="1" applyFill="1" applyAlignment="1">
      <alignment horizontal="center" vertical="center"/>
    </xf>
    <xf numFmtId="0" fontId="2" fillId="4" borderId="0" xfId="87" applyFill="1" applyAlignment="1">
      <alignment horizontal="left" vertical="center" wrapText="1"/>
    </xf>
    <xf numFmtId="0" fontId="24" fillId="5" borderId="13" xfId="87" applyFont="1" applyFill="1" applyBorder="1" applyAlignment="1">
      <alignment horizontal="center" vertical="center"/>
    </xf>
    <xf numFmtId="0" fontId="24" fillId="5" borderId="11" xfId="87" applyFont="1" applyFill="1" applyBorder="1" applyAlignment="1">
      <alignment horizontal="center" vertical="center"/>
    </xf>
    <xf numFmtId="0" fontId="1" fillId="4" borderId="17" xfId="87" applyFont="1" applyFill="1" applyBorder="1" applyAlignment="1">
      <alignment horizontal="center" vertical="center"/>
    </xf>
    <xf numFmtId="0" fontId="1" fillId="4" borderId="47" xfId="87" applyFont="1" applyFill="1" applyBorder="1" applyAlignment="1">
      <alignment horizontal="center" vertical="center"/>
    </xf>
    <xf numFmtId="0" fontId="1" fillId="4" borderId="46" xfId="87" applyFont="1" applyFill="1" applyBorder="1" applyAlignment="1">
      <alignment horizontal="center" vertical="center"/>
    </xf>
    <xf numFmtId="44" fontId="1" fillId="4" borderId="17" xfId="90" applyFont="1" applyFill="1" applyBorder="1" applyAlignment="1">
      <alignment horizontal="center" vertical="center"/>
    </xf>
    <xf numFmtId="44" fontId="1" fillId="4" borderId="47" xfId="90" applyFont="1" applyFill="1" applyBorder="1" applyAlignment="1">
      <alignment horizontal="center" vertical="center"/>
    </xf>
    <xf numFmtId="44" fontId="1" fillId="4" borderId="46" xfId="9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5" borderId="15" xfId="0" applyFont="1" applyFill="1" applyBorder="1" applyAlignment="1">
      <alignment horizontal="center" vertical="center"/>
    </xf>
    <xf numFmtId="0" fontId="22" fillId="5" borderId="16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center" vertical="center"/>
    </xf>
  </cellXfs>
  <cellStyles count="91">
    <cellStyle name="Cancel" xfId="1" xr:uid="{00000000-0005-0000-0000-000000000000}"/>
    <cellStyle name="Indefinido" xfId="2" xr:uid="{00000000-0005-0000-0000-000001000000}"/>
    <cellStyle name="material" xfId="3" xr:uid="{00000000-0005-0000-0000-000002000000}"/>
    <cellStyle name="Moeda" xfId="90" builtinId="4"/>
    <cellStyle name="Moeda 2" xfId="4" xr:uid="{00000000-0005-0000-0000-000003000000}"/>
    <cellStyle name="Moeda 2 2" xfId="5" xr:uid="{00000000-0005-0000-0000-000004000000}"/>
    <cellStyle name="Moeda 2 2 2" xfId="6" xr:uid="{00000000-0005-0000-0000-000005000000}"/>
    <cellStyle name="Moeda 2 3" xfId="7" xr:uid="{00000000-0005-0000-0000-000006000000}"/>
    <cellStyle name="Moeda 2 4" xfId="8" xr:uid="{00000000-0005-0000-0000-000007000000}"/>
    <cellStyle name="Moeda 3" xfId="9" xr:uid="{00000000-0005-0000-0000-000008000000}"/>
    <cellStyle name="Moeda 4" xfId="10" xr:uid="{00000000-0005-0000-0000-000009000000}"/>
    <cellStyle name="Moeda 5" xfId="11" xr:uid="{00000000-0005-0000-0000-00000A000000}"/>
    <cellStyle name="Normal" xfId="0" builtinId="0"/>
    <cellStyle name="Normal 10" xfId="12" xr:uid="{00000000-0005-0000-0000-00000C000000}"/>
    <cellStyle name="Normal 10 2" xfId="13" xr:uid="{00000000-0005-0000-0000-00000D000000}"/>
    <cellStyle name="Normal 10 2 2" xfId="83" xr:uid="{00000000-0005-0000-0000-00000E000000}"/>
    <cellStyle name="Normal 10 3" xfId="82" xr:uid="{00000000-0005-0000-0000-00000F000000}"/>
    <cellStyle name="Normal 10_GERAL FNS_MAI_CT 1026" xfId="14" xr:uid="{00000000-0005-0000-0000-000010000000}"/>
    <cellStyle name="Normal 11" xfId="15" xr:uid="{00000000-0005-0000-0000-000011000000}"/>
    <cellStyle name="Normal 11 2" xfId="84" xr:uid="{00000000-0005-0000-0000-000012000000}"/>
    <cellStyle name="Normal 12" xfId="87" xr:uid="{3994BB4E-BA96-48D8-8302-9F8E4867CE79}"/>
    <cellStyle name="Normal 2" xfId="16" xr:uid="{00000000-0005-0000-0000-000013000000}"/>
    <cellStyle name="Normal 2 2" xfId="17" xr:uid="{00000000-0005-0000-0000-000014000000}"/>
    <cellStyle name="Normal 2 2 2" xfId="18" xr:uid="{00000000-0005-0000-0000-000015000000}"/>
    <cellStyle name="Normal 3" xfId="19" xr:uid="{00000000-0005-0000-0000-000016000000}"/>
    <cellStyle name="Normal 3 2" xfId="20" xr:uid="{00000000-0005-0000-0000-000017000000}"/>
    <cellStyle name="Normal 4" xfId="21" xr:uid="{00000000-0005-0000-0000-000018000000}"/>
    <cellStyle name="Normal 43" xfId="22" xr:uid="{00000000-0005-0000-0000-000019000000}"/>
    <cellStyle name="Normal 5" xfId="23" xr:uid="{00000000-0005-0000-0000-00001A000000}"/>
    <cellStyle name="Normal 5 2" xfId="24" xr:uid="{00000000-0005-0000-0000-00001B000000}"/>
    <cellStyle name="Normal 53" xfId="25" xr:uid="{00000000-0005-0000-0000-00001C000000}"/>
    <cellStyle name="Normal 6" xfId="26" xr:uid="{00000000-0005-0000-0000-00001D000000}"/>
    <cellStyle name="Normal 7" xfId="27" xr:uid="{00000000-0005-0000-0000-00001E000000}"/>
    <cellStyle name="Normal 7 11" xfId="28" xr:uid="{00000000-0005-0000-0000-00001F000000}"/>
    <cellStyle name="Normal 7 12" xfId="29" xr:uid="{00000000-0005-0000-0000-000020000000}"/>
    <cellStyle name="Normal 7 13" xfId="30" xr:uid="{00000000-0005-0000-0000-000021000000}"/>
    <cellStyle name="Normal 7 15" xfId="31" xr:uid="{00000000-0005-0000-0000-000022000000}"/>
    <cellStyle name="Normal 7 16" xfId="32" xr:uid="{00000000-0005-0000-0000-000023000000}"/>
    <cellStyle name="Normal 7 17" xfId="33" xr:uid="{00000000-0005-0000-0000-000024000000}"/>
    <cellStyle name="Normal 7 18" xfId="34" xr:uid="{00000000-0005-0000-0000-000025000000}"/>
    <cellStyle name="Normal 7 19" xfId="35" xr:uid="{00000000-0005-0000-0000-000026000000}"/>
    <cellStyle name="Normal 7 2" xfId="36" xr:uid="{00000000-0005-0000-0000-000027000000}"/>
    <cellStyle name="Normal 7 20" xfId="37" xr:uid="{00000000-0005-0000-0000-000028000000}"/>
    <cellStyle name="Normal 7 21" xfId="38" xr:uid="{00000000-0005-0000-0000-000029000000}"/>
    <cellStyle name="Normal 7 22" xfId="39" xr:uid="{00000000-0005-0000-0000-00002A000000}"/>
    <cellStyle name="Normal 7 23" xfId="40" xr:uid="{00000000-0005-0000-0000-00002B000000}"/>
    <cellStyle name="Normal 7 25" xfId="41" xr:uid="{00000000-0005-0000-0000-00002C000000}"/>
    <cellStyle name="Normal 7 26" xfId="42" xr:uid="{00000000-0005-0000-0000-00002D000000}"/>
    <cellStyle name="Normal 7 27" xfId="43" xr:uid="{00000000-0005-0000-0000-00002E000000}"/>
    <cellStyle name="Normal 7 29" xfId="44" xr:uid="{00000000-0005-0000-0000-00002F000000}"/>
    <cellStyle name="Normal 7 3" xfId="45" xr:uid="{00000000-0005-0000-0000-000030000000}"/>
    <cellStyle name="Normal 7 30" xfId="46" xr:uid="{00000000-0005-0000-0000-000031000000}"/>
    <cellStyle name="Normal 7 31" xfId="47" xr:uid="{00000000-0005-0000-0000-000032000000}"/>
    <cellStyle name="Normal 7 32" xfId="48" xr:uid="{00000000-0005-0000-0000-000033000000}"/>
    <cellStyle name="Normal 7 33" xfId="49" xr:uid="{00000000-0005-0000-0000-000034000000}"/>
    <cellStyle name="Normal 7 4" xfId="50" xr:uid="{00000000-0005-0000-0000-000035000000}"/>
    <cellStyle name="Normal 7 5" xfId="51" xr:uid="{00000000-0005-0000-0000-000036000000}"/>
    <cellStyle name="Normal 7 6" xfId="52" xr:uid="{00000000-0005-0000-0000-000037000000}"/>
    <cellStyle name="Normal 7 7" xfId="53" xr:uid="{00000000-0005-0000-0000-000038000000}"/>
    <cellStyle name="Normal 7 8" xfId="54" xr:uid="{00000000-0005-0000-0000-000039000000}"/>
    <cellStyle name="Normal 7 9" xfId="55" xr:uid="{00000000-0005-0000-0000-00003A000000}"/>
    <cellStyle name="Normal 8" xfId="56" xr:uid="{00000000-0005-0000-0000-00003B000000}"/>
    <cellStyle name="Normal 9" xfId="57" xr:uid="{00000000-0005-0000-0000-00003C000000}"/>
    <cellStyle name="Normal 9 2" xfId="58" xr:uid="{00000000-0005-0000-0000-00003D000000}"/>
    <cellStyle name="Normal 9 2 2" xfId="86" xr:uid="{00000000-0005-0000-0000-00003E000000}"/>
    <cellStyle name="Normal 9 3" xfId="85" xr:uid="{00000000-0005-0000-0000-00003F000000}"/>
    <cellStyle name="Normal 9_GERAL FNS_MAI_CT 1026" xfId="59" xr:uid="{00000000-0005-0000-0000-000040000000}"/>
    <cellStyle name="Porcentagem" xfId="89" builtinId="5"/>
    <cellStyle name="Porcentagem 2" xfId="60" xr:uid="{00000000-0005-0000-0000-000041000000}"/>
    <cellStyle name="Porcentagem 2 2" xfId="61" xr:uid="{00000000-0005-0000-0000-000042000000}"/>
    <cellStyle name="Porcentagem 2 2 2" xfId="62" xr:uid="{00000000-0005-0000-0000-000043000000}"/>
    <cellStyle name="Porcentagem 3" xfId="63" xr:uid="{00000000-0005-0000-0000-000044000000}"/>
    <cellStyle name="Porcentagem 4" xfId="64" xr:uid="{00000000-0005-0000-0000-000045000000}"/>
    <cellStyle name="Porcentagem 8" xfId="65" xr:uid="{00000000-0005-0000-0000-000046000000}"/>
    <cellStyle name="Sep. milhar [0]" xfId="66" xr:uid="{00000000-0005-0000-0000-000047000000}"/>
    <cellStyle name="Separador de milhares 2" xfId="67" xr:uid="{00000000-0005-0000-0000-000048000000}"/>
    <cellStyle name="Separador de milhares 2 2" xfId="68" xr:uid="{00000000-0005-0000-0000-000049000000}"/>
    <cellStyle name="Separador de milhares 2 2 2" xfId="69" xr:uid="{00000000-0005-0000-0000-00004A000000}"/>
    <cellStyle name="Separador de milhares 3" xfId="70" xr:uid="{00000000-0005-0000-0000-00004B000000}"/>
    <cellStyle name="Separador de milhares 4" xfId="71" xr:uid="{00000000-0005-0000-0000-00004C000000}"/>
    <cellStyle name="Separador de milhares 5" xfId="72" xr:uid="{00000000-0005-0000-0000-00004D000000}"/>
    <cellStyle name="Separador de milhares 6" xfId="73" xr:uid="{00000000-0005-0000-0000-00004E000000}"/>
    <cellStyle name="Separador de milhares 6 2" xfId="74" xr:uid="{00000000-0005-0000-0000-00004F000000}"/>
    <cellStyle name="Separador de milhares 7" xfId="75" xr:uid="{00000000-0005-0000-0000-000050000000}"/>
    <cellStyle name="Separador de milhares 8" xfId="76" xr:uid="{00000000-0005-0000-0000-000051000000}"/>
    <cellStyle name="Sepavador de milhares [0]_Pasta2" xfId="77" xr:uid="{00000000-0005-0000-0000-000052000000}"/>
    <cellStyle name="Título 1 1" xfId="78" xr:uid="{00000000-0005-0000-0000-000053000000}"/>
    <cellStyle name="Total" xfId="79" builtinId="25" customBuiltin="1"/>
    <cellStyle name="Vírgula" xfId="88" builtinId="3"/>
    <cellStyle name="Vírgula 2" xfId="80" xr:uid="{00000000-0005-0000-0000-000056000000}"/>
    <cellStyle name="Vírgula 3" xfId="81" xr:uid="{00000000-0005-0000-0000-000057000000}"/>
  </cellStyles>
  <dxfs count="53">
    <dxf>
      <font>
        <b val="0"/>
        <condense val="0"/>
        <extend val="0"/>
        <color indexed="26"/>
      </font>
    </dxf>
    <dxf>
      <font>
        <b val="0"/>
        <condense val="0"/>
        <extend val="0"/>
        <color indexed="26"/>
      </font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</font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family val="2"/>
      </font>
      <fill>
        <patternFill>
          <fgColor indexed="64"/>
          <bgColor rgb="FFC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9E87B7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311727</xdr:colOff>
      <xdr:row>0</xdr:row>
      <xdr:rowOff>112568</xdr:rowOff>
    </xdr:from>
    <xdr:to>
      <xdr:col>1</xdr:col>
      <xdr:colOff>129887</xdr:colOff>
      <xdr:row>0</xdr:row>
      <xdr:rowOff>528205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C084C54-4C99-44DE-831E-82E38EE0A9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727" y="112568"/>
          <a:ext cx="865910" cy="4156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dro/AppData/Local/Microsoft/Windows/INetCache/Content.Outlook/2JDSYGJF/Planilha_Medi&#231;&#227;o_D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go serviço"/>
      <sheetName val="QQP - SAP"/>
      <sheetName val="Plan1"/>
      <sheetName val="Planilha1"/>
      <sheetName val="Medição "/>
      <sheetName val="RDO"/>
    </sheetNames>
    <sheetDataSet>
      <sheetData sheetId="0"/>
      <sheetData sheetId="1"/>
      <sheetData sheetId="2"/>
      <sheetData sheetId="3"/>
      <sheetData sheetId="4">
        <row r="2">
          <cell r="D2">
            <v>43851</v>
          </cell>
        </row>
        <row r="3">
          <cell r="D3">
            <v>43851</v>
          </cell>
        </row>
        <row r="4">
          <cell r="D4">
            <v>43851</v>
          </cell>
        </row>
        <row r="5">
          <cell r="D5">
            <v>43851</v>
          </cell>
        </row>
        <row r="6">
          <cell r="D6">
            <v>43851</v>
          </cell>
        </row>
        <row r="7">
          <cell r="D7">
            <v>43851</v>
          </cell>
        </row>
        <row r="8">
          <cell r="D8">
            <v>43852</v>
          </cell>
        </row>
        <row r="9">
          <cell r="D9">
            <v>43852</v>
          </cell>
        </row>
        <row r="10">
          <cell r="D10">
            <v>43852</v>
          </cell>
        </row>
        <row r="11">
          <cell r="D11">
            <v>43852</v>
          </cell>
        </row>
        <row r="12">
          <cell r="D12">
            <v>43852</v>
          </cell>
        </row>
        <row r="13">
          <cell r="D13">
            <v>43852</v>
          </cell>
        </row>
        <row r="14">
          <cell r="D14">
            <v>43853</v>
          </cell>
        </row>
        <row r="15">
          <cell r="D15">
            <v>43853</v>
          </cell>
        </row>
        <row r="16">
          <cell r="D16">
            <v>43853</v>
          </cell>
        </row>
        <row r="17">
          <cell r="D17">
            <v>43853</v>
          </cell>
        </row>
        <row r="18">
          <cell r="D18">
            <v>43853</v>
          </cell>
        </row>
        <row r="19">
          <cell r="D19">
            <v>43854</v>
          </cell>
        </row>
        <row r="20">
          <cell r="D20">
            <v>43854</v>
          </cell>
        </row>
        <row r="21">
          <cell r="D21">
            <v>43854</v>
          </cell>
        </row>
        <row r="22">
          <cell r="D22">
            <v>43854</v>
          </cell>
        </row>
        <row r="23">
          <cell r="D23">
            <v>43854</v>
          </cell>
        </row>
        <row r="24">
          <cell r="D24">
            <v>43857</v>
          </cell>
        </row>
        <row r="25">
          <cell r="D25">
            <v>43857</v>
          </cell>
        </row>
        <row r="26">
          <cell r="D26">
            <v>43857</v>
          </cell>
        </row>
        <row r="27">
          <cell r="D27">
            <v>43858</v>
          </cell>
        </row>
        <row r="28">
          <cell r="D28">
            <v>43858</v>
          </cell>
        </row>
        <row r="29">
          <cell r="D29">
            <v>43858</v>
          </cell>
        </row>
        <row r="30">
          <cell r="D30">
            <v>43858</v>
          </cell>
        </row>
        <row r="31">
          <cell r="D31">
            <v>43858</v>
          </cell>
        </row>
        <row r="32">
          <cell r="D32">
            <v>43859</v>
          </cell>
        </row>
        <row r="33">
          <cell r="D33">
            <v>43859</v>
          </cell>
        </row>
        <row r="34">
          <cell r="D34">
            <v>43859</v>
          </cell>
        </row>
        <row r="35">
          <cell r="D35">
            <v>43859</v>
          </cell>
        </row>
        <row r="36">
          <cell r="D36">
            <v>43860</v>
          </cell>
        </row>
        <row r="37">
          <cell r="D37">
            <v>43860</v>
          </cell>
        </row>
        <row r="38">
          <cell r="D38">
            <v>43860</v>
          </cell>
        </row>
        <row r="39">
          <cell r="D39">
            <v>43861</v>
          </cell>
        </row>
        <row r="40">
          <cell r="D40">
            <v>43861</v>
          </cell>
        </row>
        <row r="41">
          <cell r="D41">
            <v>43861</v>
          </cell>
        </row>
        <row r="42">
          <cell r="D42">
            <v>43861</v>
          </cell>
        </row>
        <row r="43">
          <cell r="D43">
            <v>43857</v>
          </cell>
        </row>
        <row r="44">
          <cell r="D44">
            <v>43857</v>
          </cell>
        </row>
        <row r="45">
          <cell r="D45">
            <v>43858</v>
          </cell>
        </row>
        <row r="46">
          <cell r="D46">
            <v>43858</v>
          </cell>
        </row>
        <row r="47">
          <cell r="D47">
            <v>43859</v>
          </cell>
        </row>
        <row r="48">
          <cell r="D48">
            <v>43859</v>
          </cell>
        </row>
        <row r="49">
          <cell r="D49">
            <v>43860</v>
          </cell>
        </row>
        <row r="50">
          <cell r="D50">
            <v>43860</v>
          </cell>
        </row>
        <row r="51">
          <cell r="D51">
            <v>43861</v>
          </cell>
        </row>
        <row r="52">
          <cell r="D52">
            <v>43864</v>
          </cell>
        </row>
        <row r="53">
          <cell r="D53">
            <v>43864</v>
          </cell>
        </row>
        <row r="54">
          <cell r="D54">
            <v>43865</v>
          </cell>
        </row>
        <row r="55">
          <cell r="D55">
            <v>43865</v>
          </cell>
        </row>
        <row r="56">
          <cell r="D56">
            <v>43866</v>
          </cell>
        </row>
        <row r="57">
          <cell r="D57">
            <v>43866</v>
          </cell>
        </row>
        <row r="58">
          <cell r="D58">
            <v>43867</v>
          </cell>
        </row>
        <row r="59">
          <cell r="D59">
            <v>43867</v>
          </cell>
        </row>
        <row r="60">
          <cell r="D60">
            <v>43868</v>
          </cell>
        </row>
        <row r="61">
          <cell r="D61">
            <v>43864</v>
          </cell>
        </row>
        <row r="62">
          <cell r="D62">
            <v>43864</v>
          </cell>
        </row>
        <row r="63">
          <cell r="D63">
            <v>43864</v>
          </cell>
        </row>
        <row r="64">
          <cell r="D64">
            <v>43865</v>
          </cell>
        </row>
        <row r="65">
          <cell r="D65">
            <v>43865</v>
          </cell>
        </row>
        <row r="66">
          <cell r="D66">
            <v>43865</v>
          </cell>
        </row>
        <row r="67">
          <cell r="D67">
            <v>43865</v>
          </cell>
        </row>
        <row r="68">
          <cell r="D68">
            <v>43865</v>
          </cell>
        </row>
        <row r="69">
          <cell r="D69">
            <v>43866</v>
          </cell>
        </row>
        <row r="70">
          <cell r="D70">
            <v>43866</v>
          </cell>
        </row>
        <row r="71">
          <cell r="D71">
            <v>43866</v>
          </cell>
        </row>
        <row r="72">
          <cell r="D72">
            <v>43866</v>
          </cell>
        </row>
        <row r="73">
          <cell r="D73">
            <v>43866</v>
          </cell>
        </row>
        <row r="74">
          <cell r="D74">
            <v>43866</v>
          </cell>
        </row>
        <row r="75">
          <cell r="D75">
            <v>43866</v>
          </cell>
        </row>
        <row r="76">
          <cell r="D76">
            <v>43867</v>
          </cell>
        </row>
        <row r="77">
          <cell r="D77">
            <v>43867</v>
          </cell>
        </row>
        <row r="78">
          <cell r="D78">
            <v>43867</v>
          </cell>
        </row>
        <row r="79">
          <cell r="D79">
            <v>43868</v>
          </cell>
        </row>
        <row r="80">
          <cell r="D80">
            <v>43868</v>
          </cell>
        </row>
        <row r="81">
          <cell r="D81">
            <v>43868</v>
          </cell>
        </row>
        <row r="82">
          <cell r="D82">
            <v>43868</v>
          </cell>
        </row>
        <row r="83">
          <cell r="D83">
            <v>43868</v>
          </cell>
        </row>
        <row r="84">
          <cell r="D84">
            <v>43868</v>
          </cell>
        </row>
        <row r="85">
          <cell r="D85">
            <v>43868</v>
          </cell>
        </row>
        <row r="86">
          <cell r="D86">
            <v>43871</v>
          </cell>
        </row>
        <row r="87">
          <cell r="D87">
            <v>43871</v>
          </cell>
        </row>
        <row r="88">
          <cell r="D88">
            <v>43871</v>
          </cell>
        </row>
        <row r="89">
          <cell r="D89">
            <v>43871</v>
          </cell>
        </row>
        <row r="90">
          <cell r="D90">
            <v>43872</v>
          </cell>
        </row>
        <row r="91">
          <cell r="D91">
            <v>43872</v>
          </cell>
        </row>
        <row r="92">
          <cell r="D92">
            <v>43872</v>
          </cell>
        </row>
        <row r="93">
          <cell r="D93">
            <v>43872</v>
          </cell>
        </row>
        <row r="94">
          <cell r="D94">
            <v>43872</v>
          </cell>
        </row>
        <row r="95">
          <cell r="D95">
            <v>43873</v>
          </cell>
        </row>
        <row r="96">
          <cell r="D96">
            <v>43873</v>
          </cell>
        </row>
        <row r="97">
          <cell r="D97">
            <v>43873</v>
          </cell>
        </row>
        <row r="98">
          <cell r="D98">
            <v>43873</v>
          </cell>
        </row>
        <row r="99">
          <cell r="D99">
            <v>43873</v>
          </cell>
        </row>
        <row r="100">
          <cell r="D100">
            <v>43873</v>
          </cell>
        </row>
        <row r="101">
          <cell r="D101">
            <v>43874</v>
          </cell>
        </row>
        <row r="102">
          <cell r="D102">
            <v>43874</v>
          </cell>
        </row>
        <row r="103">
          <cell r="D103">
            <v>43874</v>
          </cell>
        </row>
        <row r="104">
          <cell r="D104">
            <v>43874</v>
          </cell>
        </row>
        <row r="105">
          <cell r="D105">
            <v>43874</v>
          </cell>
        </row>
        <row r="106">
          <cell r="D106">
            <v>43875</v>
          </cell>
        </row>
        <row r="107">
          <cell r="D107">
            <v>43875</v>
          </cell>
        </row>
        <row r="108">
          <cell r="D108">
            <v>43875</v>
          </cell>
        </row>
        <row r="109">
          <cell r="D109">
            <v>43875</v>
          </cell>
        </row>
        <row r="110">
          <cell r="D110">
            <v>43875</v>
          </cell>
        </row>
        <row r="111">
          <cell r="D111">
            <v>43875</v>
          </cell>
        </row>
        <row r="112">
          <cell r="D112">
            <v>43875</v>
          </cell>
        </row>
        <row r="113">
          <cell r="D113">
            <v>43871</v>
          </cell>
        </row>
        <row r="114">
          <cell r="D114">
            <v>43871</v>
          </cell>
        </row>
        <row r="115">
          <cell r="D115">
            <v>43872</v>
          </cell>
        </row>
        <row r="116">
          <cell r="D116">
            <v>43872</v>
          </cell>
        </row>
        <row r="117">
          <cell r="D117">
            <v>43873</v>
          </cell>
        </row>
        <row r="118">
          <cell r="D118">
            <v>43873</v>
          </cell>
        </row>
        <row r="119">
          <cell r="D119">
            <v>43874</v>
          </cell>
        </row>
        <row r="120">
          <cell r="D120">
            <v>43874</v>
          </cell>
        </row>
        <row r="121">
          <cell r="D121">
            <v>43875</v>
          </cell>
        </row>
        <row r="122">
          <cell r="D122">
            <v>43875</v>
          </cell>
        </row>
        <row r="123">
          <cell r="D123">
            <v>43878</v>
          </cell>
        </row>
        <row r="124">
          <cell r="D124">
            <v>43878</v>
          </cell>
        </row>
        <row r="125">
          <cell r="D125">
            <v>43878</v>
          </cell>
        </row>
        <row r="126">
          <cell r="D126">
            <v>43878</v>
          </cell>
        </row>
        <row r="127">
          <cell r="D127">
            <v>43878</v>
          </cell>
        </row>
        <row r="128">
          <cell r="D128">
            <v>43878</v>
          </cell>
        </row>
        <row r="129">
          <cell r="D129">
            <v>43878</v>
          </cell>
        </row>
        <row r="130">
          <cell r="D130">
            <v>43879</v>
          </cell>
        </row>
        <row r="131">
          <cell r="D131">
            <v>43879</v>
          </cell>
        </row>
        <row r="132">
          <cell r="D132">
            <v>43879</v>
          </cell>
        </row>
        <row r="133">
          <cell r="D133">
            <v>43880</v>
          </cell>
        </row>
        <row r="134">
          <cell r="D134">
            <v>43881</v>
          </cell>
        </row>
        <row r="135">
          <cell r="D135">
            <v>43881</v>
          </cell>
        </row>
        <row r="136">
          <cell r="D136">
            <v>43881</v>
          </cell>
        </row>
        <row r="137">
          <cell r="D137">
            <v>43881</v>
          </cell>
        </row>
        <row r="138">
          <cell r="D138">
            <v>43878</v>
          </cell>
        </row>
        <row r="139">
          <cell r="D139">
            <v>43878</v>
          </cell>
        </row>
        <row r="140">
          <cell r="D140">
            <v>43879</v>
          </cell>
        </row>
        <row r="141">
          <cell r="D141">
            <v>43879</v>
          </cell>
        </row>
        <row r="142">
          <cell r="D142">
            <v>43880</v>
          </cell>
        </row>
        <row r="143">
          <cell r="D143">
            <v>43880</v>
          </cell>
        </row>
        <row r="144">
          <cell r="D144">
            <v>43881</v>
          </cell>
        </row>
        <row r="145">
          <cell r="D145">
            <v>43881</v>
          </cell>
        </row>
        <row r="146">
          <cell r="D146">
            <v>43880</v>
          </cell>
        </row>
        <row r="147">
          <cell r="D147">
            <v>43880</v>
          </cell>
        </row>
        <row r="148">
          <cell r="D148">
            <v>43880</v>
          </cell>
        </row>
      </sheetData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517.429765046298" createdVersion="8" refreshedVersion="8" minRefreshableVersion="3" recordCount="919" xr:uid="{EA8BF20C-3E99-48BC-BE36-3AF7AE9E4ABF}">
  <cacheSource type="worksheet">
    <worksheetSource ref="F543:I543" sheet="REAL DR"/>
  </cacheSource>
  <cacheFields count="20">
    <cacheField name="RDO" numFmtId="1">
      <sharedItems containsNonDate="0" containsString="0" containsBlank="1"/>
    </cacheField>
    <cacheField name="Data" numFmtId="168">
      <sharedItems containsNonDate="0" containsDate="1" containsString="0" containsBlank="1" minDate="2022-12-21T00:00:00" maxDate="2024-08-04T00:00:00" count="358">
        <m/>
        <d v="2024-07-22T00:00:00" u="1"/>
        <d v="2024-07-23T00:00:00" u="1"/>
        <d v="2024-07-24T00:00:00" u="1"/>
        <d v="2024-07-25T00:00:00" u="1"/>
        <d v="2024-07-26T00:00:00" u="1"/>
        <d v="2024-07-29T00:00:00" u="1"/>
        <d v="2024-07-30T00:00:00" u="1"/>
        <d v="2024-07-31T00:00:00" u="1"/>
        <d v="2024-08-01T00:00:00" u="1"/>
        <d v="2024-08-02T00:00:00" u="1"/>
        <d v="2024-08-03T00:00:00" u="1"/>
        <d v="2024-06-21T00:00:00" u="1"/>
        <d v="2024-06-22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5-21T00:00:00" u="1"/>
        <d v="2024-05-22T00:00:00" u="1"/>
        <d v="2024-05-23T00:00:00" u="1"/>
        <d v="2024-05-24T00:00:00" u="1"/>
        <d v="2024-05-25T00:00:00" u="1"/>
        <d v="2024-05-27T00:00:00" u="1"/>
        <d v="2024-05-28T00:00:00" u="1"/>
        <d v="2024-05-29T00:00:00" u="1"/>
        <d v="2024-05-30T00:00:00" u="1"/>
        <d v="2024-05-31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7T00:00:00" u="1"/>
        <d v="2024-06-18T00:00:00" u="1"/>
        <d v="2024-06-19T00:00:00" u="1"/>
        <d v="2024-06-20T00:00:00" u="1"/>
        <d v="2023-12-21T00:00:00" u="1"/>
        <d v="2023-12-22T00:00:00" u="1"/>
        <d v="2023-12-26T00:00:00" u="1"/>
        <d v="2023-12-27T00:00:00" u="1"/>
        <d v="2023-12-28T00:00:00" u="1"/>
        <d v="2023-12-29T00:00:00" u="1"/>
        <d v="2023-12-30T00:00:00" u="1"/>
        <d v="2024-01-02T00:00:00" u="1"/>
        <d v="2024-01-03T00:00:00" u="1"/>
        <d v="2024-01-04T00:00:00" u="1"/>
        <d v="2024-01-05T00:00:00" u="1"/>
        <d v="2024-01-06T00:00:00" u="1"/>
        <d v="2024-01-08T00:00:00" u="1"/>
        <d v="2024-01-09T00:00:00" u="1"/>
        <d v="2024-01-10T00:00:00" u="1"/>
        <d v="2024-01-11T00:00:00" u="1"/>
        <d v="2024-01-12T00:00:00" u="1"/>
        <d v="2024-01-13T00:00:00" u="1"/>
        <d v="2024-01-15T00:00:00" u="1"/>
        <d v="2024-01-16T00:00:00" u="1"/>
        <d v="2024-01-17T00:00:00" u="1"/>
        <d v="2024-01-18T00:00:00" u="1"/>
        <d v="2024-01-19T00:00:00" u="1"/>
        <d v="2024-01-20T00:00:00" u="1"/>
        <d v="2023-11-21T00:00:00" u="1"/>
        <d v="2023-11-22T00:00:00" u="1"/>
        <d v="2023-11-23T00:00:00" u="1"/>
        <d v="2023-11-24T00:00:00" u="1"/>
        <d v="2023-11-27T00:00:00" u="1"/>
        <d v="2023-11-28T00:00:00" u="1"/>
        <d v="2023-11-29T00:00:00" u="1"/>
        <d v="2023-11-30T00:00:00" u="1"/>
        <d v="2023-12-01T00:00:00" u="1"/>
        <d v="2023-12-02T00:00:00" u="1"/>
        <d v="2023-09-21T00:00:00" u="1"/>
        <d v="2023-09-22T00:00:00" u="1"/>
        <d v="2023-09-23T00:00:00" u="1"/>
        <d v="2023-09-25T00:00:00" u="1"/>
        <d v="2023-09-26T00:00:00" u="1"/>
        <d v="2023-09-27T00:00:00" u="1"/>
        <d v="2023-09-28T00:00:00" u="1"/>
        <d v="2023-09-29T00:00:00" u="1"/>
        <d v="2023-09-30T00:00:00" u="1"/>
        <d v="2023-10-02T00:00:00" u="1"/>
        <d v="2023-10-03T00:00:00" u="1"/>
        <d v="2023-10-04T00:00:00" u="1"/>
        <d v="2023-10-05T00:00:00" u="1"/>
        <d v="2023-10-06T00:00:00" u="1"/>
        <d v="2023-10-07T00:00:00" u="1"/>
        <d v="2023-10-08T00:00:00" u="1"/>
        <d v="2023-10-09T00:00:00" u="1"/>
        <d v="2023-10-10T00:00:00" u="1"/>
        <d v="2023-10-11T00:00:00" u="1"/>
        <d v="2023-10-12T00:00:00" u="1"/>
        <d v="2023-10-13T00:00:00" u="1"/>
        <d v="2023-10-14T00:00:00" u="1"/>
        <d v="2023-10-16T00:00:00" u="1"/>
        <d v="2023-10-17T00:00:00" u="1"/>
        <d v="2023-10-18T00:00:00" u="1"/>
        <d v="2023-10-19T00:00:00" u="1"/>
        <d v="2023-10-20T00:00:00" u="1"/>
        <d v="2023-08-21T00:00:00" u="1"/>
        <d v="2023-08-22T00:00:00" u="1"/>
        <d v="2023-08-23T00:00:00" u="1"/>
        <d v="2023-08-24T00:00:00" u="1"/>
        <d v="2023-08-25T00:00:00" u="1"/>
        <d v="2023-08-26T00:00:00" u="1"/>
        <d v="2023-08-28T00:00:00" u="1"/>
        <d v="2023-08-29T00:00:00" u="1"/>
        <d v="2023-08-30T00:00:00" u="1"/>
        <d v="2023-08-31T00:00:00" u="1"/>
        <d v="2023-09-01T00:00:00" u="1"/>
        <d v="2023-09-02T00:00:00" u="1"/>
        <d v="2023-09-04T00:00:00" u="1"/>
        <d v="2023-09-05T00:00:00" u="1"/>
        <d v="2023-09-06T00:00:00" u="1"/>
        <d v="2023-09-09T00:00:00" u="1"/>
        <d v="2023-09-07T00:00:00" u="1"/>
        <d v="2023-09-08T00:00:00" u="1"/>
        <d v="2023-09-11T00:00:00" u="1"/>
        <d v="2023-09-12T00:00:00" u="1"/>
        <d v="2023-09-13T00:00:00" u="1"/>
        <d v="2023-09-14T00:00:00" u="1"/>
        <d v="2023-09-15T00:00:00" u="1"/>
        <d v="2023-09-16T00:00:00" u="1"/>
        <d v="2023-09-17T00:00:00" u="1"/>
        <d v="2023-09-18T00:00:00" u="1"/>
        <d v="2023-09-19T00:00:00" u="1"/>
        <d v="2023-09-20T00:00:00" u="1"/>
        <d v="2023-02-03T00:00:00" u="1"/>
        <d v="2023-07-26T00:00:00" u="1"/>
        <d v="2023-05-05T00:00:00" u="1"/>
        <d v="2023-01-18T00:00:00" u="1"/>
        <d v="2023-08-07T00:00:00" u="1"/>
        <d v="2023-04-20T00:00:00" u="1"/>
        <d v="2023-07-22T00:00:00" u="1"/>
        <d v="2023-01-14T00:00:00" u="1"/>
        <d v="2023-08-03T00:00:00" u="1"/>
        <d v="2023-07-18T00:00:00" u="1"/>
        <d v="2023-03-31T00:00:00" u="1"/>
        <d v="2023-01-10T00:00:00" u="1"/>
        <d v="2023-04-12T00:00:00" u="1"/>
        <d v="2023-07-14T00:00:00" u="1"/>
        <d v="2023-03-27T00:00:00" u="1"/>
        <d v="2023-01-06T00:00:00" u="1"/>
        <d v="2023-06-29T00:00:00" u="1"/>
        <d v="2023-04-08T00:00:00" u="1"/>
        <d v="2023-07-10T00:00:00" u="1"/>
        <d v="2023-03-23T00:00:00" u="1"/>
        <d v="2023-01-02T00:00:00" u="1"/>
        <d v="2023-04-04T00:00:00" u="1"/>
        <d v="2022-12-29T00:00:00" u="1"/>
        <d v="2023-07-06T00:00:00" u="1"/>
        <d v="2023-06-21T00:00:00" u="1"/>
        <d v="2023-03-15T00:00:00" u="1"/>
        <d v="2023-06-17T00:00:00" u="1"/>
        <d v="2022-12-21T00:00:00" u="1"/>
        <d v="2023-03-11T00:00:00" u="1"/>
        <d v="2023-06-13T00:00:00" u="1"/>
        <d v="2023-02-26T00:00:00" u="1"/>
        <d v="2023-03-07T00:00:00" u="1"/>
        <d v="2023-06-09T00:00:00" u="1"/>
        <d v="2023-02-22T00:00:00" u="1"/>
        <d v="2023-05-24T00:00:00" u="1"/>
        <d v="2023-03-03T00:00:00" u="1"/>
        <d v="2023-06-05T00:00:00" u="1"/>
        <d v="2023-02-18T00:00:00" u="1"/>
        <d v="2023-05-20T00:00:00" u="1"/>
        <d v="2023-06-01T00:00:00" u="1"/>
        <d v="2023-02-14T00:00:00" u="1"/>
        <d v="2023-05-16T00:00:00" u="1"/>
        <d v="2023-08-18T00:00:00" u="1"/>
        <d v="2023-02-10T00:00:00" u="1"/>
        <d v="2023-05-12T00:00:00" u="1"/>
        <d v="2023-01-25T00:00:00" u="1"/>
        <d v="2023-08-14T00:00:00" u="1"/>
        <d v="2023-04-27T00:00:00" u="1"/>
        <d v="2023-02-06T00:00:00" u="1"/>
        <d v="2023-07-29T00:00:00" u="1"/>
        <d v="2023-05-08T00:00:00" u="1"/>
        <d v="2023-01-21T00:00:00" u="1"/>
        <d v="2023-08-10T00:00:00" u="1"/>
        <d v="2023-02-02T00:00:00" u="1"/>
        <d v="2023-07-25T00:00:00" u="1"/>
        <d v="2023-05-04T00:00:00" u="1"/>
        <d v="2023-01-17T00:00:00" u="1"/>
        <d v="2023-04-19T00:00:00" u="1"/>
        <d v="2023-07-21T00:00:00" u="1"/>
        <d v="2023-01-13T00:00:00" u="1"/>
        <d v="2023-08-02T00:00:00" u="1"/>
        <d v="2023-04-15T00:00:00" u="1"/>
        <d v="2023-07-17T00:00:00" u="1"/>
        <d v="2023-03-30T00:00:00" u="1"/>
        <d v="2023-01-09T00:00:00" u="1"/>
        <d v="2023-04-11T00:00:00" u="1"/>
        <d v="2023-07-13T00:00:00" u="1"/>
        <d v="2023-01-05T00:00:00" u="1"/>
        <d v="2023-06-28T00:00:00" u="1"/>
        <d v="2023-07-09T00:00:00" u="1"/>
        <d v="2023-03-22T00:00:00" u="1"/>
        <d v="2023-06-24T00:00:00" u="1"/>
        <d v="2023-04-03T00:00:00" u="1"/>
        <d v="2022-12-28T00:00:00" u="1"/>
        <d v="2023-07-05T00:00:00" u="1"/>
        <d v="2023-06-20T00:00:00" u="1"/>
        <d v="2023-07-01T00:00:00" u="1"/>
        <d v="2023-03-14T00:00:00" u="1"/>
        <d v="2023-06-16T00:00:00" u="1"/>
        <d v="2023-05-31T00:00:00" u="1"/>
        <d v="2023-03-10T00:00:00" u="1"/>
        <d v="2023-06-12T00:00:00" u="1"/>
        <d v="2023-02-25T00:00:00" u="1"/>
        <d v="2023-05-27T00:00:00" u="1"/>
        <d v="2023-03-06T00:00:00" u="1"/>
        <d v="2023-06-08T00:00:00" u="1"/>
        <d v="2023-02-21T00:00:00" u="1"/>
        <d v="2023-05-23T00:00:00" u="1"/>
        <d v="2023-03-02T00:00:00" u="1"/>
        <d v="2023-02-17T00:00:00" u="1"/>
        <d v="2023-05-19T00:00:00" u="1"/>
        <d v="2023-02-13T00:00:00" u="1"/>
        <d v="2023-05-15T00:00:00" u="1"/>
        <d v="2023-01-28T00:00:00" u="1"/>
        <d v="2023-08-17T00:00:00" u="1"/>
        <d v="2023-02-09T00:00:00" u="1"/>
        <d v="2023-05-11T00:00:00" u="1"/>
        <d v="2023-01-24T00:00:00" u="1"/>
        <d v="2023-08-13T00:00:00" u="1"/>
        <d v="2023-04-26T00:00:00" u="1"/>
        <d v="2023-07-28T00:00:00" u="1"/>
        <d v="2023-01-20T00:00:00" u="1"/>
        <d v="2023-08-09T00:00:00" u="1"/>
        <d v="2023-04-22T00:00:00" u="1"/>
        <d v="2023-02-01T00:00:00" u="1"/>
        <d v="2023-07-24T00:00:00" u="1"/>
        <d v="2023-05-03T00:00:00" u="1"/>
        <d v="2023-01-16T00:00:00" u="1"/>
        <d v="2023-08-05T00:00:00" u="1"/>
        <d v="2023-04-18T00:00:00" u="1"/>
        <d v="2023-07-20T00:00:00" u="1"/>
        <d v="2023-01-12T00:00:00" u="1"/>
        <d v="2023-08-01T00:00:00" u="1"/>
        <d v="2023-04-14T00:00:00" u="1"/>
        <d v="2023-03-29T00:00:00" u="1"/>
        <d v="2023-04-10T00:00:00" u="1"/>
        <d v="2023-07-12T00:00:00" u="1"/>
        <d v="2023-01-04T00:00:00" u="1"/>
        <d v="2023-06-27T00:00:00" u="1"/>
        <d v="2023-04-06T00:00:00" u="1"/>
        <d v="2023-07-08T00:00:00" u="1"/>
        <d v="2023-03-21T00:00:00" u="1"/>
        <d v="2023-06-23T00:00:00" u="1"/>
        <d v="2022-12-27T00:00:00" u="1"/>
        <d v="2023-07-04T00:00:00" u="1"/>
        <d v="2023-03-17T00:00:00" u="1"/>
        <d v="2023-06-19T00:00:00" u="1"/>
        <d v="2022-12-23T00:00:00" u="1"/>
        <d v="2023-03-13T00:00:00" u="1"/>
        <d v="2023-06-15T00:00:00" u="1"/>
        <d v="2023-02-28T00:00:00" u="1"/>
        <d v="2023-05-30T00:00:00" u="1"/>
        <d v="2023-03-09T00:00:00" u="1"/>
        <d v="2023-02-24T00:00:00" u="1"/>
        <d v="2023-05-26T00:00:00" u="1"/>
        <d v="2023-06-07T00:00:00" u="1"/>
        <d v="2023-02-20T00:00:00" u="1"/>
        <d v="2023-05-22T00:00:00" u="1"/>
        <d v="2023-03-01T00:00:00" u="1"/>
        <d v="2023-06-03T00:00:00" u="1"/>
        <d v="2023-02-16T00:00:00" u="1"/>
        <d v="2023-05-18T00:00:00" u="1"/>
        <d v="2023-01-31T00:00:00" u="1"/>
        <d v="2023-01-27T00:00:00" u="1"/>
        <d v="2023-08-16T00:00:00" u="1"/>
        <d v="2023-04-29T00:00:00" u="1"/>
        <d v="2023-02-08T00:00:00" u="1"/>
        <d v="2023-07-31T00:00:00" u="1"/>
        <d v="2023-05-10T00:00:00" u="1"/>
        <d v="2023-01-23T00:00:00" u="1"/>
        <d v="2023-04-25T00:00:00" u="1"/>
        <d v="2023-02-04T00:00:00" u="1"/>
        <d v="2023-07-27T00:00:00" u="1"/>
        <d v="2023-05-06T00:00:00" u="1"/>
        <d v="2023-01-19T00:00:00" u="1"/>
        <d v="2023-08-08T00:00:00" u="1"/>
        <d v="2023-04-21T00:00:00" u="1"/>
        <d v="2023-05-02T00:00:00" u="1"/>
        <d v="2023-08-04T00:00:00" u="1"/>
        <d v="2023-04-17T00:00:00" u="1"/>
        <d v="2023-07-19T00:00:00" u="1"/>
        <d v="2023-01-11T00:00:00" u="1"/>
        <d v="2023-04-13T00:00:00" u="1"/>
        <d v="2023-07-15T00:00:00" u="1"/>
        <d v="2023-03-28T00:00:00" u="1"/>
        <d v="2023-01-07T00:00:00" u="1"/>
        <d v="2023-06-30T00:00:00" u="1"/>
        <d v="2023-07-11T00:00:00" u="1"/>
        <d v="2023-03-24T00:00:00" u="1"/>
        <d v="2023-01-03T00:00:00" u="1"/>
        <d v="2023-06-26T00:00:00" u="1"/>
        <d v="2023-04-05T00:00:00" u="1"/>
        <d v="2022-12-30T00:00:00" u="1"/>
        <d v="2023-07-07T00:00:00" u="1"/>
        <d v="2023-03-20T00:00:00" u="1"/>
        <d v="2023-06-22T00:00:00" u="1"/>
        <d v="2023-04-01T00:00:00" u="1"/>
        <d v="2022-12-26T00:00:00" u="1"/>
        <d v="2023-07-03T00:00:00" u="1"/>
        <d v="2023-03-16T00:00:00" u="1"/>
        <d v="2022-12-22T00:00:00" u="1"/>
        <d v="2023-06-14T00:00:00" u="1"/>
        <d v="2023-02-27T00:00:00" u="1"/>
        <d v="2023-05-29T00:00:00" u="1"/>
        <d v="2023-03-08T00:00:00" u="1"/>
        <d v="2023-06-10T00:00:00" u="1"/>
        <d v="2023-02-23T00:00:00" u="1"/>
        <d v="2023-05-25T00:00:00" u="1"/>
        <d v="2023-03-04T00:00:00" u="1"/>
        <d v="2023-06-06T00:00:00" u="1"/>
        <d v="2023-06-02T00:00:00" u="1"/>
        <d v="2023-02-15T00:00:00" u="1"/>
        <d v="2023-05-17T00:00:00" u="1"/>
        <d v="2023-01-30T00:00:00" u="1"/>
        <d v="2023-08-19T00:00:00" u="1"/>
        <d v="2023-02-11T00:00:00" u="1"/>
        <d v="2023-05-13T00:00:00" u="1"/>
        <d v="2023-01-26T00:00:00" u="1"/>
        <d v="2023-08-15T00:00:00" u="1"/>
        <d v="2023-04-28T00:00:00" u="1"/>
        <d v="2023-02-07T00:00:00" u="1"/>
        <d v="2023-05-09T00:00:00" u="1"/>
        <d v="2023-08-11T00:00:00" u="1"/>
        <d v="2023-04-24T00:00:00" u="1"/>
      </sharedItems>
    </cacheField>
    <cacheField name="FROTA" numFmtId="168">
      <sharedItems containsBlank="1" count="64">
        <s v="RE-017"/>
        <s v="RE-018"/>
        <s v="RE-016"/>
        <s v="CM-003"/>
        <s v="CBL-001"/>
        <s v="CBL-002"/>
        <s v="CBL-003"/>
        <s v="CBL-004"/>
        <s v="CBL-005"/>
        <s v="PC-004"/>
        <s v="EH-008"/>
        <s v="REL-01"/>
        <s v="MN-002"/>
        <s v="PCL -01"/>
        <s v="MEL-01"/>
        <s v="HH"/>
        <s v="MNL-01"/>
        <s v="REL-02"/>
        <s v="CTL-01"/>
        <s v="CTL-02"/>
        <m/>
        <s v="MNL-002"/>
        <s v="CTL - 01"/>
        <s v="CTL - 02"/>
        <s v="VLL 01"/>
        <s v="VLL 02"/>
        <s v="VLL03"/>
        <s v="CM-002" u="1"/>
        <s v="REL-002" u="1"/>
        <s v="MNL -01" u="1"/>
        <s v="CBL-002(CB 014)" u="1"/>
        <s v="VLL -004" u="1"/>
        <s v="CB-013" u="1"/>
        <s v="CB-022" u="1"/>
        <s v="CB-09" u="1"/>
        <s v="PCL-01" u="1"/>
        <s v="CB-010" u="1"/>
        <s v="CB-014" u="1"/>
        <s v="PCL -02" u="1"/>
        <s v="VLL-004" u="1"/>
        <s v="MN-02" u="1"/>
        <s v="PCL - 002" u="1"/>
        <s v="CT 03" u="1"/>
        <s v="CTL 01" u="1"/>
        <s v="PCL-02" u="1"/>
        <s v="ME-05" u="1"/>
        <s v="PCL 02" u="1"/>
        <s v="PCL - 02" u="1"/>
        <s v="PC-02" u="1"/>
        <s v="PCL-002" u="1"/>
        <s v="VLL-01" u="1"/>
        <s v="PC-002" u="1"/>
        <s v=" CBL-001" u="1"/>
        <s v="CB-009" u="1"/>
        <s v="MNL-001" u="1"/>
        <s v="CT-003" u="1"/>
        <s v="VL-051" u="1"/>
        <s v="MN-003" u="1"/>
        <s v="VL-041" u="1"/>
        <s v="TE-001" u="1"/>
        <s v="CT-03" u="1"/>
        <s v="RC-001" u="1"/>
        <s v="PCL-001" u="1"/>
        <s v="EH-016" u="1"/>
      </sharedItems>
    </cacheField>
    <cacheField name="Semana" numFmtId="168">
      <sharedItems containsBlank="1"/>
    </cacheField>
    <cacheField name="CÓDIGO SAP" numFmtId="0">
      <sharedItems containsBlank="1" count="36">
        <s v="-"/>
        <m/>
        <s v="S.VPP-00120" u="1"/>
        <s v="S.VPP-00118" u="1"/>
        <s v="S.VPP-00778" u="1"/>
        <s v="S.VPP-00758" u="1"/>
        <s v="S.VPP-00754" u="1"/>
        <s v="S.VPC-00119" u="1"/>
        <s v="S.VPP-00755" u="1"/>
        <s v="S.VPP-00787" u="1"/>
        <s v="S.VPP-00788" u="1"/>
        <s v="S.VPP-00369" u="1"/>
        <s v="S.VPP-00766" u="1"/>
        <s v="S.VPP-00763" u="1"/>
        <s v="S.VPC-00115" u="1"/>
        <s v="S.VPP-00759" u="1"/>
        <s v="S.VPP-00750" u="1"/>
        <s v="S.VPP-00764" u="1"/>
        <s v="S.VPP-00756" u="1"/>
        <s v="S.VPP-00767" u="1"/>
        <s v="S.VPP-00760" u="1"/>
        <s v="S.VPP-00762" u="1"/>
        <s v="S.VPI-00006" u="1"/>
        <s v="S.VPP-1181" u="1"/>
        <s v="S.VPC-00113" u="1"/>
        <s v="S.VPP-00753" u="1"/>
        <s v="S.VPP-00785" u="1"/>
        <s v="S.VPP-00761" u="1"/>
        <s v="S.VPP-00757" u="1"/>
        <s v="S.VPC-00093" u="1"/>
        <s v="S.VPP-00769" u="1"/>
        <s v="S.VPP-00770" u="1"/>
        <e v="#N/A" u="1"/>
        <s v="S.VPP-00771" u="1"/>
        <s v="S.VPP-00790" u="1"/>
        <s v="S.VPP-00765" u="1"/>
      </sharedItems>
    </cacheField>
    <cacheField name="Ordem de Serviço" numFmtId="0">
      <sharedItems containsBlank="1"/>
    </cacheField>
    <cacheField name="Horimetro Inicial" numFmtId="1">
      <sharedItems containsNonDate="0" containsString="0" containsBlank="1"/>
    </cacheField>
    <cacheField name="Horimetro Final" numFmtId="1">
      <sharedItems containsBlank="1"/>
    </cacheField>
    <cacheField name="KM INICIAL" numFmtId="170">
      <sharedItems containsNonDate="0" containsString="0" containsBlank="1"/>
    </cacheField>
    <cacheField name="KM FINAL" numFmtId="170">
      <sharedItems containsBlank="1"/>
    </cacheField>
    <cacheField name="Município" numFmtId="168">
      <sharedItems containsBlank="1" count="24">
        <s v=""/>
        <m/>
        <s v="SAO LUIS" u="1"/>
        <s v="Guaraí" u="1"/>
        <s v="BABAÇULÂNDIA" u="1"/>
        <s v="RIBAMAR FIQUENE" u="1"/>
        <s v="DARCINÓPOLIS" u="1"/>
        <s v="PORTO FRANCO" u="1"/>
        <s v="Tupirama" u="1"/>
        <s v="IMPERATRIZ" u="1"/>
        <s v="Miracema" u="1"/>
        <s v="ESTREITO" u="1"/>
        <s v="PALMEIRAS DO TOCANTINS" u="1"/>
        <s v="JOÃO LISBOA" u="1"/>
        <s v="S.F. BREJÃO" u="1"/>
        <s v="Palmeirante" u="1"/>
        <s v="AÇAILÂNDIA" u="1"/>
        <s v="Tupiratins" u="1"/>
        <s v="EDSON LOBÃO" u="1"/>
        <s v="AGUIARNÓPOLIS" u="1"/>
        <s v="CAMPESTRE" u="1"/>
        <s v="ARAGUAÍNA" u="1"/>
        <s v="Porto Nacional" u="1"/>
        <s v="PT PORTO FRANCO" u="1"/>
      </sharedItems>
    </cacheField>
    <cacheField name="Item" numFmtId="0">
      <sharedItems containsNonDate="0" containsString="0" containsBlank="1" containsNumber="1" containsInteger="1" minValue="80" maxValue="600" count="34">
        <m/>
        <n v="120" u="1"/>
        <n v="130" u="1"/>
        <n v="400" u="1"/>
        <n v="200" u="1"/>
        <n v="160" u="1"/>
        <n v="520" u="1"/>
        <n v="170" u="1"/>
        <n v="480" u="1"/>
        <n v="490" u="1"/>
        <n v="80" u="1"/>
        <n v="280" u="1"/>
        <n v="250" u="1"/>
        <n v="530" u="1"/>
        <n v="210" u="1"/>
        <n v="100" u="1"/>
        <n v="260" u="1"/>
        <n v="180" u="1"/>
        <n v="290" u="1"/>
        <n v="220" u="1"/>
        <n v="240" u="1"/>
        <n v="580" u="1"/>
        <n v="600" u="1"/>
        <n v="410" u="1"/>
        <n v="150" u="1"/>
        <n v="460" u="1"/>
        <n v="230" u="1"/>
        <n v="330" u="1"/>
        <n v="320" u="1"/>
        <n v="310" u="1"/>
        <n v="510" u="1"/>
        <n v="270" u="1"/>
        <n v="550" u="1"/>
        <n v="190" u="1"/>
      </sharedItems>
    </cacheField>
    <cacheField name="Descrição" numFmtId="168">
      <sharedItems containsBlank="1" count="36">
        <s v=""/>
        <m/>
        <s v="HR PRODUTIVA RETRO CAP 0,79 M3x0,13 M3" u="1"/>
        <s v="HR IMPRODUTIVA RETRO CAP 0,79 M3x0,13 M3" u="1"/>
        <s v="HORA PRODUT CARRETA PRANCHA C/ MOTORISTA" u="1"/>
        <s v="HORA PRODUTIVA BASCULANTE 12m³ -  C/MOTORISTA" u="1"/>
        <s v="HORA PRODUTIVA PA CARREGADEIRA - CAT 580 938 G e 966" u="1"/>
        <s v="HR PRODUTIVA ESCAVADEIRA HIDRAULICA" u="1"/>
        <s v="HORA IMPRODUTIVA PA CARREGADEIRA - CAT 580 938 G e 966" u="1"/>
        <s v="HORA PRODUT MINIESCAVADEIRA  HIDRAULICA 2,5 T C/ OPERADOR " u="1"/>
        <s v="HORA IMPRODUT MINIESCAVADEIRA HIDRAULICA 2,5 T C/OPERADOR" u="1"/>
        <s v="HR EVENTUAL NORMAL" u="1"/>
        <s v="HORA PRODUTIVA MOTONIVELADORA  CAT 120M C/OPERADOR" u="1"/>
        <s v="HORA IMPRODUTIVA PIPA C/MOTORISTA" u="1"/>
        <s v="HR IMPRODUTIVA ESCAVADEIRA HIDRAULICA" u="1"/>
        <s v="HORA IMPRODUTIVA BASCULANTE 12m³ -  C/MOTORISTA" u="1"/>
        <s v="MOBILIZ RETROESCAVADEIRA C/ OPERADOR" u="1"/>
        <s v="MOBILIZ MOTONIVELADORA C/OPERADOR" u="1"/>
        <s v="MOBILIZ CAMIN BASCULANTE 12m³ - C/MOTORISTA" u="1"/>
        <s v="HORA IMPRODUT MOTONIVELADORA CAT 120M C/OPERADOR" u="1"/>
        <s v="MOBILIZ CAMIN PIPA C/MOTORISTA" u="1"/>
        <s v="HORA PRODUTIVA PIPA C/MOTORISTA" u="1"/>
        <s v="TRANSP RODOVIARIO CARRO 7 PASS" u="1"/>
        <s v="TRANSP RODOVIARIO CARRO 5 PASS" u="1"/>
        <s v="HR IMPRODUTIVA CARRETA PRANCHA" u="1"/>
        <s v="DESMOB PA CARREGADEIRA C/ OPERADOR" u="1"/>
        <s v="MOBILIZ MINIESCAVADEIRA C/ OPERADOR" u="1"/>
        <s v="DESMOB CAMIN PIPA C/MOTORISTA" u="1"/>
        <s v="HORA PRODUT TRATOR DE ESTEIRA -  CAT D6 N - C/OPERADOR" u="1"/>
        <s v="DESMOBILIZ ROLO COMPACT LISO C/ OPERADOR" u="1"/>
        <s v="DESMOBILIZAR ESCAVAD HIDRAULICA 20 TON" u="1"/>
        <s v="HORA IMPRODUT TRATOR DE ESTEIRA  -  CAT D6 N - C/OPERADOR" u="1"/>
        <s v="DESMOB MOTONIVELADORA C/OPERADOR" u="1"/>
        <s v="DESMOB TRATOR DE ESTEIRA -  CAT D6 N - C/OPERADOR" u="1"/>
        <s v="DESMOB CAMIN BASCULANTE 12m³ -  C/MOTORISTA" u="1"/>
        <s v="Fórmula1" f="1"/>
      </sharedItems>
    </cacheField>
    <cacheField name="Und." numFmtId="168">
      <sharedItems containsBlank="1" count="8">
        <s v=""/>
        <m/>
        <s v="HP" u="1"/>
        <s v="HI" u="1"/>
        <s v="HH" u="1"/>
        <s v="VB" u="1"/>
        <s v="MES" u="1"/>
        <e v="#N/A" u="1"/>
      </sharedItems>
    </cacheField>
    <cacheField name="Preço (R$)" numFmtId="0">
      <sharedItems containsBlank="1"/>
    </cacheField>
    <cacheField name="Quant. De Hrs" numFmtId="175">
      <sharedItems containsNonDate="0" containsString="0" containsBlank="1"/>
    </cacheField>
    <cacheField name="HM" numFmtId="0">
      <sharedItems containsBlank="1"/>
    </cacheField>
    <cacheField name="TOTAL (R$)" numFmtId="0">
      <sharedItems containsBlank="1"/>
    </cacheField>
    <cacheField name="SUPERVISÃO" numFmtId="0">
      <sharedItems containsBlank="1"/>
    </cacheField>
    <cacheField name="CENTRO" numFmtId="0">
      <sharedItems containsBlank="1" count="6">
        <s v="-"/>
        <s v="ARAGUAÍNA"/>
        <m/>
        <s v="ARAGUAINA"/>
        <s v="PALMAS" u="1"/>
        <s v="IMPERATRIZ" u="1"/>
      </sharedItems>
    </cacheField>
  </cacheFields>
  <calculatedItems count="1">
    <calculatedItem>
      <pivotArea cacheIndex="1" outline="0" fieldPosition="0">
        <references count="1">
          <reference field="12" count="1">
            <x v="35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533.767131365741" createdVersion="8" refreshedVersion="8" minRefreshableVersion="3" recordCount="926" xr:uid="{88BF7CF1-E852-4DB0-8DA2-C76F4FE9F1F5}">
  <cacheSource type="worksheet">
    <worksheetSource ref="F543:I543" sheet="REAL DR"/>
  </cacheSource>
  <cacheFields count="19">
    <cacheField name="RDO" numFmtId="1">
      <sharedItems containsNonDate="0" containsString="0" containsBlank="1"/>
    </cacheField>
    <cacheField name="Data" numFmtId="168">
      <sharedItems containsNonDate="0" containsDate="1" containsString="0" containsBlank="1" minDate="2024-07-22T00:00:00" maxDate="2024-08-21T00:00:00"/>
    </cacheField>
    <cacheField name="FROTA" numFmtId="168">
      <sharedItems containsBlank="1" count="46">
        <s v="RE-017"/>
        <s v="RE-018"/>
        <s v="RE-016"/>
        <s v="CM-003"/>
        <s v="CBL-001"/>
        <s v="CBL-002"/>
        <s v="CBL-003"/>
        <s v="CBL-004"/>
        <s v="CBL-005"/>
        <s v="PC-004"/>
        <s v="EH-008"/>
        <s v="REL-01"/>
        <s v="MN-002"/>
        <s v="PCL -01"/>
        <s v="MEL-01"/>
        <s v="HH"/>
        <s v="MNL-01"/>
        <s v="REL-02"/>
        <s v="CTL-01"/>
        <s v="CTL-02"/>
        <m/>
        <s v="MNL-002"/>
        <s v="CBL-006"/>
        <s v="CTL - 01"/>
        <s v="CTL - 02"/>
        <s v="VLL 01"/>
        <s v="VLL 02"/>
        <s v="VLL03"/>
        <s v="VLL-06"/>
        <s v="VLL-04"/>
        <s v="VLL-05"/>
        <s v="CM-002" u="1"/>
        <s v="PCL-001" u="1"/>
        <s v=" CBL-001" u="1"/>
        <s v="MNL-001" u="1"/>
        <s v="CB-009" u="1"/>
        <s v="CB-022" u="1"/>
        <s v="PC-02" u="1"/>
        <s v="CB-010" u="1"/>
        <s v="CB-014" u="1"/>
        <s v="CB-013" u="1"/>
        <s v="CB-09" u="1"/>
        <s v="VL-041" u="1"/>
        <s v="VL-051" u="1"/>
        <s v="PC-002" u="1"/>
        <s v="PCL-002" u="1"/>
      </sharedItems>
    </cacheField>
    <cacheField name="Semana" numFmtId="168">
      <sharedItems containsBlank="1"/>
    </cacheField>
    <cacheField name="CÓDIGO SAP" numFmtId="0">
      <sharedItems containsBlank="1"/>
    </cacheField>
    <cacheField name="Horimetro Inicial" numFmtId="1">
      <sharedItems containsString="0" containsBlank="1" containsNumber="1" containsInteger="1" minValue="5132" maxValue="5132"/>
    </cacheField>
    <cacheField name="Horimetro Final" numFmtId="1">
      <sharedItems containsBlank="1" containsMixedTypes="1" containsNumber="1" containsInteger="1" minValue="5140" maxValue="5140"/>
    </cacheField>
    <cacheField name="KM INICIAL" numFmtId="170">
      <sharedItems containsNonDate="0" containsString="0" containsBlank="1"/>
    </cacheField>
    <cacheField name="KM FINAL" numFmtId="170">
      <sharedItems containsBlank="1" containsMixedTypes="1" containsNumber="1" containsInteger="1" minValue="190" maxValue="563"/>
    </cacheField>
    <cacheField name="Município" numFmtId="168">
      <sharedItems containsBlank="1"/>
    </cacheField>
    <cacheField name="Item" numFmtId="0">
      <sharedItems containsString="0" containsBlank="1" containsNumber="1" containsInteger="1" minValue="200" maxValue="590"/>
    </cacheField>
    <cacheField name="Descrição" numFmtId="168">
      <sharedItems containsBlank="1"/>
    </cacheField>
    <cacheField name="Und." numFmtId="168">
      <sharedItems containsBlank="1" count="8">
        <s v=""/>
        <s v="KM"/>
        <m/>
        <s v="MES"/>
        <s v="H" u="1"/>
        <s v="HP" u="1"/>
        <s v="HI" u="1"/>
        <s v="VB" u="1"/>
      </sharedItems>
    </cacheField>
    <cacheField name="Preço (R$)" numFmtId="0">
      <sharedItems containsBlank="1" containsMixedTypes="1" containsNumber="1" minValue="7.1296636419753074" maxValue="16892.54"/>
    </cacheField>
    <cacheField name="Quant. De Hrs" numFmtId="175">
      <sharedItems containsBlank="1" containsMixedTypes="1" containsNumber="1" containsInteger="1" minValue="8" maxValue="9"/>
    </cacheField>
    <cacheField name="HM" numFmtId="0">
      <sharedItems containsBlank="1" containsMixedTypes="1" containsNumber="1" containsInteger="1" minValue="8" maxValue="8"/>
    </cacheField>
    <cacheField name="TOTAL (R$)" numFmtId="0">
      <sharedItems containsBlank="1" containsMixedTypes="1" containsNumber="1" containsInteger="1" minValue="0" maxValue="0"/>
    </cacheField>
    <cacheField name="SUPERVISÃO" numFmtId="0">
      <sharedItems containsBlank="1" count="5">
        <s v="-"/>
        <s v="T-03"/>
        <m/>
        <s v="T-01"/>
        <s v="T-02"/>
      </sharedItems>
    </cacheField>
    <cacheField name="CENTR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9"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2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m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8"/>
    <s v="-"/>
    <x v="0"/>
    <m/>
    <m/>
    <m/>
    <m/>
    <m/>
    <x v="0"/>
    <x v="0"/>
    <x v="0"/>
    <x v="0"/>
    <s v=""/>
    <m/>
    <s v="-"/>
    <s v="-"/>
    <s v="-"/>
    <x v="0"/>
  </r>
  <r>
    <m/>
    <x v="0"/>
    <x v="19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2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1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1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8"/>
    <s v="-"/>
    <x v="0"/>
    <m/>
    <m/>
    <m/>
    <m/>
    <m/>
    <x v="0"/>
    <x v="0"/>
    <x v="0"/>
    <x v="0"/>
    <s v=""/>
    <m/>
    <s v="-"/>
    <s v="-"/>
    <s v="-"/>
    <x v="0"/>
  </r>
  <r>
    <m/>
    <x v="0"/>
    <x v="19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1"/>
    <x v="0"/>
    <x v="1"/>
    <x v="1"/>
    <m/>
    <m/>
    <m/>
    <m/>
    <m/>
    <x v="2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2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8"/>
    <s v="-"/>
    <x v="0"/>
    <m/>
    <m/>
    <m/>
    <m/>
    <m/>
    <x v="0"/>
    <x v="0"/>
    <x v="0"/>
    <x v="0"/>
    <s v=""/>
    <m/>
    <s v="-"/>
    <s v="-"/>
    <s v="-"/>
    <x v="0"/>
  </r>
  <r>
    <m/>
    <x v="0"/>
    <x v="19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2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s v="-"/>
    <m/>
    <m/>
    <m/>
    <m/>
    <x v="0"/>
    <x v="0"/>
    <x v="0"/>
    <x v="0"/>
    <s v=""/>
    <m/>
    <s v="-"/>
    <s v="-"/>
    <s v="-"/>
    <x v="0"/>
  </r>
  <r>
    <m/>
    <x v="0"/>
    <x v="6"/>
    <s v="-"/>
    <x v="0"/>
    <s v="-"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8"/>
    <s v="-"/>
    <x v="0"/>
    <m/>
    <m/>
    <m/>
    <m/>
    <m/>
    <x v="0"/>
    <x v="0"/>
    <x v="0"/>
    <x v="0"/>
    <s v=""/>
    <m/>
    <s v="-"/>
    <s v="-"/>
    <s v="-"/>
    <x v="0"/>
  </r>
  <r>
    <m/>
    <x v="0"/>
    <x v="19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2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8"/>
    <s v="-"/>
    <x v="0"/>
    <m/>
    <m/>
    <m/>
    <m/>
    <m/>
    <x v="0"/>
    <x v="0"/>
    <x v="0"/>
    <x v="0"/>
    <s v=""/>
    <m/>
    <s v="-"/>
    <s v="-"/>
    <s v="-"/>
    <x v="0"/>
  </r>
  <r>
    <m/>
    <x v="0"/>
    <x v="19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2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8"/>
    <s v="-"/>
    <x v="0"/>
    <m/>
    <m/>
    <m/>
    <m/>
    <m/>
    <x v="0"/>
    <x v="0"/>
    <x v="0"/>
    <x v="0"/>
    <s v=""/>
    <m/>
    <s v="-"/>
    <s v="-"/>
    <s v="-"/>
    <x v="0"/>
  </r>
  <r>
    <m/>
    <x v="0"/>
    <x v="19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2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8"/>
    <s v="-"/>
    <x v="0"/>
    <m/>
    <m/>
    <m/>
    <m/>
    <m/>
    <x v="0"/>
    <x v="0"/>
    <x v="0"/>
    <x v="0"/>
    <s v=""/>
    <m/>
    <s v="-"/>
    <s v="-"/>
    <s v="-"/>
    <x v="0"/>
  </r>
  <r>
    <m/>
    <x v="0"/>
    <x v="19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2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8"/>
    <s v="-"/>
    <x v="0"/>
    <m/>
    <m/>
    <m/>
    <m/>
    <m/>
    <x v="0"/>
    <x v="0"/>
    <x v="0"/>
    <x v="0"/>
    <s v=""/>
    <m/>
    <s v="-"/>
    <s v="-"/>
    <s v="-"/>
    <x v="0"/>
  </r>
  <r>
    <m/>
    <x v="0"/>
    <x v="19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2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8"/>
    <s v="-"/>
    <x v="0"/>
    <m/>
    <m/>
    <m/>
    <m/>
    <m/>
    <x v="0"/>
    <x v="0"/>
    <x v="0"/>
    <x v="0"/>
    <s v=""/>
    <m/>
    <s v="-"/>
    <s v="-"/>
    <s v="-"/>
    <x v="0"/>
  </r>
  <r>
    <m/>
    <x v="0"/>
    <x v="18"/>
    <s v="-"/>
    <x v="0"/>
    <s v="CTL-04"/>
    <m/>
    <m/>
    <m/>
    <m/>
    <x v="0"/>
    <x v="0"/>
    <x v="0"/>
    <x v="0"/>
    <s v=""/>
    <m/>
    <s v="-"/>
    <s v="-"/>
    <s v="-"/>
    <x v="0"/>
  </r>
  <r>
    <m/>
    <x v="0"/>
    <x v="19"/>
    <s v="-"/>
    <x v="0"/>
    <s v="CTL-05"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2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21"/>
    <s v="-"/>
    <x v="0"/>
    <m/>
    <m/>
    <m/>
    <m/>
    <m/>
    <x v="0"/>
    <x v="0"/>
    <x v="0"/>
    <x v="0"/>
    <s v=""/>
    <m/>
    <s v="-"/>
    <s v="-"/>
    <s v="-"/>
    <x v="0"/>
  </r>
  <r>
    <m/>
    <x v="0"/>
    <x v="21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8"/>
    <s v="-"/>
    <x v="0"/>
    <m/>
    <m/>
    <m/>
    <m/>
    <m/>
    <x v="0"/>
    <x v="0"/>
    <x v="0"/>
    <x v="0"/>
    <s v=""/>
    <m/>
    <s v="-"/>
    <s v="-"/>
    <s v="-"/>
    <x v="0"/>
  </r>
  <r>
    <m/>
    <x v="0"/>
    <x v="19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2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m/>
    <x v="1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3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8"/>
    <s v="-"/>
    <x v="0"/>
    <m/>
    <m/>
    <m/>
    <m/>
    <m/>
    <x v="0"/>
    <x v="0"/>
    <x v="0"/>
    <x v="0"/>
    <s v=""/>
    <m/>
    <s v="-"/>
    <s v="-"/>
    <s v="-"/>
    <x v="0"/>
  </r>
  <r>
    <m/>
    <x v="0"/>
    <x v="19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m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m/>
    <x v="1"/>
    <m/>
    <m/>
    <m/>
    <m/>
    <m/>
    <x v="0"/>
    <x v="0"/>
    <x v="0"/>
    <x v="0"/>
    <s v=""/>
    <m/>
    <s v="-"/>
    <s v="-"/>
    <m/>
    <x v="2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m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2"/>
    <s v="-"/>
    <x v="0"/>
    <m/>
    <m/>
    <m/>
    <m/>
    <m/>
    <x v="0"/>
    <x v="0"/>
    <x v="0"/>
    <x v="0"/>
    <s v=""/>
    <m/>
    <s v="-"/>
    <s v="-"/>
    <s v="-"/>
    <x v="0"/>
  </r>
  <r>
    <m/>
    <x v="0"/>
    <x v="22"/>
    <s v="-"/>
    <x v="0"/>
    <m/>
    <m/>
    <m/>
    <m/>
    <m/>
    <x v="0"/>
    <x v="0"/>
    <x v="0"/>
    <x v="0"/>
    <s v=""/>
    <m/>
    <s v="-"/>
    <s v="-"/>
    <s v="-"/>
    <x v="0"/>
  </r>
  <r>
    <m/>
    <x v="0"/>
    <x v="22"/>
    <s v="-"/>
    <x v="0"/>
    <m/>
    <m/>
    <m/>
    <m/>
    <m/>
    <x v="0"/>
    <x v="0"/>
    <x v="0"/>
    <x v="0"/>
    <s v=""/>
    <m/>
    <s v="-"/>
    <s v="-"/>
    <s v="-"/>
    <x v="0"/>
  </r>
  <r>
    <m/>
    <x v="0"/>
    <x v="23"/>
    <s v="-"/>
    <x v="0"/>
    <m/>
    <m/>
    <m/>
    <m/>
    <m/>
    <x v="0"/>
    <x v="0"/>
    <x v="0"/>
    <x v="0"/>
    <s v=""/>
    <m/>
    <s v="-"/>
    <s v="-"/>
    <s v="-"/>
    <x v="0"/>
  </r>
  <r>
    <m/>
    <x v="0"/>
    <x v="23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m/>
    <x v="1"/>
    <m/>
    <m/>
    <m/>
    <m/>
    <m/>
    <x v="1"/>
    <x v="0"/>
    <x v="1"/>
    <x v="1"/>
    <m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2"/>
    <s v="-"/>
    <x v="0"/>
    <m/>
    <m/>
    <m/>
    <m/>
    <m/>
    <x v="0"/>
    <x v="0"/>
    <x v="0"/>
    <x v="0"/>
    <s v=""/>
    <m/>
    <s v="-"/>
    <s v="-"/>
    <s v="-"/>
    <x v="0"/>
  </r>
  <r>
    <m/>
    <x v="0"/>
    <x v="22"/>
    <s v="-"/>
    <x v="0"/>
    <m/>
    <m/>
    <m/>
    <m/>
    <m/>
    <x v="0"/>
    <x v="0"/>
    <x v="0"/>
    <x v="0"/>
    <s v=""/>
    <m/>
    <s v="-"/>
    <s v="-"/>
    <s v="-"/>
    <x v="0"/>
  </r>
  <r>
    <m/>
    <x v="0"/>
    <x v="22"/>
    <s v="-"/>
    <x v="0"/>
    <m/>
    <m/>
    <m/>
    <m/>
    <m/>
    <x v="0"/>
    <x v="0"/>
    <x v="0"/>
    <x v="0"/>
    <s v=""/>
    <m/>
    <s v="-"/>
    <s v="-"/>
    <s v="-"/>
    <x v="0"/>
  </r>
  <r>
    <m/>
    <x v="0"/>
    <x v="23"/>
    <s v="-"/>
    <x v="0"/>
    <m/>
    <m/>
    <m/>
    <m/>
    <m/>
    <x v="0"/>
    <x v="0"/>
    <x v="0"/>
    <x v="0"/>
    <s v=""/>
    <m/>
    <s v="-"/>
    <s v="-"/>
    <s v="-"/>
    <x v="0"/>
  </r>
  <r>
    <m/>
    <x v="0"/>
    <x v="23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0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1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3"/>
    <s v="-"/>
    <x v="0"/>
    <m/>
    <m/>
    <m/>
    <m/>
    <m/>
    <x v="0"/>
    <x v="0"/>
    <x v="0"/>
    <x v="0"/>
    <s v=""/>
    <m/>
    <s v="-"/>
    <s v="-"/>
    <s v="-"/>
    <x v="0"/>
  </r>
  <r>
    <m/>
    <x v="0"/>
    <x v="4"/>
    <s v="-"/>
    <x v="0"/>
    <m/>
    <m/>
    <m/>
    <m/>
    <m/>
    <x v="0"/>
    <x v="0"/>
    <x v="0"/>
    <x v="0"/>
    <s v=""/>
    <m/>
    <s v="-"/>
    <s v="-"/>
    <s v="-"/>
    <x v="0"/>
  </r>
  <r>
    <m/>
    <x v="0"/>
    <x v="5"/>
    <s v="-"/>
    <x v="0"/>
    <m/>
    <m/>
    <m/>
    <m/>
    <m/>
    <x v="0"/>
    <x v="0"/>
    <x v="0"/>
    <x v="0"/>
    <s v=""/>
    <m/>
    <s v="-"/>
    <s v="-"/>
    <s v="-"/>
    <x v="0"/>
  </r>
  <r>
    <m/>
    <x v="0"/>
    <x v="6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7"/>
    <s v="-"/>
    <x v="0"/>
    <m/>
    <m/>
    <m/>
    <m/>
    <m/>
    <x v="0"/>
    <x v="0"/>
    <x v="0"/>
    <x v="0"/>
    <s v=""/>
    <m/>
    <s v="-"/>
    <s v="-"/>
    <s v="-"/>
    <x v="0"/>
  </r>
  <r>
    <m/>
    <x v="0"/>
    <x v="8"/>
    <s v="-"/>
    <x v="0"/>
    <m/>
    <m/>
    <m/>
    <m/>
    <m/>
    <x v="0"/>
    <x v="0"/>
    <x v="0"/>
    <x v="0"/>
    <s v=""/>
    <m/>
    <s v="-"/>
    <s v="-"/>
    <s v="-"/>
    <x v="0"/>
  </r>
  <r>
    <m/>
    <x v="0"/>
    <x v="9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0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1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2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3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4"/>
    <s v="-"/>
    <x v="0"/>
    <m/>
    <m/>
    <m/>
    <m/>
    <m/>
    <x v="0"/>
    <x v="0"/>
    <x v="0"/>
    <x v="0"/>
    <s v=""/>
    <m/>
    <s v="-"/>
    <s v="-"/>
    <s v="-"/>
    <x v="0"/>
  </r>
  <r>
    <m/>
    <x v="0"/>
    <x v="15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6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17"/>
    <s v="-"/>
    <x v="0"/>
    <m/>
    <m/>
    <m/>
    <m/>
    <m/>
    <x v="0"/>
    <x v="0"/>
    <x v="0"/>
    <x v="0"/>
    <s v=""/>
    <m/>
    <s v="-"/>
    <s v="-"/>
    <s v="-"/>
    <x v="0"/>
  </r>
  <r>
    <m/>
    <x v="0"/>
    <x v="2"/>
    <s v="-"/>
    <x v="0"/>
    <m/>
    <m/>
    <m/>
    <m/>
    <m/>
    <x v="0"/>
    <x v="0"/>
    <x v="0"/>
    <x v="0"/>
    <s v=""/>
    <m/>
    <s v="-"/>
    <s v="-"/>
    <s v="-"/>
    <x v="0"/>
  </r>
  <r>
    <m/>
    <x v="0"/>
    <x v="22"/>
    <s v="-"/>
    <x v="0"/>
    <m/>
    <m/>
    <m/>
    <m/>
    <m/>
    <x v="0"/>
    <x v="0"/>
    <x v="0"/>
    <x v="0"/>
    <s v=""/>
    <m/>
    <s v="-"/>
    <s v="-"/>
    <s v="-"/>
    <x v="0"/>
  </r>
  <r>
    <m/>
    <x v="0"/>
    <x v="22"/>
    <s v="-"/>
    <x v="0"/>
    <m/>
    <m/>
    <m/>
    <m/>
    <m/>
    <x v="0"/>
    <x v="0"/>
    <x v="0"/>
    <x v="0"/>
    <s v=""/>
    <m/>
    <s v="-"/>
    <s v="-"/>
    <s v="-"/>
    <x v="0"/>
  </r>
  <r>
    <m/>
    <x v="0"/>
    <x v="23"/>
    <s v="-"/>
    <x v="0"/>
    <m/>
    <m/>
    <m/>
    <m/>
    <m/>
    <x v="0"/>
    <x v="0"/>
    <x v="0"/>
    <x v="0"/>
    <s v=""/>
    <m/>
    <s v="-"/>
    <s v="-"/>
    <s v="-"/>
    <x v="0"/>
  </r>
  <r>
    <m/>
    <x v="0"/>
    <x v="23"/>
    <s v="-"/>
    <x v="0"/>
    <m/>
    <m/>
    <m/>
    <m/>
    <m/>
    <x v="0"/>
    <x v="0"/>
    <x v="0"/>
    <x v="0"/>
    <s v=""/>
    <m/>
    <s v="-"/>
    <s v="-"/>
    <s v="-"/>
    <x v="0"/>
  </r>
  <r>
    <m/>
    <x v="0"/>
    <x v="24"/>
    <s v="-"/>
    <x v="0"/>
    <m/>
    <m/>
    <m/>
    <m/>
    <m/>
    <x v="0"/>
    <x v="0"/>
    <x v="0"/>
    <x v="0"/>
    <s v=""/>
    <m/>
    <s v="-"/>
    <s v="-"/>
    <s v="-"/>
    <x v="0"/>
  </r>
  <r>
    <m/>
    <x v="0"/>
    <x v="25"/>
    <s v="-"/>
    <x v="0"/>
    <m/>
    <m/>
    <m/>
    <m/>
    <m/>
    <x v="0"/>
    <x v="0"/>
    <x v="0"/>
    <x v="0"/>
    <s v=""/>
    <m/>
    <s v="-"/>
    <s v="-"/>
    <s v="-"/>
    <x v="0"/>
  </r>
  <r>
    <m/>
    <x v="0"/>
    <x v="26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m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0"/>
    <m/>
    <m/>
    <m/>
    <m/>
    <m/>
    <x v="0"/>
    <x v="0"/>
    <x v="0"/>
    <x v="0"/>
    <s v=""/>
    <m/>
    <s v="-"/>
    <s v="-"/>
    <s v="-"/>
    <x v="0"/>
  </r>
  <r>
    <m/>
    <x v="0"/>
    <x v="20"/>
    <s v="-"/>
    <x v="1"/>
    <m/>
    <m/>
    <m/>
    <m/>
    <m/>
    <x v="0"/>
    <x v="0"/>
    <x v="0"/>
    <x v="0"/>
    <s v=""/>
    <m/>
    <s v="-"/>
    <s v="-"/>
    <s v="-"/>
    <x v="0"/>
  </r>
  <r>
    <m/>
    <x v="0"/>
    <x v="20"/>
    <s v="-"/>
    <x v="1"/>
    <m/>
    <m/>
    <m/>
    <m/>
    <m/>
    <x v="0"/>
    <x v="0"/>
    <x v="0"/>
    <x v="0"/>
    <s v=""/>
    <m/>
    <s v="-"/>
    <s v="-"/>
    <s v="-"/>
    <x v="0"/>
  </r>
  <r>
    <m/>
    <x v="0"/>
    <x v="20"/>
    <s v="-"/>
    <x v="1"/>
    <m/>
    <m/>
    <m/>
    <m/>
    <m/>
    <x v="0"/>
    <x v="0"/>
    <x v="0"/>
    <x v="0"/>
    <s v=""/>
    <m/>
    <s v="-"/>
    <s v="-"/>
    <s v="-"/>
    <x v="0"/>
  </r>
  <r>
    <m/>
    <x v="0"/>
    <x v="20"/>
    <s v="-"/>
    <x v="1"/>
    <m/>
    <m/>
    <m/>
    <m/>
    <m/>
    <x v="0"/>
    <x v="0"/>
    <x v="0"/>
    <x v="0"/>
    <s v=""/>
    <m/>
    <s v="-"/>
    <s v="-"/>
    <s v="-"/>
    <x v="0"/>
  </r>
  <r>
    <m/>
    <x v="0"/>
    <x v="20"/>
    <s v="-"/>
    <x v="1"/>
    <m/>
    <m/>
    <m/>
    <m/>
    <m/>
    <x v="0"/>
    <x v="0"/>
    <x v="0"/>
    <x v="0"/>
    <s v=""/>
    <m/>
    <s v="-"/>
    <s v="-"/>
    <s v="-"/>
    <x v="0"/>
  </r>
  <r>
    <m/>
    <x v="0"/>
    <x v="20"/>
    <s v="-"/>
    <x v="1"/>
    <m/>
    <m/>
    <m/>
    <m/>
    <m/>
    <x v="0"/>
    <x v="0"/>
    <x v="0"/>
    <x v="0"/>
    <s v=""/>
    <m/>
    <s v="-"/>
    <s v="-"/>
    <s v="-"/>
    <x v="0"/>
  </r>
  <r>
    <m/>
    <x v="0"/>
    <x v="20"/>
    <s v="-"/>
    <x v="1"/>
    <m/>
    <m/>
    <m/>
    <m/>
    <m/>
    <x v="0"/>
    <x v="0"/>
    <x v="0"/>
    <x v="0"/>
    <m/>
    <m/>
    <s v="-"/>
    <s v="-"/>
    <s v="-"/>
    <x v="0"/>
  </r>
  <r>
    <m/>
    <x v="0"/>
    <x v="20"/>
    <s v="-"/>
    <x v="1"/>
    <m/>
    <m/>
    <m/>
    <m/>
    <m/>
    <x v="0"/>
    <x v="0"/>
    <x v="0"/>
    <x v="0"/>
    <m/>
    <m/>
    <s v="-"/>
    <s v="-"/>
    <s v="-"/>
    <x v="0"/>
  </r>
  <r>
    <m/>
    <x v="0"/>
    <x v="20"/>
    <s v="-"/>
    <x v="1"/>
    <m/>
    <m/>
    <m/>
    <m/>
    <m/>
    <x v="0"/>
    <x v="0"/>
    <x v="0"/>
    <x v="0"/>
    <m/>
    <m/>
    <s v="-"/>
    <s v="-"/>
    <s v="-"/>
    <x v="0"/>
  </r>
  <r>
    <m/>
    <x v="0"/>
    <x v="20"/>
    <s v="-"/>
    <x v="1"/>
    <m/>
    <m/>
    <m/>
    <m/>
    <m/>
    <x v="1"/>
    <x v="0"/>
    <x v="0"/>
    <x v="0"/>
    <s v=""/>
    <m/>
    <s v="-"/>
    <s v="-"/>
    <s v="-"/>
    <x v="0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s v=" "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s v=" "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s v="-"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  <r>
    <m/>
    <x v="0"/>
    <x v="20"/>
    <m/>
    <x v="1"/>
    <m/>
    <m/>
    <m/>
    <m/>
    <m/>
    <x v="1"/>
    <x v="0"/>
    <x v="1"/>
    <x v="1"/>
    <m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6">
  <r>
    <m/>
    <d v="2024-07-22T00:00:00"/>
    <x v="0"/>
    <s v="seg"/>
    <s v="-"/>
    <m/>
    <m/>
    <m/>
    <m/>
    <s v=""/>
    <m/>
    <s v=""/>
    <x v="0"/>
    <s v=""/>
    <m/>
    <s v="-"/>
    <s v="-"/>
    <x v="0"/>
    <s v="-"/>
  </r>
  <r>
    <m/>
    <d v="2024-07-22T00:00:00"/>
    <x v="0"/>
    <s v="seg"/>
    <s v="-"/>
    <m/>
    <m/>
    <m/>
    <m/>
    <s v=""/>
    <m/>
    <s v=""/>
    <x v="0"/>
    <s v=""/>
    <m/>
    <s v="-"/>
    <s v="-"/>
    <x v="0"/>
    <s v="-"/>
  </r>
  <r>
    <m/>
    <d v="2024-07-22T00:00:00"/>
    <x v="1"/>
    <s v="seg"/>
    <s v="-"/>
    <m/>
    <m/>
    <m/>
    <m/>
    <s v=""/>
    <m/>
    <s v=""/>
    <x v="0"/>
    <s v=""/>
    <m/>
    <s v="-"/>
    <s v="-"/>
    <x v="0"/>
    <s v="-"/>
  </r>
  <r>
    <m/>
    <d v="2024-07-22T00:00:00"/>
    <x v="2"/>
    <s v="seg"/>
    <s v="-"/>
    <m/>
    <m/>
    <m/>
    <m/>
    <s v=""/>
    <m/>
    <s v=""/>
    <x v="0"/>
    <s v=""/>
    <m/>
    <s v="-"/>
    <s v="-"/>
    <x v="0"/>
    <s v="-"/>
  </r>
  <r>
    <m/>
    <d v="2024-07-22T00:00:00"/>
    <x v="3"/>
    <s v="seg"/>
    <s v="-"/>
    <m/>
    <m/>
    <m/>
    <m/>
    <s v=""/>
    <m/>
    <s v=""/>
    <x v="0"/>
    <s v=""/>
    <m/>
    <s v="-"/>
    <s v="-"/>
    <x v="0"/>
    <s v="-"/>
  </r>
  <r>
    <m/>
    <d v="2024-07-22T00:00:00"/>
    <x v="3"/>
    <s v="seg"/>
    <s v="-"/>
    <m/>
    <m/>
    <m/>
    <m/>
    <s v=""/>
    <m/>
    <s v=""/>
    <x v="0"/>
    <s v=""/>
    <m/>
    <s v="-"/>
    <s v="-"/>
    <x v="0"/>
    <s v="-"/>
  </r>
  <r>
    <m/>
    <d v="2024-07-22T00:00:00"/>
    <x v="4"/>
    <s v="seg"/>
    <s v="-"/>
    <m/>
    <m/>
    <m/>
    <m/>
    <s v=""/>
    <m/>
    <s v=""/>
    <x v="0"/>
    <s v=""/>
    <m/>
    <s v="-"/>
    <s v="-"/>
    <x v="0"/>
    <s v="-"/>
  </r>
  <r>
    <m/>
    <d v="2024-07-22T00:00:00"/>
    <x v="5"/>
    <s v="seg"/>
    <s v="-"/>
    <m/>
    <m/>
    <m/>
    <m/>
    <s v=""/>
    <m/>
    <s v=""/>
    <x v="0"/>
    <s v=""/>
    <m/>
    <s v="-"/>
    <s v="-"/>
    <x v="0"/>
    <s v="-"/>
  </r>
  <r>
    <m/>
    <d v="2024-07-22T00:00:00"/>
    <x v="6"/>
    <s v="seg"/>
    <s v="-"/>
    <m/>
    <m/>
    <m/>
    <m/>
    <s v=""/>
    <m/>
    <s v=""/>
    <x v="0"/>
    <s v=""/>
    <m/>
    <s v="-"/>
    <s v="-"/>
    <x v="0"/>
    <s v="-"/>
  </r>
  <r>
    <m/>
    <d v="2024-07-22T00:00:00"/>
    <x v="7"/>
    <s v="seg"/>
    <s v="-"/>
    <m/>
    <m/>
    <m/>
    <m/>
    <s v=""/>
    <m/>
    <s v=""/>
    <x v="0"/>
    <s v=""/>
    <m/>
    <s v="-"/>
    <s v="-"/>
    <x v="0"/>
    <s v="-"/>
  </r>
  <r>
    <m/>
    <d v="2024-07-22T00:00:00"/>
    <x v="7"/>
    <s v="seg"/>
    <s v="-"/>
    <m/>
    <m/>
    <m/>
    <m/>
    <s v=""/>
    <m/>
    <s v=""/>
    <x v="0"/>
    <s v=""/>
    <m/>
    <s v="-"/>
    <s v="-"/>
    <x v="0"/>
    <s v="-"/>
  </r>
  <r>
    <m/>
    <d v="2024-07-22T00:00:00"/>
    <x v="8"/>
    <s v="seg"/>
    <s v="-"/>
    <m/>
    <m/>
    <m/>
    <m/>
    <s v=""/>
    <m/>
    <s v=""/>
    <x v="0"/>
    <s v=""/>
    <m/>
    <s v="-"/>
    <s v="-"/>
    <x v="0"/>
    <s v="-"/>
  </r>
  <r>
    <m/>
    <d v="2024-07-22T00:00:00"/>
    <x v="9"/>
    <s v="seg"/>
    <s v="-"/>
    <m/>
    <m/>
    <m/>
    <m/>
    <s v=""/>
    <m/>
    <s v=""/>
    <x v="0"/>
    <s v=""/>
    <m/>
    <s v="-"/>
    <s v="-"/>
    <x v="0"/>
    <s v="-"/>
  </r>
  <r>
    <m/>
    <d v="2024-07-22T00:00:00"/>
    <x v="10"/>
    <s v="seg"/>
    <s v="-"/>
    <m/>
    <m/>
    <m/>
    <m/>
    <s v=""/>
    <m/>
    <s v=""/>
    <x v="0"/>
    <s v=""/>
    <m/>
    <s v="-"/>
    <s v="-"/>
    <x v="0"/>
    <s v="-"/>
  </r>
  <r>
    <m/>
    <d v="2024-07-22T00:00:00"/>
    <x v="10"/>
    <s v="seg"/>
    <s v="-"/>
    <m/>
    <m/>
    <m/>
    <m/>
    <s v=""/>
    <m/>
    <s v=""/>
    <x v="0"/>
    <s v=""/>
    <m/>
    <s v="-"/>
    <s v="-"/>
    <x v="0"/>
    <s v="-"/>
  </r>
  <r>
    <m/>
    <d v="2024-07-22T00:00:00"/>
    <x v="11"/>
    <s v="seg"/>
    <s v="-"/>
    <m/>
    <m/>
    <m/>
    <m/>
    <s v=""/>
    <m/>
    <s v=""/>
    <x v="0"/>
    <s v=""/>
    <m/>
    <s v="-"/>
    <s v="-"/>
    <x v="0"/>
    <s v="-"/>
  </r>
  <r>
    <m/>
    <d v="2024-07-22T00:00:00"/>
    <x v="11"/>
    <s v="seg"/>
    <s v="-"/>
    <m/>
    <m/>
    <m/>
    <m/>
    <s v=""/>
    <m/>
    <s v=""/>
    <x v="0"/>
    <s v=""/>
    <m/>
    <m/>
    <s v="-"/>
    <x v="0"/>
    <s v="-"/>
  </r>
  <r>
    <m/>
    <d v="2024-07-22T00:00:00"/>
    <x v="12"/>
    <s v="seg"/>
    <s v="-"/>
    <m/>
    <m/>
    <m/>
    <m/>
    <s v=""/>
    <m/>
    <s v=""/>
    <x v="0"/>
    <s v=""/>
    <m/>
    <s v="-"/>
    <s v="-"/>
    <x v="0"/>
    <s v="-"/>
  </r>
  <r>
    <m/>
    <d v="2024-07-22T00:00:00"/>
    <x v="12"/>
    <s v="seg"/>
    <s v="-"/>
    <m/>
    <m/>
    <m/>
    <m/>
    <s v=""/>
    <m/>
    <s v=""/>
    <x v="0"/>
    <s v=""/>
    <m/>
    <s v="-"/>
    <s v="-"/>
    <x v="0"/>
    <s v="-"/>
  </r>
  <r>
    <m/>
    <d v="2024-07-22T00:00:00"/>
    <x v="13"/>
    <s v="seg"/>
    <s v="-"/>
    <m/>
    <m/>
    <m/>
    <m/>
    <s v=""/>
    <m/>
    <s v=""/>
    <x v="0"/>
    <s v=""/>
    <m/>
    <s v="-"/>
    <s v="-"/>
    <x v="0"/>
    <s v="-"/>
  </r>
  <r>
    <m/>
    <d v="2024-07-22T00:00:00"/>
    <x v="13"/>
    <s v="seg"/>
    <s v="-"/>
    <m/>
    <m/>
    <m/>
    <m/>
    <s v=""/>
    <m/>
    <s v=""/>
    <x v="0"/>
    <s v=""/>
    <m/>
    <s v="-"/>
    <s v="-"/>
    <x v="0"/>
    <s v="-"/>
  </r>
  <r>
    <m/>
    <d v="2024-07-22T00:00:00"/>
    <x v="14"/>
    <s v="seg"/>
    <s v="-"/>
    <m/>
    <m/>
    <m/>
    <m/>
    <s v=""/>
    <m/>
    <s v=""/>
    <x v="0"/>
    <s v=""/>
    <m/>
    <s v="-"/>
    <s v="-"/>
    <x v="0"/>
    <s v="-"/>
  </r>
  <r>
    <m/>
    <d v="2024-07-22T00:00:00"/>
    <x v="14"/>
    <s v="seg"/>
    <s v="-"/>
    <m/>
    <m/>
    <m/>
    <m/>
    <s v=""/>
    <m/>
    <s v=""/>
    <x v="0"/>
    <s v=""/>
    <m/>
    <s v="-"/>
    <s v="-"/>
    <x v="0"/>
    <s v="-"/>
  </r>
  <r>
    <m/>
    <d v="2024-07-22T00:00:00"/>
    <x v="15"/>
    <s v="seg"/>
    <s v="-"/>
    <m/>
    <m/>
    <m/>
    <n v="563"/>
    <s v="Tupirama"/>
    <m/>
    <s v=""/>
    <x v="0"/>
    <s v=""/>
    <n v="9"/>
    <s v="-"/>
    <s v="-"/>
    <x v="1"/>
    <s v="PALMAS"/>
  </r>
  <r>
    <m/>
    <d v="2024-07-22T00:00:00"/>
    <x v="16"/>
    <s v="seg"/>
    <s v="-"/>
    <m/>
    <m/>
    <m/>
    <m/>
    <s v=""/>
    <m/>
    <s v=""/>
    <x v="0"/>
    <s v=""/>
    <m/>
    <s v="-"/>
    <s v="-"/>
    <x v="0"/>
    <s v="-"/>
  </r>
  <r>
    <m/>
    <d v="2024-07-22T00:00:00"/>
    <x v="16"/>
    <s v="seg"/>
    <s v="-"/>
    <m/>
    <m/>
    <m/>
    <m/>
    <s v=""/>
    <m/>
    <s v=""/>
    <x v="0"/>
    <s v=""/>
    <m/>
    <s v="-"/>
    <s v="-"/>
    <x v="0"/>
    <s v="-"/>
  </r>
  <r>
    <m/>
    <d v="2024-07-22T00:00:00"/>
    <x v="17"/>
    <s v="seg"/>
    <s v="-"/>
    <m/>
    <m/>
    <m/>
    <m/>
    <s v=""/>
    <m/>
    <s v=""/>
    <x v="0"/>
    <s v=""/>
    <m/>
    <s v="-"/>
    <s v="-"/>
    <x v="0"/>
    <s v="-"/>
  </r>
  <r>
    <m/>
    <d v="2024-07-22T00:00:00"/>
    <x v="18"/>
    <s v="seg"/>
    <s v="-"/>
    <m/>
    <m/>
    <m/>
    <m/>
    <s v=""/>
    <m/>
    <s v=""/>
    <x v="0"/>
    <s v=""/>
    <m/>
    <s v="-"/>
    <s v="-"/>
    <x v="0"/>
    <s v="-"/>
  </r>
  <r>
    <m/>
    <d v="2024-07-22T00:00:00"/>
    <x v="19"/>
    <s v="seg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d v="2024-07-23T00:00:00"/>
    <x v="17"/>
    <s v="ter"/>
    <s v="-"/>
    <m/>
    <m/>
    <m/>
    <m/>
    <s v=""/>
    <m/>
    <s v=""/>
    <x v="0"/>
    <s v=""/>
    <m/>
    <s v="-"/>
    <s v="-"/>
    <x v="0"/>
    <s v="-"/>
  </r>
  <r>
    <m/>
    <d v="2024-07-23T00:00:00"/>
    <x v="0"/>
    <s v="ter"/>
    <s v="-"/>
    <m/>
    <m/>
    <m/>
    <m/>
    <s v=""/>
    <m/>
    <s v=""/>
    <x v="0"/>
    <s v=""/>
    <m/>
    <s v="-"/>
    <s v="-"/>
    <x v="0"/>
    <s v="-"/>
  </r>
  <r>
    <m/>
    <d v="2024-07-23T00:00:00"/>
    <x v="0"/>
    <s v="ter"/>
    <s v="-"/>
    <m/>
    <m/>
    <m/>
    <m/>
    <s v=""/>
    <m/>
    <s v=""/>
    <x v="0"/>
    <s v=""/>
    <m/>
    <s v="-"/>
    <s v="-"/>
    <x v="0"/>
    <s v="-"/>
  </r>
  <r>
    <m/>
    <d v="2024-07-23T00:00:00"/>
    <x v="1"/>
    <s v="ter"/>
    <s v="-"/>
    <m/>
    <m/>
    <m/>
    <m/>
    <s v=""/>
    <m/>
    <s v=""/>
    <x v="0"/>
    <s v=""/>
    <m/>
    <s v="-"/>
    <s v="-"/>
    <x v="0"/>
    <s v="-"/>
  </r>
  <r>
    <m/>
    <d v="2024-07-23T00:00:00"/>
    <x v="2"/>
    <s v="ter"/>
    <s v="-"/>
    <m/>
    <m/>
    <m/>
    <m/>
    <s v=""/>
    <m/>
    <s v=""/>
    <x v="0"/>
    <s v=""/>
    <m/>
    <s v="-"/>
    <s v="-"/>
    <x v="0"/>
    <s v="-"/>
  </r>
  <r>
    <m/>
    <d v="2024-07-23T00:00:00"/>
    <x v="3"/>
    <s v="ter"/>
    <s v="-"/>
    <m/>
    <m/>
    <m/>
    <m/>
    <s v=""/>
    <m/>
    <s v=""/>
    <x v="0"/>
    <s v=""/>
    <m/>
    <s v="-"/>
    <s v="-"/>
    <x v="0"/>
    <s v="-"/>
  </r>
  <r>
    <m/>
    <d v="2024-07-23T00:00:00"/>
    <x v="3"/>
    <s v="ter"/>
    <s v="-"/>
    <m/>
    <m/>
    <m/>
    <m/>
    <s v=""/>
    <m/>
    <s v=""/>
    <x v="0"/>
    <s v=""/>
    <m/>
    <s v="-"/>
    <s v="-"/>
    <x v="0"/>
    <s v="-"/>
  </r>
  <r>
    <m/>
    <d v="2024-07-23T00:00:00"/>
    <x v="4"/>
    <s v="ter"/>
    <s v="-"/>
    <m/>
    <m/>
    <m/>
    <m/>
    <s v=""/>
    <m/>
    <s v=""/>
    <x v="0"/>
    <s v=""/>
    <m/>
    <s v="-"/>
    <s v="-"/>
    <x v="0"/>
    <s v="-"/>
  </r>
  <r>
    <m/>
    <d v="2024-07-23T00:00:00"/>
    <x v="5"/>
    <s v="ter"/>
    <s v="-"/>
    <m/>
    <m/>
    <m/>
    <m/>
    <s v=""/>
    <m/>
    <s v=""/>
    <x v="0"/>
    <s v=""/>
    <m/>
    <s v="-"/>
    <s v="-"/>
    <x v="0"/>
    <s v="ARAGUAÍNA"/>
  </r>
  <r>
    <m/>
    <d v="2024-07-23T00:00:00"/>
    <x v="6"/>
    <s v="ter"/>
    <s v="-"/>
    <m/>
    <m/>
    <m/>
    <m/>
    <s v=""/>
    <m/>
    <s v=""/>
    <x v="0"/>
    <s v=""/>
    <m/>
    <s v="-"/>
    <s v="-"/>
    <x v="0"/>
    <s v="-"/>
  </r>
  <r>
    <m/>
    <d v="2024-07-23T00:00:00"/>
    <x v="7"/>
    <s v="ter"/>
    <s v="-"/>
    <m/>
    <m/>
    <m/>
    <m/>
    <s v=""/>
    <m/>
    <s v=""/>
    <x v="0"/>
    <s v=""/>
    <m/>
    <s v="-"/>
    <s v="-"/>
    <x v="0"/>
    <s v="-"/>
  </r>
  <r>
    <m/>
    <d v="2024-07-23T00:00:00"/>
    <x v="7"/>
    <s v="ter"/>
    <s v="-"/>
    <m/>
    <m/>
    <m/>
    <m/>
    <s v=""/>
    <m/>
    <s v=""/>
    <x v="0"/>
    <s v=""/>
    <m/>
    <s v="-"/>
    <s v="-"/>
    <x v="0"/>
    <s v="-"/>
  </r>
  <r>
    <m/>
    <d v="2024-07-23T00:00:00"/>
    <x v="8"/>
    <s v="ter"/>
    <s v="-"/>
    <m/>
    <m/>
    <m/>
    <m/>
    <s v=""/>
    <m/>
    <s v=""/>
    <x v="0"/>
    <s v=""/>
    <m/>
    <s v="-"/>
    <s v="-"/>
    <x v="0"/>
    <s v="-"/>
  </r>
  <r>
    <m/>
    <d v="2024-07-23T00:00:00"/>
    <x v="9"/>
    <s v="ter"/>
    <s v="-"/>
    <m/>
    <m/>
    <m/>
    <m/>
    <s v=""/>
    <m/>
    <s v=""/>
    <x v="0"/>
    <s v=""/>
    <m/>
    <s v="-"/>
    <s v="-"/>
    <x v="0"/>
    <s v="-"/>
  </r>
  <r>
    <m/>
    <d v="2024-07-23T00:00:00"/>
    <x v="10"/>
    <s v="ter"/>
    <s v="-"/>
    <m/>
    <m/>
    <m/>
    <m/>
    <s v=""/>
    <m/>
    <s v=""/>
    <x v="0"/>
    <s v=""/>
    <m/>
    <s v="-"/>
    <s v="-"/>
    <x v="0"/>
    <s v="-"/>
  </r>
  <r>
    <m/>
    <d v="2024-07-23T00:00:00"/>
    <x v="10"/>
    <s v="ter"/>
    <s v="-"/>
    <m/>
    <m/>
    <m/>
    <m/>
    <s v=""/>
    <m/>
    <s v=""/>
    <x v="0"/>
    <s v=""/>
    <m/>
    <s v="-"/>
    <s v="-"/>
    <x v="0"/>
    <s v="ARAGUAÍNA"/>
  </r>
  <r>
    <m/>
    <d v="2024-07-23T00:00:00"/>
    <x v="11"/>
    <s v="ter"/>
    <s v="-"/>
    <m/>
    <m/>
    <m/>
    <m/>
    <s v=""/>
    <m/>
    <s v=""/>
    <x v="0"/>
    <s v=""/>
    <m/>
    <s v="-"/>
    <s v="-"/>
    <x v="0"/>
    <s v="-"/>
  </r>
  <r>
    <m/>
    <d v="2024-07-23T00:00:00"/>
    <x v="11"/>
    <s v="ter"/>
    <s v="-"/>
    <m/>
    <m/>
    <m/>
    <m/>
    <s v=""/>
    <m/>
    <s v=""/>
    <x v="0"/>
    <s v=""/>
    <m/>
    <s v="-"/>
    <s v="-"/>
    <x v="0"/>
    <s v="-"/>
  </r>
  <r>
    <m/>
    <d v="2024-07-23T00:00:00"/>
    <x v="12"/>
    <s v="ter"/>
    <s v="-"/>
    <m/>
    <m/>
    <m/>
    <m/>
    <s v=""/>
    <m/>
    <s v=""/>
    <x v="0"/>
    <s v=""/>
    <m/>
    <s v="-"/>
    <s v="-"/>
    <x v="0"/>
    <s v="-"/>
  </r>
  <r>
    <m/>
    <d v="2024-07-23T00:00:00"/>
    <x v="12"/>
    <s v="ter"/>
    <s v="-"/>
    <m/>
    <m/>
    <m/>
    <m/>
    <s v=""/>
    <m/>
    <s v=""/>
    <x v="0"/>
    <s v=""/>
    <m/>
    <s v="-"/>
    <s v="-"/>
    <x v="0"/>
    <s v="-"/>
  </r>
  <r>
    <m/>
    <d v="2024-07-23T00:00:00"/>
    <x v="13"/>
    <s v="ter"/>
    <s v="-"/>
    <m/>
    <m/>
    <m/>
    <m/>
    <s v=""/>
    <m/>
    <s v=""/>
    <x v="0"/>
    <s v=""/>
    <m/>
    <s v="-"/>
    <s v="-"/>
    <x v="0"/>
    <s v="-"/>
  </r>
  <r>
    <m/>
    <d v="2024-07-23T00:00:00"/>
    <x v="13"/>
    <s v="ter"/>
    <s v="-"/>
    <m/>
    <m/>
    <m/>
    <m/>
    <s v=""/>
    <m/>
    <s v=""/>
    <x v="0"/>
    <s v=""/>
    <m/>
    <s v="-"/>
    <s v="-"/>
    <x v="0"/>
    <s v="-"/>
  </r>
  <r>
    <m/>
    <d v="2024-07-23T00:00:00"/>
    <x v="14"/>
    <s v="ter"/>
    <s v="-"/>
    <m/>
    <m/>
    <m/>
    <m/>
    <s v=""/>
    <m/>
    <s v=""/>
    <x v="0"/>
    <s v=""/>
    <m/>
    <s v="-"/>
    <s v="-"/>
    <x v="0"/>
    <s v="-"/>
  </r>
  <r>
    <m/>
    <d v="2024-07-23T00:00:00"/>
    <x v="14"/>
    <s v="ter"/>
    <s v="-"/>
    <m/>
    <m/>
    <m/>
    <m/>
    <s v=""/>
    <m/>
    <s v=""/>
    <x v="0"/>
    <s v=""/>
    <m/>
    <s v="-"/>
    <s v="-"/>
    <x v="0"/>
    <s v="-"/>
  </r>
  <r>
    <m/>
    <d v="2024-07-23T00:00:00"/>
    <x v="15"/>
    <s v="ter"/>
    <s v="-"/>
    <m/>
    <m/>
    <m/>
    <n v="563"/>
    <s v="Tupirama"/>
    <m/>
    <s v=""/>
    <x v="0"/>
    <s v=""/>
    <n v="9"/>
    <s v="-"/>
    <s v="-"/>
    <x v="1"/>
    <s v="PALMAS"/>
  </r>
  <r>
    <m/>
    <d v="2024-07-23T00:00:00"/>
    <x v="16"/>
    <s v="ter"/>
    <s v="-"/>
    <m/>
    <m/>
    <m/>
    <m/>
    <s v=""/>
    <m/>
    <s v=""/>
    <x v="0"/>
    <s v=""/>
    <m/>
    <s v="-"/>
    <s v="-"/>
    <x v="0"/>
    <s v="-"/>
  </r>
  <r>
    <m/>
    <d v="2024-07-23T00:00:00"/>
    <x v="16"/>
    <s v="ter"/>
    <s v="-"/>
    <m/>
    <m/>
    <m/>
    <m/>
    <s v=""/>
    <m/>
    <s v=""/>
    <x v="0"/>
    <s v=""/>
    <m/>
    <s v="-"/>
    <s v="-"/>
    <x v="0"/>
    <s v="-"/>
  </r>
  <r>
    <m/>
    <d v="2024-07-23T00:00:00"/>
    <x v="17"/>
    <s v="ter"/>
    <s v="-"/>
    <m/>
    <m/>
    <m/>
    <m/>
    <s v=""/>
    <m/>
    <s v=""/>
    <x v="0"/>
    <s v=""/>
    <m/>
    <s v="-"/>
    <s v="-"/>
    <x v="0"/>
    <s v="-"/>
  </r>
  <r>
    <m/>
    <d v="2024-07-23T00:00:00"/>
    <x v="17"/>
    <s v="ter"/>
    <s v="-"/>
    <m/>
    <m/>
    <m/>
    <m/>
    <s v=""/>
    <m/>
    <s v=""/>
    <x v="0"/>
    <s v=""/>
    <m/>
    <s v="-"/>
    <s v="-"/>
    <x v="0"/>
    <s v="-"/>
  </r>
  <r>
    <m/>
    <d v="2024-07-23T00:00:00"/>
    <x v="18"/>
    <s v="ter"/>
    <s v="-"/>
    <m/>
    <m/>
    <m/>
    <m/>
    <s v=""/>
    <m/>
    <s v=""/>
    <x v="0"/>
    <s v=""/>
    <m/>
    <s v="-"/>
    <s v="-"/>
    <x v="0"/>
    <s v="-"/>
  </r>
  <r>
    <m/>
    <d v="2024-07-23T00:00:00"/>
    <x v="19"/>
    <s v="ter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d v="2024-07-24T00:00:00"/>
    <x v="0"/>
    <s v="qua"/>
    <s v="-"/>
    <m/>
    <m/>
    <m/>
    <m/>
    <s v=""/>
    <m/>
    <s v=""/>
    <x v="0"/>
    <s v=""/>
    <m/>
    <s v="-"/>
    <s v="-"/>
    <x v="0"/>
    <s v="-"/>
  </r>
  <r>
    <m/>
    <d v="2024-07-24T00:00:00"/>
    <x v="0"/>
    <s v="qua"/>
    <s v="-"/>
    <m/>
    <m/>
    <m/>
    <m/>
    <s v=""/>
    <m/>
    <s v=""/>
    <x v="0"/>
    <s v=""/>
    <m/>
    <s v="-"/>
    <s v="-"/>
    <x v="0"/>
    <s v="-"/>
  </r>
  <r>
    <m/>
    <d v="2024-07-24T00:00:00"/>
    <x v="1"/>
    <s v="qua"/>
    <s v="-"/>
    <m/>
    <m/>
    <m/>
    <m/>
    <s v=""/>
    <m/>
    <s v=""/>
    <x v="0"/>
    <s v=""/>
    <m/>
    <s v="-"/>
    <s v="-"/>
    <x v="0"/>
    <s v="-"/>
  </r>
  <r>
    <m/>
    <d v="2024-07-24T00:00:00"/>
    <x v="2"/>
    <s v="qua"/>
    <s v="-"/>
    <m/>
    <m/>
    <m/>
    <m/>
    <s v=""/>
    <m/>
    <s v=""/>
    <x v="0"/>
    <s v=""/>
    <m/>
    <s v="-"/>
    <s v="-"/>
    <x v="0"/>
    <s v="-"/>
  </r>
  <r>
    <m/>
    <d v="2024-07-24T00:00:00"/>
    <x v="3"/>
    <s v="qua"/>
    <s v="-"/>
    <m/>
    <m/>
    <m/>
    <m/>
    <s v=""/>
    <m/>
    <s v=""/>
    <x v="0"/>
    <s v=""/>
    <m/>
    <s v="-"/>
    <s v="-"/>
    <x v="0"/>
    <s v="-"/>
  </r>
  <r>
    <m/>
    <d v="2024-07-24T00:00:00"/>
    <x v="3"/>
    <s v="qua"/>
    <s v="-"/>
    <m/>
    <m/>
    <m/>
    <m/>
    <s v=""/>
    <m/>
    <s v=""/>
    <x v="0"/>
    <s v=""/>
    <m/>
    <s v="-"/>
    <s v="-"/>
    <x v="0"/>
    <s v="-"/>
  </r>
  <r>
    <m/>
    <d v="2024-07-24T00:00:00"/>
    <x v="4"/>
    <s v="qua"/>
    <s v="-"/>
    <m/>
    <m/>
    <m/>
    <m/>
    <s v=""/>
    <m/>
    <s v=""/>
    <x v="0"/>
    <s v=""/>
    <m/>
    <s v="-"/>
    <s v="-"/>
    <x v="0"/>
    <s v="-"/>
  </r>
  <r>
    <m/>
    <d v="2024-07-24T00:00:00"/>
    <x v="5"/>
    <s v="qua"/>
    <s v="-"/>
    <m/>
    <m/>
    <m/>
    <m/>
    <s v=""/>
    <m/>
    <s v=""/>
    <x v="0"/>
    <s v=""/>
    <m/>
    <s v="-"/>
    <s v="-"/>
    <x v="0"/>
    <s v="-"/>
  </r>
  <r>
    <m/>
    <d v="2024-07-24T00:00:00"/>
    <x v="6"/>
    <s v="qua"/>
    <s v="-"/>
    <m/>
    <m/>
    <m/>
    <m/>
    <s v=""/>
    <m/>
    <s v=""/>
    <x v="0"/>
    <s v=""/>
    <m/>
    <s v="-"/>
    <s v="-"/>
    <x v="0"/>
    <s v="-"/>
  </r>
  <r>
    <m/>
    <d v="2024-07-24T00:00:00"/>
    <x v="7"/>
    <s v="qua"/>
    <s v="-"/>
    <m/>
    <m/>
    <m/>
    <m/>
    <s v=""/>
    <m/>
    <s v=""/>
    <x v="0"/>
    <s v=""/>
    <m/>
    <s v="-"/>
    <s v="-"/>
    <x v="0"/>
    <s v="-"/>
  </r>
  <r>
    <m/>
    <d v="2024-07-24T00:00:00"/>
    <x v="7"/>
    <s v="qua"/>
    <s v="-"/>
    <m/>
    <m/>
    <m/>
    <m/>
    <s v=""/>
    <m/>
    <s v=""/>
    <x v="0"/>
    <s v=""/>
    <m/>
    <s v="-"/>
    <s v="-"/>
    <x v="0"/>
    <s v="-"/>
  </r>
  <r>
    <m/>
    <d v="2024-07-24T00:00:00"/>
    <x v="8"/>
    <s v="qua"/>
    <s v="-"/>
    <m/>
    <m/>
    <m/>
    <m/>
    <s v=""/>
    <m/>
    <s v=""/>
    <x v="0"/>
    <s v=""/>
    <m/>
    <s v="-"/>
    <s v="-"/>
    <x v="0"/>
    <s v="-"/>
  </r>
  <r>
    <m/>
    <d v="2024-07-24T00:00:00"/>
    <x v="9"/>
    <s v="qua"/>
    <s v="-"/>
    <m/>
    <m/>
    <m/>
    <m/>
    <s v=""/>
    <m/>
    <s v=""/>
    <x v="0"/>
    <s v=""/>
    <m/>
    <s v="-"/>
    <s v="-"/>
    <x v="0"/>
    <s v="-"/>
  </r>
  <r>
    <m/>
    <d v="2024-07-24T00:00:00"/>
    <x v="10"/>
    <s v="qua"/>
    <s v="-"/>
    <m/>
    <m/>
    <m/>
    <m/>
    <s v=""/>
    <m/>
    <s v=""/>
    <x v="0"/>
    <s v=""/>
    <m/>
    <s v="-"/>
    <s v="-"/>
    <x v="0"/>
    <s v="-"/>
  </r>
  <r>
    <m/>
    <d v="2024-07-24T00:00:00"/>
    <x v="10"/>
    <s v="qua"/>
    <s v="-"/>
    <m/>
    <m/>
    <m/>
    <m/>
    <s v=""/>
    <m/>
    <s v=""/>
    <x v="0"/>
    <s v=""/>
    <m/>
    <s v="-"/>
    <s v="-"/>
    <x v="0"/>
    <s v="-"/>
  </r>
  <r>
    <m/>
    <d v="2024-07-24T00:00:00"/>
    <x v="11"/>
    <s v="qua"/>
    <s v="-"/>
    <m/>
    <m/>
    <m/>
    <m/>
    <s v=""/>
    <m/>
    <s v=""/>
    <x v="0"/>
    <s v=""/>
    <m/>
    <s v="-"/>
    <s v="-"/>
    <x v="0"/>
    <s v="-"/>
  </r>
  <r>
    <m/>
    <d v="2024-07-24T00:00:00"/>
    <x v="11"/>
    <s v="qua"/>
    <s v="-"/>
    <m/>
    <m/>
    <m/>
    <m/>
    <s v=""/>
    <m/>
    <s v=""/>
    <x v="0"/>
    <s v=""/>
    <m/>
    <s v="-"/>
    <s v="-"/>
    <x v="0"/>
    <s v="-"/>
  </r>
  <r>
    <m/>
    <d v="2024-07-24T00:00:00"/>
    <x v="12"/>
    <s v="qua"/>
    <s v="-"/>
    <m/>
    <m/>
    <m/>
    <m/>
    <s v=""/>
    <m/>
    <s v=""/>
    <x v="0"/>
    <s v=""/>
    <m/>
    <s v="-"/>
    <s v="-"/>
    <x v="0"/>
    <s v="-"/>
  </r>
  <r>
    <m/>
    <d v="2024-07-24T00:00:00"/>
    <x v="12"/>
    <s v="qua"/>
    <s v="-"/>
    <m/>
    <m/>
    <m/>
    <m/>
    <s v=""/>
    <m/>
    <s v=""/>
    <x v="0"/>
    <s v=""/>
    <m/>
    <s v="-"/>
    <s v="-"/>
    <x v="0"/>
    <s v="-"/>
  </r>
  <r>
    <m/>
    <d v="2024-07-24T00:00:00"/>
    <x v="13"/>
    <s v="qua"/>
    <s v="-"/>
    <m/>
    <m/>
    <m/>
    <m/>
    <s v=""/>
    <m/>
    <s v=""/>
    <x v="0"/>
    <s v=""/>
    <m/>
    <s v="-"/>
    <s v="-"/>
    <x v="0"/>
    <s v="-"/>
  </r>
  <r>
    <m/>
    <d v="2024-07-24T00:00:00"/>
    <x v="13"/>
    <s v="qua"/>
    <s v="-"/>
    <m/>
    <m/>
    <m/>
    <m/>
    <s v=""/>
    <m/>
    <s v=""/>
    <x v="0"/>
    <s v=""/>
    <m/>
    <s v="-"/>
    <s v="-"/>
    <x v="0"/>
    <s v="-"/>
  </r>
  <r>
    <m/>
    <d v="2024-07-24T00:00:00"/>
    <x v="14"/>
    <s v="qua"/>
    <s v="-"/>
    <m/>
    <m/>
    <m/>
    <m/>
    <s v=""/>
    <m/>
    <s v=""/>
    <x v="0"/>
    <s v=""/>
    <m/>
    <s v="-"/>
    <s v="-"/>
    <x v="0"/>
    <s v="-"/>
  </r>
  <r>
    <m/>
    <d v="2024-07-24T00:00:00"/>
    <x v="14"/>
    <s v="qua"/>
    <s v="-"/>
    <m/>
    <m/>
    <m/>
    <m/>
    <s v=""/>
    <m/>
    <s v=""/>
    <x v="0"/>
    <s v=""/>
    <m/>
    <s v="-"/>
    <s v="-"/>
    <x v="0"/>
    <s v="-"/>
  </r>
  <r>
    <m/>
    <d v="2024-07-24T00:00:00"/>
    <x v="15"/>
    <s v="qua"/>
    <s v="-"/>
    <m/>
    <m/>
    <m/>
    <n v="563"/>
    <s v="Tupirama"/>
    <m/>
    <s v=""/>
    <x v="0"/>
    <s v=""/>
    <n v="9"/>
    <s v="-"/>
    <s v="-"/>
    <x v="1"/>
    <s v="PALMAS"/>
  </r>
  <r>
    <m/>
    <d v="2024-07-24T00:00:00"/>
    <x v="16"/>
    <s v="qua"/>
    <s v="-"/>
    <m/>
    <m/>
    <m/>
    <m/>
    <s v=""/>
    <m/>
    <s v=""/>
    <x v="0"/>
    <s v=""/>
    <m/>
    <s v="-"/>
    <s v="-"/>
    <x v="0"/>
    <s v="-"/>
  </r>
  <r>
    <m/>
    <d v="2024-07-24T00:00:00"/>
    <x v="16"/>
    <s v="qua"/>
    <s v="-"/>
    <m/>
    <m/>
    <m/>
    <m/>
    <s v=""/>
    <m/>
    <s v=""/>
    <x v="0"/>
    <s v=""/>
    <m/>
    <s v="-"/>
    <s v="-"/>
    <x v="0"/>
    <s v="-"/>
  </r>
  <r>
    <m/>
    <d v="2024-07-24T00:00:00"/>
    <x v="17"/>
    <s v="qua"/>
    <s v="-"/>
    <m/>
    <m/>
    <m/>
    <m/>
    <s v=""/>
    <m/>
    <s v=""/>
    <x v="0"/>
    <s v=""/>
    <m/>
    <s v="-"/>
    <s v="-"/>
    <x v="0"/>
    <s v="-"/>
  </r>
  <r>
    <m/>
    <d v="2024-07-24T00:00:00"/>
    <x v="17"/>
    <s v="qua"/>
    <s v="-"/>
    <m/>
    <m/>
    <m/>
    <m/>
    <s v=""/>
    <m/>
    <s v=""/>
    <x v="0"/>
    <s v=""/>
    <m/>
    <s v="-"/>
    <s v="-"/>
    <x v="0"/>
    <s v="-"/>
  </r>
  <r>
    <m/>
    <d v="2024-07-24T00:00:00"/>
    <x v="18"/>
    <s v="qua"/>
    <s v="-"/>
    <m/>
    <m/>
    <m/>
    <m/>
    <s v=""/>
    <m/>
    <s v=""/>
    <x v="0"/>
    <s v=""/>
    <m/>
    <s v="-"/>
    <s v="-"/>
    <x v="0"/>
    <s v="-"/>
  </r>
  <r>
    <m/>
    <d v="2024-07-24T00:00:00"/>
    <x v="19"/>
    <s v="qua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d v="2024-07-25T00:00:00"/>
    <x v="0"/>
    <s v="qui"/>
    <s v="-"/>
    <m/>
    <m/>
    <m/>
    <m/>
    <s v=""/>
    <m/>
    <s v=""/>
    <x v="0"/>
    <s v=""/>
    <m/>
    <s v="-"/>
    <s v="-"/>
    <x v="0"/>
    <s v="-"/>
  </r>
  <r>
    <m/>
    <d v="2024-07-25T00:00:00"/>
    <x v="0"/>
    <s v="qui"/>
    <s v="-"/>
    <m/>
    <m/>
    <m/>
    <m/>
    <s v=""/>
    <m/>
    <s v=""/>
    <x v="0"/>
    <s v=""/>
    <m/>
    <s v="-"/>
    <s v="-"/>
    <x v="0"/>
    <s v="-"/>
  </r>
  <r>
    <m/>
    <d v="2024-07-25T00:00:00"/>
    <x v="1"/>
    <s v="qui"/>
    <s v="-"/>
    <m/>
    <m/>
    <m/>
    <m/>
    <s v=""/>
    <m/>
    <s v=""/>
    <x v="0"/>
    <s v=""/>
    <m/>
    <s v="-"/>
    <s v="-"/>
    <x v="0"/>
    <s v="-"/>
  </r>
  <r>
    <m/>
    <d v="2024-07-25T00:00:00"/>
    <x v="2"/>
    <s v="qui"/>
    <s v="-"/>
    <m/>
    <m/>
    <m/>
    <m/>
    <s v=""/>
    <m/>
    <s v=""/>
    <x v="0"/>
    <s v=""/>
    <m/>
    <s v="-"/>
    <s v="-"/>
    <x v="0"/>
    <s v="-"/>
  </r>
  <r>
    <m/>
    <d v="2024-07-25T00:00:00"/>
    <x v="3"/>
    <s v="qui"/>
    <s v="-"/>
    <m/>
    <m/>
    <m/>
    <m/>
    <s v=""/>
    <m/>
    <s v=""/>
    <x v="0"/>
    <s v=""/>
    <m/>
    <s v="-"/>
    <s v="-"/>
    <x v="0"/>
    <s v="-"/>
  </r>
  <r>
    <m/>
    <d v="2024-07-25T00:00:00"/>
    <x v="3"/>
    <s v="qui"/>
    <s v="-"/>
    <m/>
    <m/>
    <m/>
    <m/>
    <s v=""/>
    <m/>
    <s v=""/>
    <x v="0"/>
    <s v=""/>
    <m/>
    <s v="-"/>
    <s v="-"/>
    <x v="0"/>
    <s v="-"/>
  </r>
  <r>
    <m/>
    <d v="2024-07-25T00:00:00"/>
    <x v="4"/>
    <s v="qui"/>
    <s v="-"/>
    <m/>
    <m/>
    <m/>
    <m/>
    <s v=""/>
    <m/>
    <s v=""/>
    <x v="0"/>
    <s v=""/>
    <m/>
    <s v="-"/>
    <s v="-"/>
    <x v="0"/>
    <s v="-"/>
  </r>
  <r>
    <m/>
    <d v="2024-07-25T00:00:00"/>
    <x v="5"/>
    <s v="qui"/>
    <s v="-"/>
    <m/>
    <m/>
    <m/>
    <m/>
    <s v=""/>
    <m/>
    <s v=""/>
    <x v="0"/>
    <s v=""/>
    <m/>
    <s v="-"/>
    <s v="-"/>
    <x v="0"/>
    <s v="-"/>
  </r>
  <r>
    <m/>
    <d v="2024-07-25T00:00:00"/>
    <x v="6"/>
    <s v="qui"/>
    <s v="-"/>
    <m/>
    <m/>
    <m/>
    <m/>
    <s v=""/>
    <m/>
    <s v=""/>
    <x v="0"/>
    <s v=""/>
    <m/>
    <s v="-"/>
    <s v="-"/>
    <x v="0"/>
    <s v="-"/>
  </r>
  <r>
    <m/>
    <d v="2024-07-25T00:00:00"/>
    <x v="7"/>
    <s v="qui"/>
    <s v="-"/>
    <m/>
    <m/>
    <m/>
    <m/>
    <s v=""/>
    <m/>
    <s v=""/>
    <x v="0"/>
    <s v=""/>
    <m/>
    <s v="-"/>
    <s v="-"/>
    <x v="0"/>
    <s v="-"/>
  </r>
  <r>
    <m/>
    <d v="2024-07-25T00:00:00"/>
    <x v="7"/>
    <s v="qui"/>
    <s v="-"/>
    <m/>
    <m/>
    <m/>
    <m/>
    <s v=""/>
    <m/>
    <s v=""/>
    <x v="0"/>
    <s v=""/>
    <m/>
    <s v="-"/>
    <s v="-"/>
    <x v="0"/>
    <s v="-"/>
  </r>
  <r>
    <m/>
    <d v="2024-07-25T00:00:00"/>
    <x v="8"/>
    <s v="qui"/>
    <s v="-"/>
    <m/>
    <m/>
    <m/>
    <m/>
    <s v=""/>
    <m/>
    <s v=""/>
    <x v="0"/>
    <s v=""/>
    <m/>
    <s v="-"/>
    <s v="-"/>
    <x v="0"/>
    <s v="-"/>
  </r>
  <r>
    <m/>
    <d v="2024-07-25T00:00:00"/>
    <x v="9"/>
    <s v="qui"/>
    <s v="-"/>
    <m/>
    <m/>
    <m/>
    <m/>
    <s v=""/>
    <m/>
    <s v=""/>
    <x v="0"/>
    <s v=""/>
    <m/>
    <s v="-"/>
    <s v="-"/>
    <x v="0"/>
    <s v="-"/>
  </r>
  <r>
    <m/>
    <d v="2024-07-25T00:00:00"/>
    <x v="10"/>
    <s v="qui"/>
    <s v="-"/>
    <m/>
    <m/>
    <m/>
    <m/>
    <s v=""/>
    <m/>
    <s v=""/>
    <x v="0"/>
    <s v=""/>
    <m/>
    <s v="-"/>
    <s v="-"/>
    <x v="0"/>
    <s v="-"/>
  </r>
  <r>
    <m/>
    <d v="2024-07-25T00:00:00"/>
    <x v="10"/>
    <s v="qui"/>
    <s v="-"/>
    <m/>
    <m/>
    <m/>
    <m/>
    <s v=""/>
    <m/>
    <s v=""/>
    <x v="0"/>
    <s v=""/>
    <m/>
    <s v="-"/>
    <s v="-"/>
    <x v="0"/>
    <s v="-"/>
  </r>
  <r>
    <m/>
    <d v="2024-07-25T00:00:00"/>
    <x v="11"/>
    <s v="qui"/>
    <s v="-"/>
    <m/>
    <m/>
    <m/>
    <m/>
    <s v=""/>
    <m/>
    <s v=""/>
    <x v="0"/>
    <s v=""/>
    <m/>
    <s v="-"/>
    <s v="-"/>
    <x v="0"/>
    <s v="-"/>
  </r>
  <r>
    <m/>
    <d v="2024-07-25T00:00:00"/>
    <x v="11"/>
    <s v="qui"/>
    <s v="-"/>
    <m/>
    <m/>
    <m/>
    <m/>
    <s v=""/>
    <m/>
    <s v=""/>
    <x v="0"/>
    <s v=""/>
    <m/>
    <s v="-"/>
    <s v="-"/>
    <x v="0"/>
    <s v="-"/>
  </r>
  <r>
    <m/>
    <d v="2024-07-25T00:00:00"/>
    <x v="12"/>
    <s v="qui"/>
    <s v="-"/>
    <m/>
    <m/>
    <m/>
    <m/>
    <s v=""/>
    <m/>
    <s v=""/>
    <x v="0"/>
    <s v=""/>
    <m/>
    <s v="-"/>
    <s v="-"/>
    <x v="0"/>
    <s v="-"/>
  </r>
  <r>
    <m/>
    <d v="2024-07-25T00:00:00"/>
    <x v="12"/>
    <s v="qui"/>
    <s v="-"/>
    <m/>
    <m/>
    <m/>
    <m/>
    <s v=""/>
    <m/>
    <s v=""/>
    <x v="0"/>
    <s v=""/>
    <m/>
    <s v="-"/>
    <s v="-"/>
    <x v="0"/>
    <s v="-"/>
  </r>
  <r>
    <m/>
    <d v="2024-07-25T00:00:00"/>
    <x v="13"/>
    <s v="qui"/>
    <s v="-"/>
    <m/>
    <m/>
    <m/>
    <m/>
    <s v=""/>
    <m/>
    <s v=""/>
    <x v="0"/>
    <s v=""/>
    <m/>
    <s v="-"/>
    <s v="-"/>
    <x v="0"/>
    <s v="-"/>
  </r>
  <r>
    <m/>
    <d v="2024-07-25T00:00:00"/>
    <x v="13"/>
    <s v="qui"/>
    <s v="-"/>
    <m/>
    <m/>
    <m/>
    <m/>
    <s v=""/>
    <m/>
    <s v=""/>
    <x v="0"/>
    <s v=""/>
    <m/>
    <s v="-"/>
    <s v="-"/>
    <x v="0"/>
    <s v="-"/>
  </r>
  <r>
    <m/>
    <d v="2024-07-25T00:00:00"/>
    <x v="14"/>
    <s v="qui"/>
    <s v="-"/>
    <m/>
    <m/>
    <m/>
    <m/>
    <s v=""/>
    <m/>
    <s v=""/>
    <x v="0"/>
    <s v=""/>
    <m/>
    <s v="-"/>
    <s v="-"/>
    <x v="0"/>
    <s v="-"/>
  </r>
  <r>
    <m/>
    <d v="2024-07-25T00:00:00"/>
    <x v="14"/>
    <s v="qui"/>
    <s v="-"/>
    <m/>
    <m/>
    <m/>
    <m/>
    <s v=""/>
    <m/>
    <s v=""/>
    <x v="0"/>
    <s v=""/>
    <m/>
    <s v="-"/>
    <s v="-"/>
    <x v="0"/>
    <s v="-"/>
  </r>
  <r>
    <m/>
    <d v="2024-07-25T00:00:00"/>
    <x v="15"/>
    <s v="qui"/>
    <s v="-"/>
    <m/>
    <m/>
    <m/>
    <n v="563"/>
    <s v="Tupirama"/>
    <m/>
    <s v=""/>
    <x v="0"/>
    <s v=""/>
    <n v="9"/>
    <s v="-"/>
    <s v="-"/>
    <x v="1"/>
    <s v="PALMAS"/>
  </r>
  <r>
    <m/>
    <d v="2024-07-25T00:00:00"/>
    <x v="16"/>
    <s v="qui"/>
    <s v="-"/>
    <m/>
    <m/>
    <m/>
    <m/>
    <s v=""/>
    <m/>
    <s v=""/>
    <x v="0"/>
    <s v=""/>
    <m/>
    <s v="-"/>
    <s v="-"/>
    <x v="0"/>
    <s v="-"/>
  </r>
  <r>
    <m/>
    <d v="2024-07-25T00:00:00"/>
    <x v="16"/>
    <s v="qui"/>
    <s v="-"/>
    <m/>
    <m/>
    <m/>
    <m/>
    <s v=""/>
    <m/>
    <s v=""/>
    <x v="0"/>
    <s v=""/>
    <m/>
    <s v="-"/>
    <s v="-"/>
    <x v="0"/>
    <s v="-"/>
  </r>
  <r>
    <m/>
    <d v="2024-07-25T00:00:00"/>
    <x v="17"/>
    <s v="qui"/>
    <s v="-"/>
    <m/>
    <m/>
    <m/>
    <m/>
    <s v=""/>
    <m/>
    <s v=""/>
    <x v="0"/>
    <s v=""/>
    <m/>
    <s v="-"/>
    <s v="-"/>
    <x v="0"/>
    <s v="-"/>
  </r>
  <r>
    <m/>
    <d v="2024-07-25T00:00:00"/>
    <x v="17"/>
    <s v="qui"/>
    <s v="-"/>
    <m/>
    <m/>
    <m/>
    <m/>
    <s v=""/>
    <m/>
    <s v=""/>
    <x v="0"/>
    <s v=""/>
    <m/>
    <s v="-"/>
    <s v="-"/>
    <x v="0"/>
    <s v="-"/>
  </r>
  <r>
    <m/>
    <d v="2024-07-25T00:00:00"/>
    <x v="18"/>
    <s v="qui"/>
    <s v="-"/>
    <m/>
    <m/>
    <m/>
    <m/>
    <s v=""/>
    <m/>
    <s v=""/>
    <x v="0"/>
    <s v=""/>
    <m/>
    <s v="-"/>
    <s v="-"/>
    <x v="0"/>
    <s v="-"/>
  </r>
  <r>
    <m/>
    <d v="2024-07-25T00:00:00"/>
    <x v="19"/>
    <s v="qui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d v="2024-07-26T00:00:00"/>
    <x v="0"/>
    <s v="sex"/>
    <s v="-"/>
    <m/>
    <m/>
    <m/>
    <m/>
    <s v=""/>
    <m/>
    <s v=""/>
    <x v="0"/>
    <s v=""/>
    <m/>
    <s v="-"/>
    <s v="-"/>
    <x v="0"/>
    <s v="-"/>
  </r>
  <r>
    <m/>
    <d v="2024-07-26T00:00:00"/>
    <x v="0"/>
    <s v="sex"/>
    <s v="-"/>
    <m/>
    <m/>
    <m/>
    <m/>
    <s v=""/>
    <m/>
    <s v=""/>
    <x v="0"/>
    <s v=""/>
    <m/>
    <s v="-"/>
    <s v="-"/>
    <x v="0"/>
    <s v="-"/>
  </r>
  <r>
    <m/>
    <d v="2024-07-26T00:00:00"/>
    <x v="1"/>
    <s v="sex"/>
    <s v="-"/>
    <m/>
    <m/>
    <m/>
    <m/>
    <s v=""/>
    <m/>
    <s v=""/>
    <x v="0"/>
    <s v=""/>
    <m/>
    <s v="-"/>
    <s v="-"/>
    <x v="0"/>
    <s v="-"/>
  </r>
  <r>
    <m/>
    <d v="2024-07-26T00:00:00"/>
    <x v="2"/>
    <s v="sex"/>
    <s v="-"/>
    <m/>
    <m/>
    <m/>
    <m/>
    <s v=""/>
    <m/>
    <s v=""/>
    <x v="0"/>
    <s v=""/>
    <m/>
    <s v="-"/>
    <s v="-"/>
    <x v="0"/>
    <s v="-"/>
  </r>
  <r>
    <m/>
    <d v="2024-07-26T00:00:00"/>
    <x v="3"/>
    <s v="sex"/>
    <s v="-"/>
    <m/>
    <m/>
    <m/>
    <m/>
    <s v=""/>
    <m/>
    <s v=""/>
    <x v="0"/>
    <s v=""/>
    <m/>
    <s v="-"/>
    <s v="-"/>
    <x v="0"/>
    <s v="-"/>
  </r>
  <r>
    <m/>
    <d v="2024-07-26T00:00:00"/>
    <x v="3"/>
    <s v="sex"/>
    <s v="-"/>
    <m/>
    <m/>
    <m/>
    <m/>
    <s v=""/>
    <m/>
    <s v=""/>
    <x v="0"/>
    <s v=""/>
    <m/>
    <s v="-"/>
    <s v="-"/>
    <x v="0"/>
    <s v="-"/>
  </r>
  <r>
    <m/>
    <d v="2024-07-26T00:00:00"/>
    <x v="4"/>
    <s v="sex"/>
    <s v="-"/>
    <m/>
    <m/>
    <m/>
    <m/>
    <s v=""/>
    <m/>
    <s v=""/>
    <x v="0"/>
    <s v=""/>
    <m/>
    <s v="-"/>
    <s v="-"/>
    <x v="0"/>
    <s v="-"/>
  </r>
  <r>
    <m/>
    <d v="2024-07-26T00:00:00"/>
    <x v="5"/>
    <s v="sex"/>
    <s v="-"/>
    <m/>
    <m/>
    <m/>
    <m/>
    <s v=""/>
    <m/>
    <s v=""/>
    <x v="0"/>
    <s v=""/>
    <m/>
    <s v="-"/>
    <s v="-"/>
    <x v="0"/>
    <s v="-"/>
  </r>
  <r>
    <m/>
    <d v="2024-07-26T00:00:00"/>
    <x v="6"/>
    <s v="sex"/>
    <s v="-"/>
    <m/>
    <m/>
    <m/>
    <m/>
    <s v=""/>
    <m/>
    <s v=""/>
    <x v="0"/>
    <s v=""/>
    <m/>
    <s v="-"/>
    <s v="-"/>
    <x v="0"/>
    <s v="-"/>
  </r>
  <r>
    <m/>
    <d v="2024-07-26T00:00:00"/>
    <x v="7"/>
    <s v="sex"/>
    <s v="-"/>
    <m/>
    <m/>
    <m/>
    <m/>
    <s v=""/>
    <m/>
    <s v=""/>
    <x v="0"/>
    <s v=""/>
    <m/>
    <s v="-"/>
    <s v="-"/>
    <x v="0"/>
    <s v="-"/>
  </r>
  <r>
    <m/>
    <d v="2024-07-26T00:00:00"/>
    <x v="7"/>
    <s v="sex"/>
    <s v="-"/>
    <m/>
    <m/>
    <m/>
    <m/>
    <s v=""/>
    <m/>
    <s v=""/>
    <x v="0"/>
    <s v=""/>
    <m/>
    <s v="-"/>
    <s v="-"/>
    <x v="0"/>
    <s v="-"/>
  </r>
  <r>
    <m/>
    <d v="2024-07-26T00:00:00"/>
    <x v="8"/>
    <s v="sex"/>
    <s v="-"/>
    <m/>
    <m/>
    <m/>
    <m/>
    <s v=""/>
    <m/>
    <s v=""/>
    <x v="0"/>
    <s v=""/>
    <m/>
    <s v="-"/>
    <s v="-"/>
    <x v="0"/>
    <s v="-"/>
  </r>
  <r>
    <m/>
    <d v="2024-07-26T00:00:00"/>
    <x v="9"/>
    <s v="sex"/>
    <s v="-"/>
    <m/>
    <m/>
    <m/>
    <m/>
    <s v=""/>
    <m/>
    <s v=""/>
    <x v="0"/>
    <s v=""/>
    <m/>
    <s v="-"/>
    <s v="-"/>
    <x v="0"/>
    <s v="-"/>
  </r>
  <r>
    <m/>
    <d v="2024-07-26T00:00:00"/>
    <x v="10"/>
    <s v="sex"/>
    <s v="-"/>
    <m/>
    <m/>
    <m/>
    <m/>
    <s v=""/>
    <m/>
    <s v=""/>
    <x v="0"/>
    <s v=""/>
    <m/>
    <s v="-"/>
    <s v="-"/>
    <x v="0"/>
    <s v="-"/>
  </r>
  <r>
    <m/>
    <d v="2024-07-26T00:00:00"/>
    <x v="10"/>
    <s v="sex"/>
    <s v="-"/>
    <m/>
    <m/>
    <m/>
    <m/>
    <s v=""/>
    <m/>
    <s v=""/>
    <x v="0"/>
    <s v=""/>
    <m/>
    <s v="-"/>
    <s v="-"/>
    <x v="0"/>
    <s v="-"/>
  </r>
  <r>
    <m/>
    <d v="2024-07-26T00:00:00"/>
    <x v="11"/>
    <s v="sex"/>
    <s v="-"/>
    <m/>
    <m/>
    <m/>
    <m/>
    <s v=""/>
    <m/>
    <s v=""/>
    <x v="0"/>
    <s v=""/>
    <m/>
    <s v="-"/>
    <s v="-"/>
    <x v="0"/>
    <s v="-"/>
  </r>
  <r>
    <m/>
    <d v="2024-07-26T00:00:00"/>
    <x v="11"/>
    <s v="sex"/>
    <s v="-"/>
    <m/>
    <m/>
    <m/>
    <m/>
    <s v=""/>
    <m/>
    <s v=""/>
    <x v="0"/>
    <s v=""/>
    <m/>
    <s v="-"/>
    <s v="-"/>
    <x v="0"/>
    <s v="-"/>
  </r>
  <r>
    <m/>
    <d v="2024-07-26T00:00:00"/>
    <x v="12"/>
    <s v="sex"/>
    <s v="-"/>
    <m/>
    <m/>
    <m/>
    <m/>
    <s v=""/>
    <m/>
    <s v=""/>
    <x v="0"/>
    <s v=""/>
    <m/>
    <s v="-"/>
    <s v="-"/>
    <x v="0"/>
    <s v="-"/>
  </r>
  <r>
    <m/>
    <d v="2024-07-26T00:00:00"/>
    <x v="12"/>
    <s v="sex"/>
    <s v="-"/>
    <m/>
    <m/>
    <m/>
    <m/>
    <s v=""/>
    <m/>
    <s v=""/>
    <x v="0"/>
    <s v=""/>
    <m/>
    <s v="-"/>
    <s v="-"/>
    <x v="0"/>
    <s v="-"/>
  </r>
  <r>
    <m/>
    <d v="2024-07-26T00:00:00"/>
    <x v="13"/>
    <s v="sex"/>
    <s v="-"/>
    <m/>
    <m/>
    <m/>
    <m/>
    <s v=""/>
    <m/>
    <s v=""/>
    <x v="0"/>
    <s v=""/>
    <m/>
    <s v="-"/>
    <s v="-"/>
    <x v="0"/>
    <s v="-"/>
  </r>
  <r>
    <m/>
    <d v="2024-07-26T00:00:00"/>
    <x v="13"/>
    <s v="sex"/>
    <s v="-"/>
    <m/>
    <m/>
    <m/>
    <m/>
    <s v=""/>
    <m/>
    <s v=""/>
    <x v="0"/>
    <s v=""/>
    <m/>
    <s v="-"/>
    <s v="-"/>
    <x v="0"/>
    <s v="-"/>
  </r>
  <r>
    <m/>
    <d v="2024-07-26T00:00:00"/>
    <x v="14"/>
    <s v="sex"/>
    <s v="-"/>
    <m/>
    <m/>
    <m/>
    <m/>
    <s v=""/>
    <m/>
    <s v=""/>
    <x v="0"/>
    <s v=""/>
    <m/>
    <s v="-"/>
    <s v="-"/>
    <x v="0"/>
    <s v="-"/>
  </r>
  <r>
    <m/>
    <d v="2024-07-26T00:00:00"/>
    <x v="14"/>
    <s v="sex"/>
    <s v="-"/>
    <m/>
    <m/>
    <m/>
    <m/>
    <s v=""/>
    <m/>
    <s v=""/>
    <x v="0"/>
    <s v=""/>
    <m/>
    <s v="-"/>
    <s v="-"/>
    <x v="0"/>
    <s v="-"/>
  </r>
  <r>
    <m/>
    <d v="2024-07-26T00:00:00"/>
    <x v="15"/>
    <s v="sex"/>
    <s v="-"/>
    <m/>
    <m/>
    <m/>
    <n v="563"/>
    <s v="Tupirama"/>
    <m/>
    <s v=""/>
    <x v="0"/>
    <s v=""/>
    <n v="8"/>
    <s v="-"/>
    <s v="-"/>
    <x v="1"/>
    <s v="PALMAS"/>
  </r>
  <r>
    <m/>
    <d v="2024-07-26T00:00:00"/>
    <x v="16"/>
    <s v="sex"/>
    <s v="-"/>
    <m/>
    <m/>
    <m/>
    <m/>
    <s v=""/>
    <m/>
    <s v=""/>
    <x v="0"/>
    <s v=""/>
    <m/>
    <s v="-"/>
    <s v="-"/>
    <x v="0"/>
    <s v="-"/>
  </r>
  <r>
    <m/>
    <d v="2024-07-26T00:00:00"/>
    <x v="16"/>
    <s v="sex"/>
    <s v="-"/>
    <m/>
    <m/>
    <m/>
    <m/>
    <s v=""/>
    <m/>
    <s v=""/>
    <x v="0"/>
    <s v=""/>
    <m/>
    <s v="-"/>
    <s v="-"/>
    <x v="0"/>
    <s v="-"/>
  </r>
  <r>
    <m/>
    <d v="2024-07-26T00:00:00"/>
    <x v="17"/>
    <s v="sex"/>
    <s v="-"/>
    <m/>
    <m/>
    <m/>
    <m/>
    <s v=""/>
    <m/>
    <s v=""/>
    <x v="0"/>
    <s v=""/>
    <m/>
    <s v="-"/>
    <s v="-"/>
    <x v="0"/>
    <s v="-"/>
  </r>
  <r>
    <m/>
    <d v="2024-07-26T00:00:00"/>
    <x v="17"/>
    <s v="sex"/>
    <s v="-"/>
    <m/>
    <m/>
    <m/>
    <m/>
    <s v=""/>
    <m/>
    <s v=""/>
    <x v="0"/>
    <s v=""/>
    <m/>
    <s v="-"/>
    <s v="-"/>
    <x v="0"/>
    <s v="-"/>
  </r>
  <r>
    <m/>
    <d v="2024-07-26T00:00:00"/>
    <x v="18"/>
    <s v="sex"/>
    <s v="-"/>
    <m/>
    <m/>
    <m/>
    <m/>
    <s v=""/>
    <m/>
    <s v=""/>
    <x v="0"/>
    <s v=""/>
    <m/>
    <s v="-"/>
    <s v="-"/>
    <x v="0"/>
    <s v="-"/>
  </r>
  <r>
    <m/>
    <d v="2024-07-26T00:00:00"/>
    <x v="19"/>
    <s v="sex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d v="2024-07-29T00:00:00"/>
    <x v="0"/>
    <s v="seg"/>
    <s v="-"/>
    <m/>
    <m/>
    <m/>
    <m/>
    <s v=""/>
    <m/>
    <s v=""/>
    <x v="0"/>
    <s v=""/>
    <m/>
    <s v="-"/>
    <s v="-"/>
    <x v="0"/>
    <s v="-"/>
  </r>
  <r>
    <m/>
    <d v="2024-07-29T00:00:00"/>
    <x v="0"/>
    <s v="seg"/>
    <s v="-"/>
    <m/>
    <m/>
    <m/>
    <m/>
    <s v=""/>
    <m/>
    <s v=""/>
    <x v="0"/>
    <s v=""/>
    <m/>
    <s v="-"/>
    <s v="-"/>
    <x v="0"/>
    <s v="-"/>
  </r>
  <r>
    <m/>
    <d v="2024-07-29T00:00:00"/>
    <x v="1"/>
    <s v="seg"/>
    <s v="-"/>
    <m/>
    <m/>
    <m/>
    <m/>
    <s v=""/>
    <m/>
    <s v=""/>
    <x v="0"/>
    <s v=""/>
    <m/>
    <s v="-"/>
    <s v="-"/>
    <x v="0"/>
    <s v="-"/>
  </r>
  <r>
    <m/>
    <d v="2024-07-29T00:00:00"/>
    <x v="2"/>
    <s v="seg"/>
    <s v="-"/>
    <m/>
    <m/>
    <m/>
    <m/>
    <s v=""/>
    <m/>
    <s v=""/>
    <x v="0"/>
    <s v=""/>
    <m/>
    <s v="-"/>
    <s v="-"/>
    <x v="0"/>
    <s v="-"/>
  </r>
  <r>
    <m/>
    <d v="2024-07-29T00:00:00"/>
    <x v="3"/>
    <s v="seg"/>
    <s v="-"/>
    <m/>
    <m/>
    <m/>
    <m/>
    <s v=""/>
    <m/>
    <s v=""/>
    <x v="0"/>
    <s v=""/>
    <m/>
    <s v="-"/>
    <s v="-"/>
    <x v="0"/>
    <s v="-"/>
  </r>
  <r>
    <m/>
    <d v="2024-07-29T00:00:00"/>
    <x v="3"/>
    <s v="seg"/>
    <s v="-"/>
    <m/>
    <m/>
    <m/>
    <m/>
    <s v=""/>
    <m/>
    <s v=""/>
    <x v="0"/>
    <s v=""/>
    <m/>
    <s v="-"/>
    <s v="-"/>
    <x v="0"/>
    <s v="-"/>
  </r>
  <r>
    <m/>
    <d v="2024-07-29T00:00:00"/>
    <x v="4"/>
    <s v="seg"/>
    <s v="-"/>
    <m/>
    <m/>
    <m/>
    <m/>
    <s v=""/>
    <m/>
    <s v=""/>
    <x v="0"/>
    <s v=""/>
    <m/>
    <s v="-"/>
    <s v="-"/>
    <x v="0"/>
    <s v="-"/>
  </r>
  <r>
    <m/>
    <d v="2024-07-29T00:00:00"/>
    <x v="5"/>
    <s v="seg"/>
    <s v="-"/>
    <m/>
    <m/>
    <m/>
    <m/>
    <s v=""/>
    <m/>
    <s v=""/>
    <x v="0"/>
    <s v=""/>
    <m/>
    <s v="-"/>
    <s v="-"/>
    <x v="0"/>
    <s v="-"/>
  </r>
  <r>
    <m/>
    <d v="2024-07-29T00:00:00"/>
    <x v="6"/>
    <s v="seg"/>
    <s v="-"/>
    <m/>
    <m/>
    <m/>
    <m/>
    <s v=""/>
    <m/>
    <s v=""/>
    <x v="0"/>
    <s v=""/>
    <m/>
    <s v="-"/>
    <s v="-"/>
    <x v="0"/>
    <s v="-"/>
  </r>
  <r>
    <m/>
    <d v="2024-07-29T00:00:00"/>
    <x v="7"/>
    <s v="seg"/>
    <s v="-"/>
    <m/>
    <m/>
    <m/>
    <m/>
    <s v=""/>
    <m/>
    <s v=""/>
    <x v="0"/>
    <s v=""/>
    <m/>
    <s v="-"/>
    <s v="-"/>
    <x v="0"/>
    <s v="-"/>
  </r>
  <r>
    <m/>
    <d v="2024-07-29T00:00:00"/>
    <x v="7"/>
    <s v="seg"/>
    <s v="-"/>
    <m/>
    <m/>
    <m/>
    <m/>
    <s v=""/>
    <m/>
    <s v=""/>
    <x v="0"/>
    <s v=""/>
    <m/>
    <s v="-"/>
    <s v="-"/>
    <x v="0"/>
    <s v="-"/>
  </r>
  <r>
    <m/>
    <d v="2024-07-29T00:00:00"/>
    <x v="8"/>
    <s v="seg"/>
    <s v="-"/>
    <m/>
    <m/>
    <m/>
    <m/>
    <s v=""/>
    <m/>
    <s v=""/>
    <x v="0"/>
    <s v=""/>
    <m/>
    <s v="-"/>
    <s v="-"/>
    <x v="0"/>
    <s v="-"/>
  </r>
  <r>
    <m/>
    <d v="2024-07-29T00:00:00"/>
    <x v="9"/>
    <s v="seg"/>
    <s v="-"/>
    <m/>
    <m/>
    <m/>
    <m/>
    <s v=""/>
    <m/>
    <s v=""/>
    <x v="0"/>
    <s v=""/>
    <m/>
    <s v="-"/>
    <s v="-"/>
    <x v="0"/>
    <s v="-"/>
  </r>
  <r>
    <m/>
    <d v="2024-07-29T00:00:00"/>
    <x v="10"/>
    <s v="seg"/>
    <s v="-"/>
    <m/>
    <m/>
    <m/>
    <m/>
    <s v=""/>
    <m/>
    <s v=""/>
    <x v="0"/>
    <s v=""/>
    <m/>
    <s v="-"/>
    <s v="-"/>
    <x v="0"/>
    <s v="-"/>
  </r>
  <r>
    <m/>
    <d v="2024-07-29T00:00:00"/>
    <x v="10"/>
    <s v="seg"/>
    <s v="-"/>
    <m/>
    <m/>
    <m/>
    <m/>
    <s v=""/>
    <m/>
    <s v=""/>
    <x v="0"/>
    <s v=""/>
    <m/>
    <s v="-"/>
    <s v="-"/>
    <x v="0"/>
    <s v="-"/>
  </r>
  <r>
    <m/>
    <d v="2024-07-29T00:00:00"/>
    <x v="11"/>
    <s v="seg"/>
    <s v="-"/>
    <m/>
    <m/>
    <m/>
    <m/>
    <s v=""/>
    <m/>
    <s v=""/>
    <x v="0"/>
    <s v=""/>
    <m/>
    <s v="-"/>
    <s v="-"/>
    <x v="0"/>
    <s v="-"/>
  </r>
  <r>
    <m/>
    <d v="2024-07-29T00:00:00"/>
    <x v="11"/>
    <s v="seg"/>
    <s v="-"/>
    <m/>
    <m/>
    <m/>
    <m/>
    <s v=""/>
    <m/>
    <s v=""/>
    <x v="0"/>
    <s v=""/>
    <m/>
    <s v="-"/>
    <s v="-"/>
    <x v="0"/>
    <s v="-"/>
  </r>
  <r>
    <m/>
    <d v="2024-07-29T00:00:00"/>
    <x v="12"/>
    <s v="seg"/>
    <s v="-"/>
    <m/>
    <m/>
    <m/>
    <m/>
    <s v=""/>
    <m/>
    <s v=""/>
    <x v="0"/>
    <s v=""/>
    <m/>
    <s v="-"/>
    <s v="-"/>
    <x v="0"/>
    <s v="-"/>
  </r>
  <r>
    <m/>
    <d v="2024-07-29T00:00:00"/>
    <x v="12"/>
    <s v="seg"/>
    <s v="-"/>
    <m/>
    <m/>
    <m/>
    <m/>
    <s v=""/>
    <m/>
    <s v=""/>
    <x v="0"/>
    <s v=""/>
    <m/>
    <s v="-"/>
    <s v="-"/>
    <x v="0"/>
    <s v="-"/>
  </r>
  <r>
    <m/>
    <d v="2024-07-29T00:00:00"/>
    <x v="13"/>
    <s v="seg"/>
    <s v="-"/>
    <m/>
    <m/>
    <m/>
    <m/>
    <s v=""/>
    <m/>
    <s v=""/>
    <x v="0"/>
    <s v=""/>
    <m/>
    <s v="-"/>
    <s v="-"/>
    <x v="0"/>
    <s v="-"/>
  </r>
  <r>
    <m/>
    <d v="2024-07-29T00:00:00"/>
    <x v="13"/>
    <s v="seg"/>
    <s v="-"/>
    <m/>
    <m/>
    <m/>
    <m/>
    <s v=""/>
    <m/>
    <s v=""/>
    <x v="0"/>
    <s v=""/>
    <m/>
    <s v="-"/>
    <s v="-"/>
    <x v="0"/>
    <s v="-"/>
  </r>
  <r>
    <m/>
    <d v="2024-07-29T00:00:00"/>
    <x v="14"/>
    <s v="seg"/>
    <s v="-"/>
    <m/>
    <m/>
    <m/>
    <m/>
    <s v=""/>
    <m/>
    <s v=""/>
    <x v="0"/>
    <s v=""/>
    <m/>
    <s v="-"/>
    <s v="-"/>
    <x v="0"/>
    <s v="-"/>
  </r>
  <r>
    <m/>
    <d v="2024-07-29T00:00:00"/>
    <x v="14"/>
    <s v="seg"/>
    <s v="-"/>
    <m/>
    <m/>
    <m/>
    <m/>
    <s v=""/>
    <m/>
    <s v=""/>
    <x v="0"/>
    <s v=""/>
    <m/>
    <s v="-"/>
    <s v="-"/>
    <x v="0"/>
    <s v="-"/>
  </r>
  <r>
    <m/>
    <d v="2024-07-29T00:00:00"/>
    <x v="15"/>
    <s v="seg"/>
    <s v="-"/>
    <m/>
    <m/>
    <m/>
    <n v="563"/>
    <s v="Tupirama"/>
    <m/>
    <s v=""/>
    <x v="0"/>
    <s v=""/>
    <n v="9"/>
    <s v="-"/>
    <s v="-"/>
    <x v="1"/>
    <s v="PALMAS"/>
  </r>
  <r>
    <m/>
    <d v="2024-07-29T00:00:00"/>
    <x v="16"/>
    <s v="seg"/>
    <s v="-"/>
    <m/>
    <m/>
    <m/>
    <m/>
    <s v=""/>
    <m/>
    <s v=""/>
    <x v="0"/>
    <s v=""/>
    <m/>
    <s v="-"/>
    <s v="-"/>
    <x v="0"/>
    <s v="-"/>
  </r>
  <r>
    <m/>
    <d v="2024-07-29T00:00:00"/>
    <x v="16"/>
    <s v="seg"/>
    <s v="-"/>
    <m/>
    <m/>
    <m/>
    <m/>
    <s v=""/>
    <m/>
    <s v=""/>
    <x v="0"/>
    <s v=""/>
    <m/>
    <s v="-"/>
    <s v="-"/>
    <x v="0"/>
    <s v="-"/>
  </r>
  <r>
    <m/>
    <d v="2024-07-29T00:00:00"/>
    <x v="17"/>
    <s v="seg"/>
    <s v="-"/>
    <m/>
    <m/>
    <m/>
    <m/>
    <s v=""/>
    <m/>
    <s v=""/>
    <x v="0"/>
    <s v=""/>
    <m/>
    <s v="-"/>
    <s v="-"/>
    <x v="0"/>
    <s v="-"/>
  </r>
  <r>
    <m/>
    <d v="2024-07-29T00:00:00"/>
    <x v="17"/>
    <s v="seg"/>
    <s v="-"/>
    <m/>
    <m/>
    <m/>
    <m/>
    <s v=""/>
    <m/>
    <s v=""/>
    <x v="0"/>
    <s v=""/>
    <m/>
    <s v="-"/>
    <s v="-"/>
    <x v="0"/>
    <s v="-"/>
  </r>
  <r>
    <m/>
    <d v="2024-07-29T00:00:00"/>
    <x v="18"/>
    <s v="seg"/>
    <s v="-"/>
    <m/>
    <m/>
    <m/>
    <m/>
    <s v=""/>
    <m/>
    <s v=""/>
    <x v="0"/>
    <s v=""/>
    <m/>
    <s v="-"/>
    <s v="-"/>
    <x v="0"/>
    <s v="-"/>
  </r>
  <r>
    <m/>
    <d v="2024-07-29T00:00:00"/>
    <x v="19"/>
    <s v="seg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d v="2024-07-30T00:00:00"/>
    <x v="0"/>
    <s v="ter"/>
    <s v="-"/>
    <m/>
    <m/>
    <m/>
    <m/>
    <s v=""/>
    <m/>
    <s v=""/>
    <x v="0"/>
    <s v=""/>
    <m/>
    <s v="-"/>
    <s v="-"/>
    <x v="0"/>
    <s v="-"/>
  </r>
  <r>
    <m/>
    <d v="2024-07-30T00:00:00"/>
    <x v="0"/>
    <s v="ter"/>
    <s v="-"/>
    <m/>
    <m/>
    <m/>
    <m/>
    <s v=""/>
    <m/>
    <s v=""/>
    <x v="0"/>
    <s v=""/>
    <m/>
    <s v="-"/>
    <s v="-"/>
    <x v="0"/>
    <s v="-"/>
  </r>
  <r>
    <m/>
    <d v="2024-07-30T00:00:00"/>
    <x v="1"/>
    <s v="ter"/>
    <s v="-"/>
    <m/>
    <m/>
    <m/>
    <m/>
    <s v=""/>
    <m/>
    <s v=""/>
    <x v="0"/>
    <s v=""/>
    <m/>
    <s v="-"/>
    <s v="-"/>
    <x v="0"/>
    <s v="-"/>
  </r>
  <r>
    <m/>
    <d v="2024-07-30T00:00:00"/>
    <x v="2"/>
    <s v="ter"/>
    <s v="-"/>
    <m/>
    <m/>
    <m/>
    <m/>
    <s v=""/>
    <m/>
    <s v=""/>
    <x v="0"/>
    <s v=""/>
    <m/>
    <s v="-"/>
    <s v="-"/>
    <x v="0"/>
    <s v="-"/>
  </r>
  <r>
    <m/>
    <d v="2024-07-30T00:00:00"/>
    <x v="3"/>
    <s v="ter"/>
    <s v="-"/>
    <m/>
    <m/>
    <m/>
    <m/>
    <s v=""/>
    <m/>
    <s v=""/>
    <x v="0"/>
    <s v=""/>
    <m/>
    <s v="-"/>
    <s v="-"/>
    <x v="0"/>
    <s v="-"/>
  </r>
  <r>
    <m/>
    <d v="2024-07-30T00:00:00"/>
    <x v="3"/>
    <s v="ter"/>
    <s v="-"/>
    <m/>
    <m/>
    <m/>
    <m/>
    <s v=""/>
    <m/>
    <s v=""/>
    <x v="0"/>
    <s v=""/>
    <m/>
    <s v="-"/>
    <s v="-"/>
    <x v="0"/>
    <s v="-"/>
  </r>
  <r>
    <m/>
    <d v="2024-07-30T00:00:00"/>
    <x v="4"/>
    <s v="ter"/>
    <s v="-"/>
    <m/>
    <m/>
    <m/>
    <m/>
    <s v=""/>
    <m/>
    <s v=""/>
    <x v="0"/>
    <s v=""/>
    <m/>
    <s v="-"/>
    <s v="-"/>
    <x v="0"/>
    <s v="-"/>
  </r>
  <r>
    <m/>
    <d v="2024-07-30T00:00:00"/>
    <x v="5"/>
    <s v="ter"/>
    <s v="-"/>
    <m/>
    <m/>
    <m/>
    <m/>
    <s v=""/>
    <m/>
    <s v=""/>
    <x v="0"/>
    <s v=""/>
    <m/>
    <s v="-"/>
    <s v="-"/>
    <x v="0"/>
    <s v="-"/>
  </r>
  <r>
    <m/>
    <d v="2024-07-30T00:00:00"/>
    <x v="6"/>
    <s v="ter"/>
    <s v="-"/>
    <m/>
    <m/>
    <m/>
    <m/>
    <s v=""/>
    <m/>
    <s v=""/>
    <x v="0"/>
    <s v=""/>
    <m/>
    <s v="-"/>
    <s v="-"/>
    <x v="0"/>
    <s v="-"/>
  </r>
  <r>
    <m/>
    <d v="2024-07-30T00:00:00"/>
    <x v="7"/>
    <s v="ter"/>
    <s v="-"/>
    <m/>
    <m/>
    <m/>
    <m/>
    <s v=""/>
    <m/>
    <s v=""/>
    <x v="0"/>
    <s v=""/>
    <m/>
    <s v="-"/>
    <s v="-"/>
    <x v="0"/>
    <s v="-"/>
  </r>
  <r>
    <m/>
    <d v="2024-07-30T00:00:00"/>
    <x v="7"/>
    <s v="ter"/>
    <s v="-"/>
    <m/>
    <m/>
    <m/>
    <m/>
    <s v=""/>
    <m/>
    <s v=""/>
    <x v="0"/>
    <s v=""/>
    <m/>
    <s v="-"/>
    <s v="-"/>
    <x v="0"/>
    <s v="-"/>
  </r>
  <r>
    <m/>
    <d v="2024-07-30T00:00:00"/>
    <x v="8"/>
    <s v="ter"/>
    <s v="-"/>
    <m/>
    <m/>
    <m/>
    <m/>
    <s v=""/>
    <m/>
    <s v=""/>
    <x v="0"/>
    <s v=""/>
    <m/>
    <s v="-"/>
    <s v="-"/>
    <x v="0"/>
    <s v="-"/>
  </r>
  <r>
    <m/>
    <d v="2024-07-30T00:00:00"/>
    <x v="9"/>
    <s v="ter"/>
    <s v="-"/>
    <m/>
    <m/>
    <m/>
    <m/>
    <s v=""/>
    <m/>
    <s v=""/>
    <x v="0"/>
    <s v=""/>
    <m/>
    <s v="-"/>
    <s v="-"/>
    <x v="0"/>
    <s v="-"/>
  </r>
  <r>
    <m/>
    <d v="2024-07-30T00:00:00"/>
    <x v="10"/>
    <s v="ter"/>
    <s v="-"/>
    <m/>
    <m/>
    <m/>
    <m/>
    <s v=""/>
    <m/>
    <s v=""/>
    <x v="0"/>
    <s v=""/>
    <m/>
    <s v="-"/>
    <s v="-"/>
    <x v="0"/>
    <s v="-"/>
  </r>
  <r>
    <m/>
    <d v="2024-07-30T00:00:00"/>
    <x v="10"/>
    <s v="ter"/>
    <s v="-"/>
    <m/>
    <m/>
    <m/>
    <m/>
    <s v=""/>
    <m/>
    <s v=""/>
    <x v="0"/>
    <s v=""/>
    <m/>
    <s v="-"/>
    <s v="-"/>
    <x v="0"/>
    <s v="-"/>
  </r>
  <r>
    <m/>
    <d v="2024-07-30T00:00:00"/>
    <x v="11"/>
    <s v="ter"/>
    <s v="-"/>
    <m/>
    <m/>
    <m/>
    <m/>
    <s v=""/>
    <m/>
    <s v=""/>
    <x v="0"/>
    <s v=""/>
    <m/>
    <s v="-"/>
    <s v="-"/>
    <x v="0"/>
    <s v="-"/>
  </r>
  <r>
    <m/>
    <d v="2024-07-30T00:00:00"/>
    <x v="11"/>
    <s v="ter"/>
    <s v="-"/>
    <m/>
    <m/>
    <m/>
    <m/>
    <s v=""/>
    <m/>
    <s v=""/>
    <x v="0"/>
    <s v=""/>
    <m/>
    <s v="-"/>
    <s v="-"/>
    <x v="0"/>
    <s v="-"/>
  </r>
  <r>
    <m/>
    <d v="2024-07-30T00:00:00"/>
    <x v="12"/>
    <s v="ter"/>
    <s v="-"/>
    <m/>
    <m/>
    <m/>
    <m/>
    <s v=""/>
    <m/>
    <s v=""/>
    <x v="0"/>
    <s v=""/>
    <m/>
    <s v="-"/>
    <s v="-"/>
    <x v="0"/>
    <s v="-"/>
  </r>
  <r>
    <m/>
    <d v="2024-07-30T00:00:00"/>
    <x v="12"/>
    <s v="ter"/>
    <s v="-"/>
    <m/>
    <m/>
    <m/>
    <m/>
    <s v=""/>
    <m/>
    <s v=""/>
    <x v="0"/>
    <s v=""/>
    <m/>
    <s v="-"/>
    <s v="-"/>
    <x v="0"/>
    <s v="-"/>
  </r>
  <r>
    <m/>
    <d v="2024-07-30T00:00:00"/>
    <x v="13"/>
    <s v="ter"/>
    <s v="-"/>
    <m/>
    <m/>
    <m/>
    <m/>
    <s v=""/>
    <m/>
    <s v=""/>
    <x v="0"/>
    <s v=""/>
    <m/>
    <s v="-"/>
    <s v="-"/>
    <x v="0"/>
    <s v="-"/>
  </r>
  <r>
    <m/>
    <d v="2024-07-30T00:00:00"/>
    <x v="13"/>
    <s v="ter"/>
    <s v="-"/>
    <m/>
    <m/>
    <m/>
    <m/>
    <s v=""/>
    <m/>
    <s v=""/>
    <x v="0"/>
    <s v=""/>
    <m/>
    <s v="-"/>
    <s v="-"/>
    <x v="0"/>
    <s v="-"/>
  </r>
  <r>
    <m/>
    <d v="2024-07-30T00:00:00"/>
    <x v="14"/>
    <s v="ter"/>
    <s v="-"/>
    <m/>
    <m/>
    <m/>
    <m/>
    <s v=""/>
    <m/>
    <s v=""/>
    <x v="0"/>
    <s v=""/>
    <m/>
    <s v="-"/>
    <s v="-"/>
    <x v="0"/>
    <s v="-"/>
  </r>
  <r>
    <m/>
    <d v="2024-07-30T00:00:00"/>
    <x v="14"/>
    <s v="ter"/>
    <s v="-"/>
    <m/>
    <m/>
    <m/>
    <m/>
    <s v=""/>
    <m/>
    <s v=""/>
    <x v="0"/>
    <s v=""/>
    <m/>
    <s v="-"/>
    <s v="-"/>
    <x v="0"/>
    <s v="-"/>
  </r>
  <r>
    <m/>
    <d v="2024-07-30T00:00:00"/>
    <x v="15"/>
    <s v="ter"/>
    <s v="-"/>
    <m/>
    <m/>
    <m/>
    <n v="563"/>
    <s v="Tupirama"/>
    <m/>
    <s v=""/>
    <x v="0"/>
    <s v=""/>
    <n v="9"/>
    <s v="-"/>
    <s v="-"/>
    <x v="1"/>
    <s v="PALMAS"/>
  </r>
  <r>
    <m/>
    <d v="2024-07-30T00:00:00"/>
    <x v="16"/>
    <s v="ter"/>
    <s v="-"/>
    <m/>
    <m/>
    <m/>
    <m/>
    <s v=""/>
    <m/>
    <s v=""/>
    <x v="0"/>
    <s v=""/>
    <m/>
    <s v="-"/>
    <s v="-"/>
    <x v="0"/>
    <s v="-"/>
  </r>
  <r>
    <m/>
    <d v="2024-07-30T00:00:00"/>
    <x v="16"/>
    <s v="ter"/>
    <s v="-"/>
    <m/>
    <m/>
    <m/>
    <m/>
    <s v=""/>
    <m/>
    <s v=""/>
    <x v="0"/>
    <s v=""/>
    <m/>
    <s v="-"/>
    <s v="-"/>
    <x v="0"/>
    <s v="-"/>
  </r>
  <r>
    <m/>
    <d v="2024-07-30T00:00:00"/>
    <x v="17"/>
    <s v="ter"/>
    <s v="-"/>
    <m/>
    <m/>
    <m/>
    <m/>
    <s v=""/>
    <m/>
    <s v=""/>
    <x v="0"/>
    <s v=""/>
    <m/>
    <s v="-"/>
    <s v="-"/>
    <x v="0"/>
    <s v="-"/>
  </r>
  <r>
    <m/>
    <d v="2024-07-30T00:00:00"/>
    <x v="17"/>
    <s v="ter"/>
    <s v="-"/>
    <m/>
    <m/>
    <m/>
    <m/>
    <s v=""/>
    <m/>
    <s v=""/>
    <x v="0"/>
    <s v=""/>
    <m/>
    <s v="-"/>
    <s v="-"/>
    <x v="0"/>
    <s v="-"/>
  </r>
  <r>
    <m/>
    <d v="2024-07-30T00:00:00"/>
    <x v="18"/>
    <s v="ter"/>
    <s v="-"/>
    <m/>
    <m/>
    <m/>
    <m/>
    <s v=""/>
    <m/>
    <s v=""/>
    <x v="0"/>
    <s v=""/>
    <m/>
    <s v="-"/>
    <s v="-"/>
    <x v="0"/>
    <s v="-"/>
  </r>
  <r>
    <m/>
    <d v="2024-07-30T00:00:00"/>
    <x v="19"/>
    <s v="ter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d v="2024-07-31T00:00:00"/>
    <x v="0"/>
    <s v="qua"/>
    <s v="-"/>
    <m/>
    <m/>
    <m/>
    <m/>
    <s v=""/>
    <m/>
    <s v=""/>
    <x v="0"/>
    <s v=""/>
    <m/>
    <s v="-"/>
    <s v="-"/>
    <x v="0"/>
    <s v="-"/>
  </r>
  <r>
    <m/>
    <d v="2024-07-31T00:00:00"/>
    <x v="0"/>
    <s v="qua"/>
    <s v="-"/>
    <m/>
    <m/>
    <m/>
    <m/>
    <s v=""/>
    <m/>
    <s v=""/>
    <x v="0"/>
    <s v=""/>
    <m/>
    <s v="-"/>
    <s v="-"/>
    <x v="0"/>
    <s v="-"/>
  </r>
  <r>
    <m/>
    <d v="2024-07-31T00:00:00"/>
    <x v="1"/>
    <s v="qua"/>
    <s v="-"/>
    <m/>
    <m/>
    <m/>
    <m/>
    <s v=""/>
    <m/>
    <s v=""/>
    <x v="0"/>
    <s v=""/>
    <m/>
    <s v="-"/>
    <s v="-"/>
    <x v="0"/>
    <s v="-"/>
  </r>
  <r>
    <m/>
    <d v="2024-07-31T00:00:00"/>
    <x v="2"/>
    <s v="qua"/>
    <s v="-"/>
    <m/>
    <m/>
    <m/>
    <m/>
    <s v=""/>
    <m/>
    <s v=""/>
    <x v="0"/>
    <s v=""/>
    <m/>
    <s v="-"/>
    <s v="-"/>
    <x v="0"/>
    <s v="-"/>
  </r>
  <r>
    <m/>
    <d v="2024-07-31T00:00:00"/>
    <x v="3"/>
    <s v="qua"/>
    <s v="-"/>
    <m/>
    <m/>
    <m/>
    <m/>
    <s v=""/>
    <m/>
    <s v=""/>
    <x v="0"/>
    <s v=""/>
    <m/>
    <s v="-"/>
    <s v="-"/>
    <x v="0"/>
    <s v="-"/>
  </r>
  <r>
    <m/>
    <d v="2024-07-31T00:00:00"/>
    <x v="3"/>
    <s v="qua"/>
    <s v="-"/>
    <m/>
    <m/>
    <m/>
    <m/>
    <s v=""/>
    <m/>
    <s v=""/>
    <x v="0"/>
    <s v=""/>
    <m/>
    <s v="-"/>
    <s v="-"/>
    <x v="0"/>
    <s v="-"/>
  </r>
  <r>
    <m/>
    <d v="2024-07-31T00:00:00"/>
    <x v="4"/>
    <s v="qua"/>
    <s v="-"/>
    <m/>
    <m/>
    <m/>
    <m/>
    <s v=""/>
    <m/>
    <s v=""/>
    <x v="0"/>
    <s v=""/>
    <m/>
    <s v="-"/>
    <s v="-"/>
    <x v="0"/>
    <s v="-"/>
  </r>
  <r>
    <m/>
    <d v="2024-07-31T00:00:00"/>
    <x v="5"/>
    <s v="qua"/>
    <s v="-"/>
    <m/>
    <m/>
    <m/>
    <m/>
    <s v=""/>
    <m/>
    <s v=""/>
    <x v="0"/>
    <s v=""/>
    <m/>
    <s v="-"/>
    <s v="-"/>
    <x v="0"/>
    <s v="-"/>
  </r>
  <r>
    <m/>
    <d v="2024-07-31T00:00:00"/>
    <x v="6"/>
    <s v="qua"/>
    <s v="-"/>
    <m/>
    <m/>
    <m/>
    <m/>
    <s v=""/>
    <m/>
    <s v=""/>
    <x v="0"/>
    <s v=""/>
    <m/>
    <s v="-"/>
    <s v="-"/>
    <x v="0"/>
    <s v="-"/>
  </r>
  <r>
    <m/>
    <d v="2024-07-31T00:00:00"/>
    <x v="7"/>
    <s v="qua"/>
    <s v="-"/>
    <m/>
    <m/>
    <m/>
    <m/>
    <s v=""/>
    <m/>
    <s v=""/>
    <x v="0"/>
    <s v=""/>
    <m/>
    <s v="-"/>
    <s v="-"/>
    <x v="0"/>
    <s v="-"/>
  </r>
  <r>
    <m/>
    <d v="2024-07-31T00:00:00"/>
    <x v="7"/>
    <s v="qua"/>
    <s v="-"/>
    <m/>
    <m/>
    <m/>
    <m/>
    <s v=""/>
    <m/>
    <s v=""/>
    <x v="0"/>
    <s v=""/>
    <m/>
    <s v="-"/>
    <s v="-"/>
    <x v="0"/>
    <s v="-"/>
  </r>
  <r>
    <m/>
    <d v="2024-07-31T00:00:00"/>
    <x v="8"/>
    <s v="qua"/>
    <s v="-"/>
    <m/>
    <m/>
    <m/>
    <m/>
    <s v=""/>
    <m/>
    <s v=""/>
    <x v="0"/>
    <s v=""/>
    <m/>
    <s v="-"/>
    <s v="-"/>
    <x v="0"/>
    <s v="-"/>
  </r>
  <r>
    <m/>
    <d v="2024-07-31T00:00:00"/>
    <x v="9"/>
    <s v="qua"/>
    <s v="-"/>
    <m/>
    <m/>
    <m/>
    <m/>
    <s v=""/>
    <m/>
    <s v=""/>
    <x v="0"/>
    <s v=""/>
    <m/>
    <s v="-"/>
    <s v="-"/>
    <x v="0"/>
    <s v="-"/>
  </r>
  <r>
    <m/>
    <d v="2024-07-31T00:00:00"/>
    <x v="10"/>
    <s v="qua"/>
    <s v="-"/>
    <m/>
    <m/>
    <m/>
    <m/>
    <s v=""/>
    <m/>
    <s v=""/>
    <x v="0"/>
    <s v=""/>
    <m/>
    <s v="-"/>
    <s v="-"/>
    <x v="0"/>
    <s v="-"/>
  </r>
  <r>
    <m/>
    <d v="2024-07-31T00:00:00"/>
    <x v="10"/>
    <s v="qua"/>
    <s v="-"/>
    <m/>
    <m/>
    <m/>
    <m/>
    <s v=""/>
    <m/>
    <s v=""/>
    <x v="0"/>
    <s v=""/>
    <m/>
    <s v="-"/>
    <s v="-"/>
    <x v="0"/>
    <s v="-"/>
  </r>
  <r>
    <m/>
    <d v="2024-07-31T00:00:00"/>
    <x v="11"/>
    <s v="qua"/>
    <s v="-"/>
    <m/>
    <m/>
    <m/>
    <m/>
    <s v=""/>
    <m/>
    <s v=""/>
    <x v="0"/>
    <s v=""/>
    <m/>
    <s v="-"/>
    <s v="-"/>
    <x v="0"/>
    <s v="-"/>
  </r>
  <r>
    <m/>
    <d v="2024-07-31T00:00:00"/>
    <x v="11"/>
    <s v="qua"/>
    <s v="-"/>
    <m/>
    <m/>
    <m/>
    <m/>
    <s v=""/>
    <m/>
    <s v=""/>
    <x v="0"/>
    <s v=""/>
    <m/>
    <s v="-"/>
    <s v="-"/>
    <x v="0"/>
    <s v="-"/>
  </r>
  <r>
    <m/>
    <d v="2024-07-31T00:00:00"/>
    <x v="21"/>
    <s v="qua"/>
    <s v="-"/>
    <m/>
    <m/>
    <m/>
    <m/>
    <s v=""/>
    <m/>
    <s v=""/>
    <x v="0"/>
    <s v=""/>
    <m/>
    <s v="-"/>
    <s v="-"/>
    <x v="0"/>
    <s v="-"/>
  </r>
  <r>
    <m/>
    <d v="2024-07-31T00:00:00"/>
    <x v="12"/>
    <s v="qua"/>
    <s v="-"/>
    <m/>
    <m/>
    <m/>
    <m/>
    <s v=""/>
    <m/>
    <s v=""/>
    <x v="0"/>
    <s v=""/>
    <m/>
    <s v="-"/>
    <s v="-"/>
    <x v="0"/>
    <s v="-"/>
  </r>
  <r>
    <m/>
    <d v="2024-07-31T00:00:00"/>
    <x v="13"/>
    <s v="qua"/>
    <s v="-"/>
    <m/>
    <m/>
    <m/>
    <m/>
    <s v=""/>
    <m/>
    <s v=""/>
    <x v="0"/>
    <s v=""/>
    <m/>
    <s v="-"/>
    <s v="-"/>
    <x v="0"/>
    <s v="-"/>
  </r>
  <r>
    <m/>
    <d v="2024-07-31T00:00:00"/>
    <x v="13"/>
    <s v="qua"/>
    <s v="-"/>
    <m/>
    <m/>
    <m/>
    <m/>
    <s v=""/>
    <m/>
    <s v=""/>
    <x v="0"/>
    <s v=""/>
    <m/>
    <s v="-"/>
    <s v="-"/>
    <x v="0"/>
    <s v="-"/>
  </r>
  <r>
    <m/>
    <d v="2024-07-31T00:00:00"/>
    <x v="14"/>
    <s v="qua"/>
    <s v="-"/>
    <m/>
    <m/>
    <m/>
    <m/>
    <s v=""/>
    <m/>
    <s v=""/>
    <x v="0"/>
    <s v=""/>
    <m/>
    <s v="-"/>
    <s v="-"/>
    <x v="0"/>
    <s v="-"/>
  </r>
  <r>
    <m/>
    <d v="2024-07-31T00:00:00"/>
    <x v="14"/>
    <s v="qua"/>
    <s v="-"/>
    <m/>
    <m/>
    <m/>
    <m/>
    <s v=""/>
    <m/>
    <s v=""/>
    <x v="0"/>
    <s v=""/>
    <m/>
    <s v="-"/>
    <s v="-"/>
    <x v="0"/>
    <s v="-"/>
  </r>
  <r>
    <m/>
    <d v="2024-07-31T00:00:00"/>
    <x v="15"/>
    <s v="qua"/>
    <s v="-"/>
    <m/>
    <m/>
    <m/>
    <n v="563"/>
    <s v="Tupirama"/>
    <m/>
    <s v=""/>
    <x v="0"/>
    <s v=""/>
    <n v="9"/>
    <s v="-"/>
    <s v="-"/>
    <x v="1"/>
    <s v="PALMAS"/>
  </r>
  <r>
    <m/>
    <d v="2024-07-31T00:00:00"/>
    <x v="16"/>
    <s v="qua"/>
    <s v="-"/>
    <m/>
    <m/>
    <m/>
    <m/>
    <s v=""/>
    <m/>
    <s v=""/>
    <x v="0"/>
    <s v=""/>
    <m/>
    <s v="-"/>
    <s v="-"/>
    <x v="0"/>
    <s v="-"/>
  </r>
  <r>
    <m/>
    <d v="2024-07-31T00:00:00"/>
    <x v="16"/>
    <s v="qua"/>
    <s v="-"/>
    <m/>
    <m/>
    <m/>
    <m/>
    <s v=""/>
    <m/>
    <s v=""/>
    <x v="0"/>
    <s v=""/>
    <m/>
    <s v="-"/>
    <s v="-"/>
    <x v="0"/>
    <s v="-"/>
  </r>
  <r>
    <m/>
    <d v="2024-07-31T00:00:00"/>
    <x v="17"/>
    <s v="qua"/>
    <s v="-"/>
    <m/>
    <m/>
    <m/>
    <m/>
    <s v=""/>
    <m/>
    <s v=""/>
    <x v="0"/>
    <s v=""/>
    <m/>
    <s v="-"/>
    <s v="-"/>
    <x v="0"/>
    <s v="-"/>
  </r>
  <r>
    <m/>
    <d v="2024-07-31T00:00:00"/>
    <x v="17"/>
    <s v="qua"/>
    <s v="-"/>
    <m/>
    <m/>
    <m/>
    <m/>
    <s v=""/>
    <m/>
    <s v=""/>
    <x v="0"/>
    <s v=""/>
    <m/>
    <s v="-"/>
    <s v="-"/>
    <x v="0"/>
    <s v="-"/>
  </r>
  <r>
    <m/>
    <d v="2024-07-31T00:00:00"/>
    <x v="18"/>
    <s v="qua"/>
    <s v="-"/>
    <m/>
    <m/>
    <m/>
    <m/>
    <s v=""/>
    <m/>
    <s v=""/>
    <x v="0"/>
    <s v=""/>
    <m/>
    <s v="-"/>
    <s v="-"/>
    <x v="0"/>
    <s v="-"/>
  </r>
  <r>
    <m/>
    <d v="2024-07-31T00:00:00"/>
    <x v="19"/>
    <s v="qua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d v="2024-08-01T00:00:00"/>
    <x v="0"/>
    <s v="qui"/>
    <s v="-"/>
    <m/>
    <m/>
    <m/>
    <m/>
    <s v=""/>
    <m/>
    <s v=""/>
    <x v="0"/>
    <s v=""/>
    <m/>
    <s v="-"/>
    <s v="-"/>
    <x v="0"/>
    <s v="-"/>
  </r>
  <r>
    <m/>
    <d v="2024-08-01T00:00:00"/>
    <x v="0"/>
    <s v="qui"/>
    <s v="-"/>
    <m/>
    <m/>
    <m/>
    <m/>
    <s v=""/>
    <m/>
    <s v=""/>
    <x v="0"/>
    <s v=""/>
    <m/>
    <s v="-"/>
    <s v="-"/>
    <x v="0"/>
    <s v="-"/>
  </r>
  <r>
    <m/>
    <d v="2024-08-01T00:00:00"/>
    <x v="1"/>
    <s v="qui"/>
    <s v="-"/>
    <m/>
    <m/>
    <m/>
    <m/>
    <s v=""/>
    <m/>
    <s v=""/>
    <x v="0"/>
    <s v=""/>
    <m/>
    <s v="-"/>
    <s v="-"/>
    <x v="0"/>
    <s v="-"/>
  </r>
  <r>
    <m/>
    <d v="2024-08-01T00:00:00"/>
    <x v="2"/>
    <s v="qui"/>
    <s v="-"/>
    <m/>
    <m/>
    <m/>
    <m/>
    <s v=""/>
    <m/>
    <s v=""/>
    <x v="0"/>
    <s v=""/>
    <m/>
    <s v="-"/>
    <s v="-"/>
    <x v="0"/>
    <s v="-"/>
  </r>
  <r>
    <m/>
    <d v="2024-08-01T00:00:00"/>
    <x v="3"/>
    <s v="qui"/>
    <s v="-"/>
    <m/>
    <m/>
    <m/>
    <m/>
    <s v=""/>
    <m/>
    <s v=""/>
    <x v="0"/>
    <s v=""/>
    <m/>
    <s v="-"/>
    <s v="-"/>
    <x v="0"/>
    <s v="-"/>
  </r>
  <r>
    <m/>
    <d v="2024-08-01T00:00:00"/>
    <x v="3"/>
    <s v="qui"/>
    <s v="-"/>
    <m/>
    <m/>
    <m/>
    <m/>
    <s v=""/>
    <m/>
    <s v=""/>
    <x v="0"/>
    <s v=""/>
    <m/>
    <s v="-"/>
    <s v="-"/>
    <x v="0"/>
    <s v="-"/>
  </r>
  <r>
    <m/>
    <d v="2024-08-01T00:00:00"/>
    <x v="4"/>
    <s v="qui"/>
    <s v="-"/>
    <m/>
    <m/>
    <m/>
    <m/>
    <s v=""/>
    <m/>
    <s v=""/>
    <x v="0"/>
    <s v=""/>
    <m/>
    <s v="-"/>
    <s v="-"/>
    <x v="0"/>
    <s v="-"/>
  </r>
  <r>
    <m/>
    <d v="2024-08-01T00:00:00"/>
    <x v="5"/>
    <s v="qui"/>
    <s v="-"/>
    <m/>
    <m/>
    <m/>
    <m/>
    <s v=""/>
    <m/>
    <s v=""/>
    <x v="0"/>
    <s v=""/>
    <m/>
    <s v="-"/>
    <s v="-"/>
    <x v="0"/>
    <s v="-"/>
  </r>
  <r>
    <m/>
    <d v="2024-08-01T00:00:00"/>
    <x v="6"/>
    <s v="qui"/>
    <s v="-"/>
    <m/>
    <m/>
    <m/>
    <m/>
    <s v=""/>
    <m/>
    <s v=""/>
    <x v="0"/>
    <s v=""/>
    <m/>
    <s v="-"/>
    <s v="-"/>
    <x v="0"/>
    <s v="-"/>
  </r>
  <r>
    <m/>
    <d v="2024-08-01T00:00:00"/>
    <x v="7"/>
    <s v="qui"/>
    <s v="-"/>
    <m/>
    <m/>
    <m/>
    <m/>
    <s v=""/>
    <m/>
    <s v=""/>
    <x v="0"/>
    <s v=""/>
    <m/>
    <s v="-"/>
    <s v="-"/>
    <x v="0"/>
    <s v="-"/>
  </r>
  <r>
    <m/>
    <d v="2024-08-01T00:00:00"/>
    <x v="7"/>
    <s v="qui"/>
    <s v="-"/>
    <m/>
    <m/>
    <m/>
    <m/>
    <s v=""/>
    <m/>
    <s v=""/>
    <x v="0"/>
    <s v=""/>
    <m/>
    <s v="-"/>
    <s v="-"/>
    <x v="0"/>
    <s v="-"/>
  </r>
  <r>
    <m/>
    <d v="2024-08-01T00:00:00"/>
    <x v="8"/>
    <s v="qui"/>
    <s v="-"/>
    <m/>
    <m/>
    <m/>
    <m/>
    <s v=""/>
    <m/>
    <s v=""/>
    <x v="0"/>
    <s v=""/>
    <m/>
    <s v="-"/>
    <s v="-"/>
    <x v="0"/>
    <s v="-"/>
  </r>
  <r>
    <m/>
    <d v="2024-08-01T00:00:00"/>
    <x v="9"/>
    <s v="qui"/>
    <s v="-"/>
    <m/>
    <m/>
    <m/>
    <m/>
    <s v=""/>
    <m/>
    <s v=""/>
    <x v="0"/>
    <s v=""/>
    <m/>
    <s v="-"/>
    <s v="-"/>
    <x v="0"/>
    <s v="-"/>
  </r>
  <r>
    <m/>
    <d v="2024-08-01T00:00:00"/>
    <x v="9"/>
    <s v="qui"/>
    <s v="-"/>
    <m/>
    <m/>
    <m/>
    <m/>
    <s v=""/>
    <m/>
    <s v=""/>
    <x v="0"/>
    <s v=""/>
    <m/>
    <s v="-"/>
    <s v="-"/>
    <x v="0"/>
    <s v="-"/>
  </r>
  <r>
    <m/>
    <d v="2024-08-01T00:00:00"/>
    <x v="10"/>
    <s v="qui"/>
    <s v="-"/>
    <m/>
    <m/>
    <m/>
    <m/>
    <s v=""/>
    <m/>
    <s v=""/>
    <x v="0"/>
    <s v=""/>
    <m/>
    <s v="-"/>
    <s v="-"/>
    <x v="0"/>
    <s v="-"/>
  </r>
  <r>
    <m/>
    <d v="2024-08-01T00:00:00"/>
    <x v="10"/>
    <s v="qui"/>
    <s v="-"/>
    <m/>
    <m/>
    <m/>
    <m/>
    <s v=""/>
    <m/>
    <s v=""/>
    <x v="0"/>
    <s v=""/>
    <m/>
    <s v="-"/>
    <s v="-"/>
    <x v="0"/>
    <s v="-"/>
  </r>
  <r>
    <m/>
    <d v="2024-08-01T00:00:00"/>
    <x v="11"/>
    <s v="qui"/>
    <s v="-"/>
    <m/>
    <m/>
    <m/>
    <m/>
    <s v=""/>
    <m/>
    <s v=""/>
    <x v="0"/>
    <s v=""/>
    <m/>
    <s v="-"/>
    <s v="-"/>
    <x v="0"/>
    <s v="-"/>
  </r>
  <r>
    <m/>
    <d v="2024-08-01T00:00:00"/>
    <x v="11"/>
    <s v="qui"/>
    <s v="-"/>
    <m/>
    <m/>
    <m/>
    <m/>
    <s v=""/>
    <m/>
    <s v=""/>
    <x v="0"/>
    <s v=""/>
    <m/>
    <s v="-"/>
    <s v="-"/>
    <x v="0"/>
    <s v="-"/>
  </r>
  <r>
    <m/>
    <d v="2024-08-01T00:00:00"/>
    <x v="12"/>
    <s v="qui"/>
    <s v="-"/>
    <m/>
    <m/>
    <m/>
    <m/>
    <s v=""/>
    <m/>
    <s v=""/>
    <x v="0"/>
    <s v=""/>
    <m/>
    <s v="-"/>
    <s v="-"/>
    <x v="0"/>
    <s v="-"/>
  </r>
  <r>
    <m/>
    <d v="2024-08-01T00:00:00"/>
    <x v="12"/>
    <s v="qui"/>
    <s v="-"/>
    <m/>
    <m/>
    <m/>
    <m/>
    <s v=""/>
    <m/>
    <s v=""/>
    <x v="0"/>
    <s v=""/>
    <m/>
    <s v="-"/>
    <s v="-"/>
    <x v="0"/>
    <s v="-"/>
  </r>
  <r>
    <m/>
    <d v="2024-08-01T00:00:00"/>
    <x v="13"/>
    <s v="qui"/>
    <s v="-"/>
    <m/>
    <m/>
    <m/>
    <m/>
    <s v=""/>
    <m/>
    <s v=""/>
    <x v="0"/>
    <s v=""/>
    <m/>
    <s v="-"/>
    <s v="-"/>
    <x v="0"/>
    <s v="-"/>
  </r>
  <r>
    <m/>
    <d v="2024-08-01T00:00:00"/>
    <x v="13"/>
    <s v="qui"/>
    <s v="-"/>
    <m/>
    <m/>
    <m/>
    <m/>
    <s v=""/>
    <m/>
    <s v=""/>
    <x v="0"/>
    <s v=""/>
    <m/>
    <s v="-"/>
    <s v="-"/>
    <x v="0"/>
    <s v="-"/>
  </r>
  <r>
    <m/>
    <d v="2024-08-01T00:00:00"/>
    <x v="14"/>
    <s v="qui"/>
    <s v="-"/>
    <m/>
    <m/>
    <m/>
    <m/>
    <s v=""/>
    <m/>
    <s v=""/>
    <x v="0"/>
    <s v=""/>
    <m/>
    <s v="-"/>
    <s v="-"/>
    <x v="0"/>
    <s v="-"/>
  </r>
  <r>
    <m/>
    <d v="2024-08-01T00:00:00"/>
    <x v="14"/>
    <s v="qui"/>
    <s v="-"/>
    <m/>
    <m/>
    <m/>
    <m/>
    <s v=""/>
    <m/>
    <s v=""/>
    <x v="0"/>
    <s v=""/>
    <m/>
    <s v="-"/>
    <s v="-"/>
    <x v="0"/>
    <s v="-"/>
  </r>
  <r>
    <m/>
    <d v="2024-08-01T00:00:00"/>
    <x v="15"/>
    <s v="qui"/>
    <s v="-"/>
    <m/>
    <m/>
    <m/>
    <n v="563"/>
    <s v="Tupirama"/>
    <m/>
    <s v=""/>
    <x v="0"/>
    <s v=""/>
    <n v="9"/>
    <s v="-"/>
    <s v="-"/>
    <x v="1"/>
    <s v="PALMAS"/>
  </r>
  <r>
    <m/>
    <d v="2024-08-01T00:00:00"/>
    <x v="16"/>
    <s v="qui"/>
    <s v="-"/>
    <m/>
    <m/>
    <m/>
    <m/>
    <s v=""/>
    <m/>
    <s v=""/>
    <x v="0"/>
    <s v=""/>
    <m/>
    <s v="-"/>
    <s v="-"/>
    <x v="0"/>
    <s v="-"/>
  </r>
  <r>
    <m/>
    <d v="2024-08-01T00:00:00"/>
    <x v="16"/>
    <s v="qui"/>
    <s v="-"/>
    <m/>
    <m/>
    <m/>
    <m/>
    <s v=""/>
    <m/>
    <s v=""/>
    <x v="0"/>
    <s v=""/>
    <m/>
    <s v="-"/>
    <s v="-"/>
    <x v="0"/>
    <s v="-"/>
  </r>
  <r>
    <m/>
    <d v="2024-08-01T00:00:00"/>
    <x v="17"/>
    <s v="qui"/>
    <s v="-"/>
    <m/>
    <m/>
    <m/>
    <m/>
    <s v=""/>
    <m/>
    <s v=""/>
    <x v="0"/>
    <s v=""/>
    <m/>
    <s v="-"/>
    <s v="-"/>
    <x v="0"/>
    <s v="-"/>
  </r>
  <r>
    <m/>
    <d v="2024-08-01T00:00:00"/>
    <x v="17"/>
    <s v="qui"/>
    <s v="-"/>
    <m/>
    <m/>
    <m/>
    <m/>
    <s v=""/>
    <m/>
    <s v=""/>
    <x v="0"/>
    <s v=""/>
    <m/>
    <s v="-"/>
    <s v="-"/>
    <x v="0"/>
    <s v="-"/>
  </r>
  <r>
    <m/>
    <d v="2024-08-01T00:00:00"/>
    <x v="18"/>
    <s v="qui"/>
    <s v="-"/>
    <m/>
    <m/>
    <m/>
    <m/>
    <s v=""/>
    <m/>
    <s v=""/>
    <x v="0"/>
    <s v=""/>
    <m/>
    <s v="-"/>
    <s v="-"/>
    <x v="0"/>
    <s v="-"/>
  </r>
  <r>
    <m/>
    <d v="2024-08-01T00:00:00"/>
    <x v="18"/>
    <s v="qui"/>
    <s v="-"/>
    <m/>
    <m/>
    <m/>
    <m/>
    <s v=""/>
    <m/>
    <s v=""/>
    <x v="0"/>
    <s v=""/>
    <m/>
    <s v="-"/>
    <s v="-"/>
    <x v="0"/>
    <s v="-"/>
  </r>
  <r>
    <m/>
    <d v="2024-08-01T00:00:00"/>
    <x v="19"/>
    <s v="qui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d v="2024-08-02T00:00:00"/>
    <x v="0"/>
    <s v="sex"/>
    <s v="-"/>
    <m/>
    <m/>
    <m/>
    <m/>
    <s v=""/>
    <m/>
    <s v=""/>
    <x v="0"/>
    <s v=""/>
    <m/>
    <s v="-"/>
    <s v="-"/>
    <x v="0"/>
    <s v="-"/>
  </r>
  <r>
    <m/>
    <d v="2024-08-02T00:00:00"/>
    <x v="0"/>
    <s v="sex"/>
    <s v="-"/>
    <m/>
    <m/>
    <m/>
    <m/>
    <s v=""/>
    <m/>
    <s v=""/>
    <x v="0"/>
    <s v=""/>
    <m/>
    <s v="-"/>
    <s v="-"/>
    <x v="0"/>
    <s v="-"/>
  </r>
  <r>
    <m/>
    <d v="2024-08-02T00:00:00"/>
    <x v="1"/>
    <s v="sex"/>
    <s v="-"/>
    <m/>
    <m/>
    <m/>
    <m/>
    <s v=""/>
    <m/>
    <s v=""/>
    <x v="0"/>
    <s v=""/>
    <m/>
    <s v="-"/>
    <s v="-"/>
    <x v="0"/>
    <s v="-"/>
  </r>
  <r>
    <m/>
    <d v="2024-08-02T00:00:00"/>
    <x v="2"/>
    <s v="sex"/>
    <s v="-"/>
    <m/>
    <m/>
    <m/>
    <m/>
    <s v=""/>
    <m/>
    <s v=""/>
    <x v="0"/>
    <s v=""/>
    <m/>
    <s v="-"/>
    <s v="-"/>
    <x v="0"/>
    <s v="-"/>
  </r>
  <r>
    <m/>
    <d v="2024-08-02T00:00:00"/>
    <x v="3"/>
    <s v="sex"/>
    <s v="-"/>
    <m/>
    <m/>
    <m/>
    <m/>
    <s v=""/>
    <m/>
    <s v=""/>
    <x v="0"/>
    <s v=""/>
    <m/>
    <s v="-"/>
    <s v="-"/>
    <x v="0"/>
    <s v="-"/>
  </r>
  <r>
    <m/>
    <d v="2024-08-02T00:00:00"/>
    <x v="3"/>
    <s v="sex"/>
    <s v="-"/>
    <m/>
    <m/>
    <m/>
    <m/>
    <s v=""/>
    <m/>
    <s v=""/>
    <x v="0"/>
    <s v=""/>
    <m/>
    <s v="-"/>
    <s v="-"/>
    <x v="0"/>
    <s v="-"/>
  </r>
  <r>
    <m/>
    <d v="2024-08-02T00:00:00"/>
    <x v="4"/>
    <s v="sex"/>
    <s v="-"/>
    <m/>
    <m/>
    <m/>
    <m/>
    <s v=""/>
    <m/>
    <s v=""/>
    <x v="0"/>
    <s v=""/>
    <m/>
    <s v="-"/>
    <s v="-"/>
    <x v="0"/>
    <s v="-"/>
  </r>
  <r>
    <m/>
    <d v="2024-08-02T00:00:00"/>
    <x v="4"/>
    <s v="sex"/>
    <s v="-"/>
    <m/>
    <m/>
    <m/>
    <m/>
    <s v=""/>
    <m/>
    <s v=""/>
    <x v="0"/>
    <s v=""/>
    <m/>
    <s v="-"/>
    <s v="-"/>
    <x v="0"/>
    <s v="-"/>
  </r>
  <r>
    <m/>
    <d v="2024-08-02T00:00:00"/>
    <x v="5"/>
    <s v="sex"/>
    <s v="-"/>
    <m/>
    <m/>
    <m/>
    <m/>
    <s v=""/>
    <m/>
    <s v=""/>
    <x v="0"/>
    <s v=""/>
    <m/>
    <s v="-"/>
    <s v="-"/>
    <x v="0"/>
    <s v="-"/>
  </r>
  <r>
    <m/>
    <d v="2024-08-02T00:00:00"/>
    <x v="5"/>
    <s v="sex"/>
    <s v="-"/>
    <m/>
    <m/>
    <m/>
    <m/>
    <s v=""/>
    <m/>
    <s v=""/>
    <x v="0"/>
    <s v=""/>
    <m/>
    <s v="-"/>
    <s v="-"/>
    <x v="0"/>
    <s v="-"/>
  </r>
  <r>
    <m/>
    <d v="2024-08-02T00:00:00"/>
    <x v="6"/>
    <s v="sex"/>
    <s v="-"/>
    <m/>
    <m/>
    <m/>
    <m/>
    <s v=""/>
    <m/>
    <s v=""/>
    <x v="0"/>
    <s v=""/>
    <m/>
    <s v="-"/>
    <s v="-"/>
    <x v="0"/>
    <s v="-"/>
  </r>
  <r>
    <m/>
    <d v="2024-08-02T00:00:00"/>
    <x v="7"/>
    <s v="sex"/>
    <s v="-"/>
    <m/>
    <m/>
    <m/>
    <m/>
    <s v=""/>
    <m/>
    <s v=""/>
    <x v="0"/>
    <s v=""/>
    <m/>
    <s v="-"/>
    <s v="-"/>
    <x v="0"/>
    <s v="-"/>
  </r>
  <r>
    <m/>
    <d v="2024-08-02T00:00:00"/>
    <x v="7"/>
    <s v="sex"/>
    <s v="-"/>
    <m/>
    <m/>
    <m/>
    <m/>
    <s v=""/>
    <m/>
    <s v=""/>
    <x v="0"/>
    <s v=""/>
    <m/>
    <s v="-"/>
    <s v="-"/>
    <x v="0"/>
    <s v="-"/>
  </r>
  <r>
    <m/>
    <d v="2024-08-02T00:00:00"/>
    <x v="8"/>
    <s v="sex"/>
    <s v="-"/>
    <m/>
    <m/>
    <m/>
    <m/>
    <s v=""/>
    <m/>
    <s v=""/>
    <x v="0"/>
    <s v=""/>
    <m/>
    <s v="-"/>
    <s v="-"/>
    <x v="0"/>
    <s v="-"/>
  </r>
  <r>
    <m/>
    <d v="2024-08-02T00:00:00"/>
    <x v="9"/>
    <s v="sex"/>
    <s v="-"/>
    <m/>
    <m/>
    <m/>
    <m/>
    <s v=""/>
    <m/>
    <s v=""/>
    <x v="0"/>
    <s v=""/>
    <m/>
    <s v="-"/>
    <s v="-"/>
    <x v="0"/>
    <s v="-"/>
  </r>
  <r>
    <m/>
    <d v="2024-08-02T00:00:00"/>
    <x v="10"/>
    <s v="sex"/>
    <s v="-"/>
    <m/>
    <m/>
    <m/>
    <m/>
    <s v=""/>
    <m/>
    <s v=""/>
    <x v="0"/>
    <s v=""/>
    <m/>
    <s v="-"/>
    <s v="-"/>
    <x v="0"/>
    <s v="-"/>
  </r>
  <r>
    <m/>
    <d v="2024-08-02T00:00:00"/>
    <x v="10"/>
    <s v="sex"/>
    <s v="-"/>
    <m/>
    <m/>
    <m/>
    <m/>
    <s v=""/>
    <m/>
    <s v=""/>
    <x v="0"/>
    <s v=""/>
    <m/>
    <s v="-"/>
    <s v="-"/>
    <x v="0"/>
    <s v="-"/>
  </r>
  <r>
    <m/>
    <d v="2024-08-02T00:00:00"/>
    <x v="11"/>
    <s v="sex"/>
    <s v="-"/>
    <m/>
    <m/>
    <m/>
    <m/>
    <s v=""/>
    <m/>
    <s v=""/>
    <x v="0"/>
    <s v=""/>
    <m/>
    <s v="-"/>
    <s v="-"/>
    <x v="0"/>
    <s v="-"/>
  </r>
  <r>
    <m/>
    <d v="2024-08-02T00:00:00"/>
    <x v="11"/>
    <s v="sex"/>
    <s v="-"/>
    <m/>
    <m/>
    <m/>
    <m/>
    <s v=""/>
    <m/>
    <s v=""/>
    <x v="0"/>
    <s v=""/>
    <m/>
    <s v="-"/>
    <s v="-"/>
    <x v="0"/>
    <s v="-"/>
  </r>
  <r>
    <m/>
    <d v="2024-08-02T00:00:00"/>
    <x v="21"/>
    <s v="sex"/>
    <s v="-"/>
    <m/>
    <m/>
    <m/>
    <m/>
    <s v=""/>
    <m/>
    <s v=""/>
    <x v="0"/>
    <s v=""/>
    <m/>
    <s v="-"/>
    <s v="-"/>
    <x v="0"/>
    <s v="-"/>
  </r>
  <r>
    <m/>
    <d v="2024-08-02T00:00:00"/>
    <x v="21"/>
    <s v="sex"/>
    <s v="-"/>
    <m/>
    <m/>
    <m/>
    <m/>
    <s v=""/>
    <m/>
    <s v=""/>
    <x v="0"/>
    <s v=""/>
    <m/>
    <s v="-"/>
    <s v="-"/>
    <x v="0"/>
    <s v="-"/>
  </r>
  <r>
    <m/>
    <d v="2024-08-02T00:00:00"/>
    <x v="13"/>
    <s v="sex"/>
    <s v="-"/>
    <m/>
    <m/>
    <m/>
    <m/>
    <s v=""/>
    <m/>
    <s v=""/>
    <x v="0"/>
    <s v=""/>
    <m/>
    <s v="-"/>
    <s v="-"/>
    <x v="0"/>
    <s v="-"/>
  </r>
  <r>
    <m/>
    <d v="2024-08-02T00:00:00"/>
    <x v="13"/>
    <s v="sex"/>
    <s v="-"/>
    <m/>
    <m/>
    <m/>
    <m/>
    <s v=""/>
    <m/>
    <s v=""/>
    <x v="0"/>
    <s v=""/>
    <m/>
    <s v="-"/>
    <s v="-"/>
    <x v="0"/>
    <s v="-"/>
  </r>
  <r>
    <m/>
    <d v="2024-08-02T00:00:00"/>
    <x v="14"/>
    <s v="sex"/>
    <s v="-"/>
    <m/>
    <m/>
    <m/>
    <m/>
    <s v=""/>
    <m/>
    <s v=""/>
    <x v="0"/>
    <s v=""/>
    <m/>
    <s v="-"/>
    <s v="-"/>
    <x v="0"/>
    <s v="-"/>
  </r>
  <r>
    <m/>
    <d v="2024-08-02T00:00:00"/>
    <x v="14"/>
    <s v="sex"/>
    <s v="-"/>
    <m/>
    <m/>
    <m/>
    <m/>
    <s v=""/>
    <m/>
    <s v=""/>
    <x v="0"/>
    <s v=""/>
    <m/>
    <s v="-"/>
    <s v="-"/>
    <x v="0"/>
    <s v="-"/>
  </r>
  <r>
    <m/>
    <d v="2024-08-02T00:00:00"/>
    <x v="15"/>
    <s v="sex"/>
    <s v="-"/>
    <m/>
    <m/>
    <m/>
    <n v="563"/>
    <s v="Tupirama"/>
    <m/>
    <s v=""/>
    <x v="0"/>
    <s v=""/>
    <n v="8"/>
    <s v="-"/>
    <s v="-"/>
    <x v="1"/>
    <s v="PALMAS"/>
  </r>
  <r>
    <m/>
    <d v="2024-08-02T00:00:00"/>
    <x v="16"/>
    <s v="sex"/>
    <s v="-"/>
    <m/>
    <m/>
    <m/>
    <m/>
    <s v=""/>
    <m/>
    <s v=""/>
    <x v="0"/>
    <s v=""/>
    <m/>
    <s v="-"/>
    <s v="-"/>
    <x v="0"/>
    <s v="-"/>
  </r>
  <r>
    <m/>
    <d v="2024-08-02T00:00:00"/>
    <x v="16"/>
    <s v="sex"/>
    <s v="-"/>
    <m/>
    <m/>
    <m/>
    <m/>
    <s v=""/>
    <m/>
    <s v=""/>
    <x v="0"/>
    <s v=""/>
    <m/>
    <s v="-"/>
    <s v="-"/>
    <x v="0"/>
    <s v="-"/>
  </r>
  <r>
    <m/>
    <d v="2024-08-02T00:00:00"/>
    <x v="17"/>
    <s v="sex"/>
    <s v="-"/>
    <m/>
    <m/>
    <m/>
    <m/>
    <s v=""/>
    <m/>
    <s v=""/>
    <x v="0"/>
    <s v=""/>
    <m/>
    <s v="-"/>
    <s v="-"/>
    <x v="0"/>
    <s v="-"/>
  </r>
  <r>
    <m/>
    <d v="2024-08-02T00:00:00"/>
    <x v="17"/>
    <s v="sex"/>
    <s v="-"/>
    <m/>
    <m/>
    <m/>
    <m/>
    <s v=""/>
    <m/>
    <s v=""/>
    <x v="0"/>
    <s v=""/>
    <m/>
    <s v="-"/>
    <s v="-"/>
    <x v="0"/>
    <s v="-"/>
  </r>
  <r>
    <m/>
    <d v="2024-08-02T00:00:00"/>
    <x v="18"/>
    <s v="sex"/>
    <s v="-"/>
    <m/>
    <m/>
    <m/>
    <m/>
    <s v=""/>
    <m/>
    <s v=""/>
    <x v="0"/>
    <s v=""/>
    <m/>
    <s v="-"/>
    <s v="-"/>
    <x v="0"/>
    <s v="-"/>
  </r>
  <r>
    <m/>
    <d v="2024-08-02T00:00:00"/>
    <x v="19"/>
    <s v="sex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m/>
    <x v="0"/>
    <s v="-"/>
    <s v="-"/>
    <m/>
    <m/>
    <m/>
    <m/>
    <s v=""/>
    <m/>
    <s v=""/>
    <x v="0"/>
    <s v=""/>
    <m/>
    <s v="-"/>
    <s v="-"/>
    <x v="0"/>
    <s v="-"/>
  </r>
  <r>
    <m/>
    <m/>
    <x v="0"/>
    <s v="-"/>
    <s v="-"/>
    <m/>
    <m/>
    <m/>
    <m/>
    <s v=""/>
    <m/>
    <s v=""/>
    <x v="0"/>
    <s v=""/>
    <m/>
    <s v="-"/>
    <s v="-"/>
    <x v="0"/>
    <s v="-"/>
  </r>
  <r>
    <m/>
    <m/>
    <x v="1"/>
    <s v="-"/>
    <s v="-"/>
    <m/>
    <m/>
    <m/>
    <m/>
    <s v=""/>
    <m/>
    <s v=""/>
    <x v="0"/>
    <s v=""/>
    <m/>
    <s v="-"/>
    <s v="-"/>
    <x v="0"/>
    <s v="-"/>
  </r>
  <r>
    <m/>
    <m/>
    <x v="2"/>
    <s v="-"/>
    <s v="-"/>
    <m/>
    <m/>
    <m/>
    <m/>
    <s v=""/>
    <m/>
    <s v=""/>
    <x v="0"/>
    <s v=""/>
    <m/>
    <s v="-"/>
    <s v="-"/>
    <x v="0"/>
    <s v="-"/>
  </r>
  <r>
    <m/>
    <m/>
    <x v="3"/>
    <s v="-"/>
    <s v="-"/>
    <m/>
    <m/>
    <m/>
    <m/>
    <s v=""/>
    <m/>
    <s v=""/>
    <x v="0"/>
    <s v=""/>
    <m/>
    <s v="-"/>
    <s v="-"/>
    <x v="0"/>
    <s v="-"/>
  </r>
  <r>
    <m/>
    <m/>
    <x v="3"/>
    <s v="-"/>
    <s v="-"/>
    <m/>
    <m/>
    <m/>
    <m/>
    <s v=""/>
    <m/>
    <s v=""/>
    <x v="0"/>
    <s v=""/>
    <m/>
    <s v="-"/>
    <s v="-"/>
    <x v="0"/>
    <s v="-"/>
  </r>
  <r>
    <m/>
    <d v="2024-08-03T00:00:00"/>
    <x v="4"/>
    <s v="sáb"/>
    <s v="-"/>
    <m/>
    <m/>
    <m/>
    <m/>
    <s v=""/>
    <m/>
    <s v=""/>
    <x v="0"/>
    <s v=""/>
    <m/>
    <s v="-"/>
    <s v="-"/>
    <x v="0"/>
    <s v="-"/>
  </r>
  <r>
    <m/>
    <d v="2024-08-03T00:00:00"/>
    <x v="5"/>
    <s v="sáb"/>
    <s v="-"/>
    <m/>
    <m/>
    <m/>
    <m/>
    <s v=""/>
    <m/>
    <s v=""/>
    <x v="0"/>
    <s v=""/>
    <m/>
    <s v="-"/>
    <s v="-"/>
    <x v="0"/>
    <s v="-"/>
  </r>
  <r>
    <m/>
    <m/>
    <x v="6"/>
    <s v="-"/>
    <s v="-"/>
    <m/>
    <m/>
    <m/>
    <m/>
    <s v=""/>
    <m/>
    <s v=""/>
    <x v="0"/>
    <s v=""/>
    <m/>
    <s v="-"/>
    <s v="-"/>
    <x v="0"/>
    <s v="-"/>
  </r>
  <r>
    <m/>
    <m/>
    <x v="7"/>
    <s v="-"/>
    <s v="-"/>
    <m/>
    <m/>
    <m/>
    <m/>
    <s v=""/>
    <m/>
    <s v=""/>
    <x v="0"/>
    <s v=""/>
    <m/>
    <s v="-"/>
    <s v="-"/>
    <x v="0"/>
    <s v="-"/>
  </r>
  <r>
    <m/>
    <m/>
    <x v="7"/>
    <s v="-"/>
    <s v="-"/>
    <m/>
    <m/>
    <m/>
    <m/>
    <s v=""/>
    <m/>
    <s v=""/>
    <x v="0"/>
    <s v=""/>
    <m/>
    <s v="-"/>
    <s v="-"/>
    <x v="0"/>
    <s v="-"/>
  </r>
  <r>
    <m/>
    <m/>
    <x v="8"/>
    <s v="-"/>
    <s v="-"/>
    <m/>
    <m/>
    <m/>
    <m/>
    <s v=""/>
    <m/>
    <s v=""/>
    <x v="0"/>
    <s v=""/>
    <m/>
    <s v="-"/>
    <s v="-"/>
    <x v="0"/>
    <s v="-"/>
  </r>
  <r>
    <m/>
    <m/>
    <x v="9"/>
    <s v="-"/>
    <s v="-"/>
    <m/>
    <m/>
    <m/>
    <m/>
    <s v=""/>
    <m/>
    <s v=""/>
    <x v="0"/>
    <s v=""/>
    <m/>
    <s v="-"/>
    <s v="-"/>
    <x v="0"/>
    <s v="-"/>
  </r>
  <r>
    <m/>
    <m/>
    <x v="10"/>
    <s v="-"/>
    <s v="-"/>
    <m/>
    <m/>
    <m/>
    <m/>
    <s v=""/>
    <m/>
    <s v=""/>
    <x v="0"/>
    <s v=""/>
    <m/>
    <s v="-"/>
    <s v="-"/>
    <x v="0"/>
    <s v="-"/>
  </r>
  <r>
    <m/>
    <m/>
    <x v="10"/>
    <s v="-"/>
    <s v="-"/>
    <m/>
    <m/>
    <m/>
    <m/>
    <s v=""/>
    <m/>
    <s v=""/>
    <x v="0"/>
    <s v=""/>
    <m/>
    <s v="-"/>
    <s v="-"/>
    <x v="0"/>
    <s v="-"/>
  </r>
  <r>
    <m/>
    <m/>
    <x v="11"/>
    <s v="-"/>
    <s v="-"/>
    <m/>
    <m/>
    <m/>
    <m/>
    <s v=""/>
    <m/>
    <s v=""/>
    <x v="0"/>
    <s v=""/>
    <m/>
    <s v="-"/>
    <s v="-"/>
    <x v="0"/>
    <s v="-"/>
  </r>
  <r>
    <m/>
    <m/>
    <x v="11"/>
    <s v="-"/>
    <s v="-"/>
    <m/>
    <m/>
    <m/>
    <m/>
    <s v=""/>
    <m/>
    <s v=""/>
    <x v="0"/>
    <s v=""/>
    <m/>
    <s v="-"/>
    <s v="-"/>
    <x v="0"/>
    <s v="-"/>
  </r>
  <r>
    <m/>
    <m/>
    <x v="12"/>
    <s v="-"/>
    <s v="-"/>
    <m/>
    <m/>
    <m/>
    <m/>
    <s v=""/>
    <m/>
    <s v=""/>
    <x v="0"/>
    <s v=""/>
    <m/>
    <s v="-"/>
    <s v="-"/>
    <x v="0"/>
    <s v="-"/>
  </r>
  <r>
    <m/>
    <m/>
    <x v="12"/>
    <s v="-"/>
    <s v="-"/>
    <m/>
    <m/>
    <m/>
    <m/>
    <s v=""/>
    <m/>
    <s v=""/>
    <x v="0"/>
    <s v=""/>
    <m/>
    <s v="-"/>
    <s v="-"/>
    <x v="0"/>
    <s v="-"/>
  </r>
  <r>
    <m/>
    <m/>
    <x v="13"/>
    <s v="-"/>
    <s v="-"/>
    <m/>
    <m/>
    <m/>
    <m/>
    <s v=""/>
    <m/>
    <s v=""/>
    <x v="0"/>
    <s v=""/>
    <m/>
    <s v="-"/>
    <s v="-"/>
    <x v="0"/>
    <s v="-"/>
  </r>
  <r>
    <m/>
    <m/>
    <x v="13"/>
    <s v="-"/>
    <s v="-"/>
    <m/>
    <m/>
    <m/>
    <m/>
    <s v=""/>
    <m/>
    <s v=""/>
    <x v="0"/>
    <s v=""/>
    <m/>
    <s v="-"/>
    <s v="-"/>
    <x v="0"/>
    <s v="ARAGUAINA"/>
  </r>
  <r>
    <m/>
    <m/>
    <x v="14"/>
    <s v="-"/>
    <s v="-"/>
    <m/>
    <m/>
    <m/>
    <m/>
    <s v=""/>
    <m/>
    <s v=""/>
    <x v="0"/>
    <s v=""/>
    <m/>
    <s v="-"/>
    <s v="-"/>
    <x v="0"/>
    <s v="-"/>
  </r>
  <r>
    <m/>
    <m/>
    <x v="14"/>
    <s v="-"/>
    <s v="-"/>
    <m/>
    <m/>
    <m/>
    <m/>
    <s v=""/>
    <m/>
    <s v=""/>
    <x v="0"/>
    <s v=""/>
    <m/>
    <s v="-"/>
    <s v="-"/>
    <x v="0"/>
    <s v="-"/>
  </r>
  <r>
    <m/>
    <m/>
    <x v="15"/>
    <s v="-"/>
    <s v="-"/>
    <m/>
    <m/>
    <m/>
    <m/>
    <s v=""/>
    <m/>
    <s v=""/>
    <x v="0"/>
    <s v=""/>
    <m/>
    <s v="-"/>
    <s v="-"/>
    <x v="0"/>
    <s v="-"/>
  </r>
  <r>
    <m/>
    <m/>
    <x v="16"/>
    <s v="-"/>
    <s v="-"/>
    <m/>
    <m/>
    <m/>
    <m/>
    <s v=""/>
    <m/>
    <s v=""/>
    <x v="0"/>
    <s v=""/>
    <m/>
    <s v="-"/>
    <s v="-"/>
    <x v="0"/>
    <s v="-"/>
  </r>
  <r>
    <m/>
    <m/>
    <x v="16"/>
    <s v="-"/>
    <s v="-"/>
    <m/>
    <m/>
    <m/>
    <m/>
    <s v=""/>
    <m/>
    <s v=""/>
    <x v="0"/>
    <s v=""/>
    <m/>
    <s v="-"/>
    <s v="-"/>
    <x v="0"/>
    <s v="-"/>
  </r>
  <r>
    <m/>
    <m/>
    <x v="17"/>
    <s v="-"/>
    <s v="-"/>
    <m/>
    <m/>
    <m/>
    <m/>
    <s v=""/>
    <m/>
    <s v=""/>
    <x v="0"/>
    <s v=""/>
    <m/>
    <s v="-"/>
    <s v="-"/>
    <x v="0"/>
    <s v="-"/>
  </r>
  <r>
    <m/>
    <m/>
    <x v="17"/>
    <s v="-"/>
    <s v="-"/>
    <m/>
    <m/>
    <m/>
    <m/>
    <s v=""/>
    <m/>
    <s v=""/>
    <x v="0"/>
    <s v=""/>
    <m/>
    <s v="-"/>
    <s v="-"/>
    <x v="0"/>
    <s v="-"/>
  </r>
  <r>
    <m/>
    <m/>
    <x v="18"/>
    <s v="-"/>
    <s v="-"/>
    <m/>
    <m/>
    <m/>
    <m/>
    <s v=""/>
    <m/>
    <s v=""/>
    <x v="0"/>
    <s v=""/>
    <m/>
    <s v="-"/>
    <s v="-"/>
    <x v="0"/>
    <s v="-"/>
  </r>
  <r>
    <m/>
    <m/>
    <x v="19"/>
    <s v="-"/>
    <s v="-"/>
    <m/>
    <m/>
    <m/>
    <m/>
    <s v=""/>
    <m/>
    <s v=""/>
    <x v="0"/>
    <s v=""/>
    <m/>
    <s v="-"/>
    <s v="-"/>
    <x v="0"/>
    <s v="-"/>
  </r>
  <r>
    <m/>
    <m/>
    <x v="20"/>
    <m/>
    <s v="-"/>
    <m/>
    <m/>
    <m/>
    <m/>
    <s v=""/>
    <m/>
    <s v=""/>
    <x v="0"/>
    <s v=""/>
    <m/>
    <s v="-"/>
    <s v="-"/>
    <x v="0"/>
    <s v="-"/>
  </r>
  <r>
    <m/>
    <d v="2024-08-05T00:00:00"/>
    <x v="0"/>
    <s v="seg"/>
    <s v="-"/>
    <m/>
    <m/>
    <m/>
    <m/>
    <s v=""/>
    <m/>
    <s v=""/>
    <x v="0"/>
    <s v=""/>
    <m/>
    <s v="-"/>
    <s v="-"/>
    <x v="0"/>
    <s v="-"/>
  </r>
  <r>
    <m/>
    <d v="2024-08-05T00:00:00"/>
    <x v="0"/>
    <s v="seg"/>
    <s v="-"/>
    <m/>
    <m/>
    <m/>
    <m/>
    <s v=""/>
    <m/>
    <s v=""/>
    <x v="0"/>
    <s v=""/>
    <m/>
    <s v="-"/>
    <s v="-"/>
    <x v="0"/>
    <s v="-"/>
  </r>
  <r>
    <m/>
    <d v="2024-08-05T00:00:00"/>
    <x v="1"/>
    <s v="seg"/>
    <s v="-"/>
    <m/>
    <m/>
    <m/>
    <m/>
    <s v=""/>
    <m/>
    <s v=""/>
    <x v="0"/>
    <s v=""/>
    <m/>
    <s v="-"/>
    <s v="-"/>
    <x v="0"/>
    <s v="-"/>
  </r>
  <r>
    <m/>
    <d v="2024-08-05T00:00:00"/>
    <x v="2"/>
    <s v="seg"/>
    <s v="-"/>
    <m/>
    <m/>
    <m/>
    <m/>
    <s v=""/>
    <m/>
    <s v=""/>
    <x v="0"/>
    <s v=""/>
    <m/>
    <s v="-"/>
    <s v="-"/>
    <x v="0"/>
    <s v="-"/>
  </r>
  <r>
    <m/>
    <d v="2024-08-05T00:00:00"/>
    <x v="3"/>
    <s v="seg"/>
    <s v="-"/>
    <m/>
    <m/>
    <m/>
    <m/>
    <s v=""/>
    <m/>
    <s v=""/>
    <x v="0"/>
    <s v=""/>
    <m/>
    <s v="-"/>
    <s v="-"/>
    <x v="0"/>
    <s v="-"/>
  </r>
  <r>
    <m/>
    <d v="2024-08-05T00:00:00"/>
    <x v="3"/>
    <s v="seg"/>
    <s v="-"/>
    <m/>
    <m/>
    <m/>
    <m/>
    <s v=""/>
    <m/>
    <s v=""/>
    <x v="0"/>
    <s v=""/>
    <m/>
    <s v="-"/>
    <s v="-"/>
    <x v="0"/>
    <s v="-"/>
  </r>
  <r>
    <m/>
    <d v="2024-08-05T00:00:00"/>
    <x v="4"/>
    <s v="seg"/>
    <s v="-"/>
    <m/>
    <m/>
    <m/>
    <m/>
    <s v=""/>
    <m/>
    <s v=""/>
    <x v="0"/>
    <s v=""/>
    <m/>
    <s v="-"/>
    <s v="-"/>
    <x v="0"/>
    <s v="-"/>
  </r>
  <r>
    <m/>
    <d v="2024-08-05T00:00:00"/>
    <x v="5"/>
    <s v="seg"/>
    <s v="-"/>
    <m/>
    <m/>
    <m/>
    <m/>
    <s v=""/>
    <m/>
    <s v=""/>
    <x v="0"/>
    <s v=""/>
    <m/>
    <s v="-"/>
    <s v="-"/>
    <x v="0"/>
    <s v="-"/>
  </r>
  <r>
    <m/>
    <d v="2024-08-05T00:00:00"/>
    <x v="6"/>
    <s v="seg"/>
    <s v="S.VP-01445"/>
    <m/>
    <m/>
    <m/>
    <m/>
    <s v=""/>
    <n v="200"/>
    <s v="KM RODADO CAMINHÃO BASCULANTE - C/MOTORISTA"/>
    <x v="1"/>
    <n v="7.1296636419753074"/>
    <m/>
    <s v="-"/>
    <n v="0"/>
    <x v="0"/>
    <s v="-"/>
  </r>
  <r>
    <m/>
    <d v="2024-08-05T00:00:00"/>
    <x v="7"/>
    <s v="seg"/>
    <s v="-"/>
    <m/>
    <m/>
    <m/>
    <m/>
    <s v=""/>
    <m/>
    <s v=""/>
    <x v="0"/>
    <s v=""/>
    <m/>
    <s v="-"/>
    <s v="-"/>
    <x v="0"/>
    <s v="-"/>
  </r>
  <r>
    <m/>
    <d v="2024-08-05T00:00:00"/>
    <x v="7"/>
    <s v="seg"/>
    <s v="-"/>
    <m/>
    <m/>
    <m/>
    <m/>
    <s v=""/>
    <m/>
    <s v=""/>
    <x v="0"/>
    <s v=""/>
    <m/>
    <s v="-"/>
    <s v="-"/>
    <x v="0"/>
    <s v="-"/>
  </r>
  <r>
    <m/>
    <d v="2024-08-05T00:00:00"/>
    <x v="8"/>
    <s v="seg"/>
    <s v="-"/>
    <m/>
    <m/>
    <m/>
    <m/>
    <s v=""/>
    <m/>
    <s v=""/>
    <x v="0"/>
    <s v=""/>
    <m/>
    <s v="-"/>
    <s v="-"/>
    <x v="0"/>
    <s v="-"/>
  </r>
  <r>
    <m/>
    <d v="2024-08-05T00:00:00"/>
    <x v="9"/>
    <s v="seg"/>
    <s v="-"/>
    <m/>
    <m/>
    <m/>
    <m/>
    <s v=""/>
    <m/>
    <s v=""/>
    <x v="0"/>
    <s v=""/>
    <m/>
    <s v="-"/>
    <s v="-"/>
    <x v="0"/>
    <s v="-"/>
  </r>
  <r>
    <m/>
    <d v="2024-08-05T00:00:00"/>
    <x v="10"/>
    <s v="seg"/>
    <s v="-"/>
    <m/>
    <m/>
    <m/>
    <m/>
    <s v=""/>
    <m/>
    <s v=""/>
    <x v="0"/>
    <s v=""/>
    <m/>
    <s v="-"/>
    <s v="-"/>
    <x v="0"/>
    <s v="-"/>
  </r>
  <r>
    <m/>
    <d v="2024-08-05T00:00:00"/>
    <x v="10"/>
    <s v="seg"/>
    <s v="-"/>
    <m/>
    <m/>
    <m/>
    <m/>
    <s v=""/>
    <m/>
    <s v=""/>
    <x v="0"/>
    <s v=""/>
    <m/>
    <s v="-"/>
    <s v="-"/>
    <x v="0"/>
    <s v="-"/>
  </r>
  <r>
    <m/>
    <d v="2024-08-05T00:00:00"/>
    <x v="11"/>
    <s v="seg"/>
    <s v="-"/>
    <m/>
    <m/>
    <m/>
    <m/>
    <s v=""/>
    <m/>
    <s v=""/>
    <x v="0"/>
    <s v=""/>
    <m/>
    <s v="-"/>
    <s v="-"/>
    <x v="0"/>
    <s v="-"/>
  </r>
  <r>
    <m/>
    <d v="2024-08-05T00:00:00"/>
    <x v="11"/>
    <s v="seg"/>
    <s v="-"/>
    <m/>
    <m/>
    <m/>
    <m/>
    <s v=""/>
    <m/>
    <s v=""/>
    <x v="0"/>
    <s v=""/>
    <m/>
    <s v="-"/>
    <s v="-"/>
    <x v="0"/>
    <s v="-"/>
  </r>
  <r>
    <m/>
    <d v="2024-08-05T00:00:00"/>
    <x v="12"/>
    <s v="seg"/>
    <s v="-"/>
    <m/>
    <m/>
    <m/>
    <m/>
    <s v=""/>
    <m/>
    <s v=""/>
    <x v="0"/>
    <s v=""/>
    <m/>
    <s v="-"/>
    <s v="-"/>
    <x v="0"/>
    <s v="-"/>
  </r>
  <r>
    <m/>
    <d v="2024-08-05T00:00:00"/>
    <x v="12"/>
    <s v="seg"/>
    <s v="-"/>
    <m/>
    <m/>
    <m/>
    <m/>
    <s v=""/>
    <m/>
    <s v=""/>
    <x v="0"/>
    <s v=""/>
    <m/>
    <s v="-"/>
    <s v="-"/>
    <x v="0"/>
    <s v="-"/>
  </r>
  <r>
    <m/>
    <d v="2024-08-05T00:00:00"/>
    <x v="13"/>
    <s v="seg"/>
    <s v="-"/>
    <m/>
    <m/>
    <m/>
    <m/>
    <s v=""/>
    <m/>
    <s v=""/>
    <x v="0"/>
    <s v=""/>
    <m/>
    <s v="-"/>
    <s v="-"/>
    <x v="0"/>
    <s v="-"/>
  </r>
  <r>
    <m/>
    <d v="2024-08-05T00:00:00"/>
    <x v="13"/>
    <s v="seg"/>
    <s v="-"/>
    <m/>
    <m/>
    <m/>
    <m/>
    <s v=""/>
    <m/>
    <s v=""/>
    <x v="0"/>
    <s v=""/>
    <m/>
    <s v="-"/>
    <s v="-"/>
    <x v="0"/>
    <s v="-"/>
  </r>
  <r>
    <m/>
    <d v="2024-08-05T00:00:00"/>
    <x v="14"/>
    <s v="seg"/>
    <s v="-"/>
    <m/>
    <m/>
    <m/>
    <m/>
    <s v=""/>
    <m/>
    <s v=""/>
    <x v="0"/>
    <s v=""/>
    <m/>
    <s v="-"/>
    <s v="-"/>
    <x v="0"/>
    <s v="-"/>
  </r>
  <r>
    <m/>
    <d v="2024-08-05T00:00:00"/>
    <x v="14"/>
    <s v="seg"/>
    <s v="-"/>
    <m/>
    <m/>
    <m/>
    <m/>
    <s v=""/>
    <m/>
    <s v=""/>
    <x v="0"/>
    <s v=""/>
    <m/>
    <s v="-"/>
    <s v="-"/>
    <x v="0"/>
    <s v="-"/>
  </r>
  <r>
    <m/>
    <d v="2024-08-05T00:00:00"/>
    <x v="15"/>
    <m/>
    <m/>
    <m/>
    <m/>
    <m/>
    <m/>
    <s v=""/>
    <m/>
    <s v=""/>
    <x v="0"/>
    <s v=""/>
    <m/>
    <s v="-"/>
    <s v="-"/>
    <x v="2"/>
    <m/>
  </r>
  <r>
    <m/>
    <d v="2024-08-05T00:00:00"/>
    <x v="16"/>
    <s v="seg"/>
    <s v="-"/>
    <m/>
    <m/>
    <m/>
    <m/>
    <s v=""/>
    <m/>
    <s v=""/>
    <x v="0"/>
    <s v=""/>
    <m/>
    <s v="-"/>
    <s v="-"/>
    <x v="0"/>
    <s v="-"/>
  </r>
  <r>
    <m/>
    <d v="2024-08-05T00:00:00"/>
    <x v="16"/>
    <s v="seg"/>
    <s v="-"/>
    <m/>
    <m/>
    <m/>
    <m/>
    <s v=""/>
    <m/>
    <s v=""/>
    <x v="0"/>
    <s v=""/>
    <m/>
    <s v="-"/>
    <s v="-"/>
    <x v="0"/>
    <s v="-"/>
  </r>
  <r>
    <m/>
    <d v="2024-08-05T00:00:00"/>
    <x v="17"/>
    <s v="seg"/>
    <s v="-"/>
    <m/>
    <m/>
    <m/>
    <m/>
    <s v=""/>
    <m/>
    <s v=""/>
    <x v="0"/>
    <s v=""/>
    <m/>
    <s v="-"/>
    <s v="-"/>
    <x v="0"/>
    <s v="-"/>
  </r>
  <r>
    <m/>
    <d v="2024-08-05T00:00:00"/>
    <x v="17"/>
    <s v="seg"/>
    <s v="-"/>
    <m/>
    <m/>
    <m/>
    <m/>
    <s v=""/>
    <m/>
    <s v=""/>
    <x v="0"/>
    <s v=""/>
    <m/>
    <s v="-"/>
    <s v="-"/>
    <x v="0"/>
    <s v="-"/>
  </r>
  <r>
    <m/>
    <d v="2024-08-05T00:00:00"/>
    <x v="18"/>
    <s v="seg"/>
    <s v="-"/>
    <m/>
    <m/>
    <m/>
    <m/>
    <s v=""/>
    <m/>
    <s v=""/>
    <x v="0"/>
    <s v=""/>
    <m/>
    <s v="-"/>
    <s v="-"/>
    <x v="0"/>
    <s v="-"/>
  </r>
  <r>
    <m/>
    <d v="2024-08-05T00:00:00"/>
    <x v="18"/>
    <s v="seg"/>
    <s v="-"/>
    <m/>
    <m/>
    <m/>
    <m/>
    <s v=""/>
    <m/>
    <s v=""/>
    <x v="0"/>
    <s v=""/>
    <m/>
    <s v="-"/>
    <s v="-"/>
    <x v="0"/>
    <s v="-"/>
  </r>
  <r>
    <m/>
    <d v="2024-08-05T00:00:00"/>
    <x v="19"/>
    <s v="seg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d v="2024-08-06T00:00:00"/>
    <x v="0"/>
    <s v="ter"/>
    <s v="-"/>
    <m/>
    <m/>
    <m/>
    <m/>
    <s v=""/>
    <m/>
    <s v=""/>
    <x v="0"/>
    <s v=""/>
    <m/>
    <s v="-"/>
    <s v="-"/>
    <x v="0"/>
    <s v="-"/>
  </r>
  <r>
    <m/>
    <d v="2024-08-06T00:00:00"/>
    <x v="0"/>
    <s v="ter"/>
    <s v="-"/>
    <m/>
    <m/>
    <m/>
    <m/>
    <s v=""/>
    <m/>
    <s v=""/>
    <x v="0"/>
    <s v=""/>
    <m/>
    <s v="-"/>
    <s v="-"/>
    <x v="0"/>
    <s v="-"/>
  </r>
  <r>
    <m/>
    <d v="2024-08-06T00:00:00"/>
    <x v="1"/>
    <s v="ter"/>
    <s v="-"/>
    <m/>
    <m/>
    <m/>
    <m/>
    <s v=""/>
    <m/>
    <s v=""/>
    <x v="0"/>
    <s v=""/>
    <m/>
    <s v="-"/>
    <s v="-"/>
    <x v="0"/>
    <s v="-"/>
  </r>
  <r>
    <m/>
    <d v="2024-08-06T00:00:00"/>
    <x v="2"/>
    <s v="ter"/>
    <s v="-"/>
    <m/>
    <m/>
    <m/>
    <m/>
    <s v=""/>
    <m/>
    <s v=""/>
    <x v="0"/>
    <s v=""/>
    <m/>
    <s v="-"/>
    <s v="-"/>
    <x v="0"/>
    <s v="-"/>
  </r>
  <r>
    <m/>
    <d v="2024-08-06T00:00:00"/>
    <x v="3"/>
    <s v="ter"/>
    <s v="-"/>
    <m/>
    <m/>
    <m/>
    <m/>
    <s v=""/>
    <m/>
    <s v=""/>
    <x v="0"/>
    <s v=""/>
    <m/>
    <s v="-"/>
    <s v="-"/>
    <x v="0"/>
    <s v="-"/>
  </r>
  <r>
    <m/>
    <d v="2024-08-06T00:00:00"/>
    <x v="3"/>
    <s v="ter"/>
    <s v="-"/>
    <m/>
    <m/>
    <m/>
    <m/>
    <s v=""/>
    <m/>
    <s v=""/>
    <x v="0"/>
    <s v=""/>
    <m/>
    <s v="-"/>
    <s v="-"/>
    <x v="0"/>
    <s v="-"/>
  </r>
  <r>
    <m/>
    <d v="2024-08-06T00:00:00"/>
    <x v="4"/>
    <s v="ter"/>
    <s v="-"/>
    <m/>
    <m/>
    <m/>
    <m/>
    <s v=""/>
    <m/>
    <s v=""/>
    <x v="0"/>
    <s v=""/>
    <m/>
    <s v="-"/>
    <s v="-"/>
    <x v="0"/>
    <s v="-"/>
  </r>
  <r>
    <m/>
    <d v="2024-08-06T00:00:00"/>
    <x v="5"/>
    <s v="ter"/>
    <s v="-"/>
    <m/>
    <m/>
    <m/>
    <m/>
    <s v=""/>
    <m/>
    <s v=""/>
    <x v="0"/>
    <s v=""/>
    <m/>
    <s v="-"/>
    <s v="-"/>
    <x v="0"/>
    <s v="-"/>
  </r>
  <r>
    <m/>
    <d v="2024-08-06T00:00:00"/>
    <x v="6"/>
    <s v="ter"/>
    <s v="-"/>
    <m/>
    <m/>
    <m/>
    <m/>
    <s v=""/>
    <m/>
    <s v=""/>
    <x v="0"/>
    <s v=""/>
    <m/>
    <s v="-"/>
    <s v="-"/>
    <x v="0"/>
    <s v="-"/>
  </r>
  <r>
    <m/>
    <d v="2024-08-06T00:00:00"/>
    <x v="7"/>
    <s v="ter"/>
    <s v="-"/>
    <m/>
    <m/>
    <m/>
    <m/>
    <s v=""/>
    <m/>
    <s v=""/>
    <x v="0"/>
    <s v=""/>
    <m/>
    <s v="-"/>
    <s v="-"/>
    <x v="0"/>
    <s v="-"/>
  </r>
  <r>
    <m/>
    <d v="2024-08-06T00:00:00"/>
    <x v="7"/>
    <s v="ter"/>
    <s v="-"/>
    <m/>
    <m/>
    <m/>
    <m/>
    <s v=""/>
    <m/>
    <s v=""/>
    <x v="0"/>
    <s v=""/>
    <m/>
    <s v="-"/>
    <s v="-"/>
    <x v="0"/>
    <s v="-"/>
  </r>
  <r>
    <m/>
    <d v="2024-08-06T00:00:00"/>
    <x v="8"/>
    <s v="ter"/>
    <s v="-"/>
    <m/>
    <m/>
    <m/>
    <m/>
    <s v=""/>
    <m/>
    <s v=""/>
    <x v="0"/>
    <s v=""/>
    <m/>
    <s v="-"/>
    <s v="-"/>
    <x v="0"/>
    <s v="-"/>
  </r>
  <r>
    <m/>
    <d v="2024-08-06T00:00:00"/>
    <x v="9"/>
    <s v="ter"/>
    <s v="-"/>
    <m/>
    <m/>
    <m/>
    <m/>
    <s v=""/>
    <m/>
    <s v=""/>
    <x v="0"/>
    <s v=""/>
    <m/>
    <s v="-"/>
    <s v="-"/>
    <x v="0"/>
    <s v="-"/>
  </r>
  <r>
    <m/>
    <d v="2024-08-06T00:00:00"/>
    <x v="10"/>
    <s v="ter"/>
    <s v="-"/>
    <m/>
    <m/>
    <m/>
    <m/>
    <s v=""/>
    <m/>
    <s v=""/>
    <x v="0"/>
    <s v=""/>
    <m/>
    <s v="-"/>
    <s v="-"/>
    <x v="0"/>
    <s v="-"/>
  </r>
  <r>
    <m/>
    <d v="2024-08-06T00:00:00"/>
    <x v="10"/>
    <s v="ter"/>
    <s v="-"/>
    <m/>
    <m/>
    <m/>
    <m/>
    <s v=""/>
    <m/>
    <s v=""/>
    <x v="0"/>
    <s v=""/>
    <m/>
    <s v="-"/>
    <s v="-"/>
    <x v="0"/>
    <s v="-"/>
  </r>
  <r>
    <m/>
    <d v="2024-08-06T00:00:00"/>
    <x v="11"/>
    <s v="ter"/>
    <s v="-"/>
    <m/>
    <m/>
    <m/>
    <m/>
    <s v=""/>
    <m/>
    <s v=""/>
    <x v="0"/>
    <s v=""/>
    <m/>
    <s v="-"/>
    <s v="-"/>
    <x v="0"/>
    <s v="-"/>
  </r>
  <r>
    <m/>
    <d v="2024-08-06T00:00:00"/>
    <x v="11"/>
    <s v="ter"/>
    <s v="-"/>
    <m/>
    <m/>
    <m/>
    <m/>
    <s v=""/>
    <m/>
    <s v=""/>
    <x v="0"/>
    <s v=""/>
    <m/>
    <s v="-"/>
    <s v="-"/>
    <x v="0"/>
    <s v="-"/>
  </r>
  <r>
    <m/>
    <d v="2024-08-06T00:00:00"/>
    <x v="12"/>
    <s v="ter"/>
    <s v="-"/>
    <m/>
    <m/>
    <m/>
    <m/>
    <s v=""/>
    <m/>
    <s v=""/>
    <x v="0"/>
    <s v=""/>
    <m/>
    <s v="-"/>
    <s v="-"/>
    <x v="0"/>
    <s v="-"/>
  </r>
  <r>
    <m/>
    <d v="2024-08-06T00:00:00"/>
    <x v="12"/>
    <s v="ter"/>
    <s v="-"/>
    <m/>
    <m/>
    <m/>
    <m/>
    <s v=""/>
    <m/>
    <s v=""/>
    <x v="0"/>
    <s v=""/>
    <m/>
    <s v="-"/>
    <s v="-"/>
    <x v="0"/>
    <s v="-"/>
  </r>
  <r>
    <m/>
    <d v="2024-08-06T00:00:00"/>
    <x v="13"/>
    <s v="ter"/>
    <s v="-"/>
    <m/>
    <m/>
    <m/>
    <m/>
    <s v=""/>
    <m/>
    <s v=""/>
    <x v="0"/>
    <s v=""/>
    <m/>
    <s v="-"/>
    <s v="-"/>
    <x v="0"/>
    <s v="-"/>
  </r>
  <r>
    <m/>
    <d v="2024-08-06T00:00:00"/>
    <x v="13"/>
    <s v="ter"/>
    <s v="-"/>
    <m/>
    <m/>
    <m/>
    <m/>
    <s v=""/>
    <m/>
    <s v=""/>
    <x v="0"/>
    <s v=""/>
    <m/>
    <s v="-"/>
    <s v="-"/>
    <x v="0"/>
    <s v="-"/>
  </r>
  <r>
    <m/>
    <d v="2024-08-06T00:00:00"/>
    <x v="14"/>
    <s v="ter"/>
    <s v="-"/>
    <m/>
    <m/>
    <m/>
    <m/>
    <s v=""/>
    <m/>
    <s v=""/>
    <x v="0"/>
    <s v=""/>
    <m/>
    <s v="-"/>
    <s v="-"/>
    <x v="0"/>
    <s v="-"/>
  </r>
  <r>
    <m/>
    <d v="2024-08-06T00:00:00"/>
    <x v="14"/>
    <s v="ter"/>
    <s v="-"/>
    <m/>
    <m/>
    <m/>
    <m/>
    <s v=""/>
    <m/>
    <s v=""/>
    <x v="0"/>
    <s v=""/>
    <m/>
    <s v="-"/>
    <s v="-"/>
    <x v="0"/>
    <s v="-"/>
  </r>
  <r>
    <m/>
    <d v="2024-08-06T00:00:00"/>
    <x v="15"/>
    <s v="ter"/>
    <s v="-"/>
    <m/>
    <m/>
    <m/>
    <m/>
    <s v=""/>
    <m/>
    <s v=""/>
    <x v="0"/>
    <s v=""/>
    <m/>
    <s v="-"/>
    <s v="-"/>
    <x v="0"/>
    <s v="-"/>
  </r>
  <r>
    <m/>
    <d v="2024-08-06T00:00:00"/>
    <x v="16"/>
    <s v="ter"/>
    <s v="-"/>
    <m/>
    <m/>
    <m/>
    <m/>
    <s v=""/>
    <m/>
    <s v=""/>
    <x v="0"/>
    <s v=""/>
    <m/>
    <s v="-"/>
    <s v="-"/>
    <x v="0"/>
    <s v="-"/>
  </r>
  <r>
    <m/>
    <d v="2024-08-06T00:00:00"/>
    <x v="16"/>
    <s v="ter"/>
    <s v="-"/>
    <m/>
    <m/>
    <m/>
    <m/>
    <s v=""/>
    <m/>
    <s v=""/>
    <x v="0"/>
    <s v=""/>
    <m/>
    <s v="-"/>
    <s v="-"/>
    <x v="0"/>
    <s v="-"/>
  </r>
  <r>
    <m/>
    <d v="2024-08-06T00:00:00"/>
    <x v="17"/>
    <s v="ter"/>
    <s v="-"/>
    <m/>
    <m/>
    <m/>
    <m/>
    <s v=""/>
    <m/>
    <s v=""/>
    <x v="0"/>
    <s v=""/>
    <m/>
    <s v="-"/>
    <s v="-"/>
    <x v="0"/>
    <s v="-"/>
  </r>
  <r>
    <m/>
    <d v="2024-08-06T00:00:00"/>
    <x v="17"/>
    <s v="ter"/>
    <s v="-"/>
    <m/>
    <m/>
    <m/>
    <m/>
    <s v=""/>
    <m/>
    <s v=""/>
    <x v="0"/>
    <s v=""/>
    <m/>
    <s v="-"/>
    <s v="-"/>
    <x v="0"/>
    <s v="-"/>
  </r>
  <r>
    <m/>
    <d v="2024-08-06T00:00:00"/>
    <x v="18"/>
    <s v="ter"/>
    <s v="-"/>
    <m/>
    <m/>
    <m/>
    <m/>
    <s v=""/>
    <m/>
    <s v=""/>
    <x v="0"/>
    <s v=""/>
    <m/>
    <s v="-"/>
    <s v="-"/>
    <x v="0"/>
    <s v="-"/>
  </r>
  <r>
    <m/>
    <d v="2024-08-06T00:00:00"/>
    <x v="19"/>
    <s v="ter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d v="2024-08-07T00:00:00"/>
    <x v="0"/>
    <s v="qua"/>
    <s v="-"/>
    <m/>
    <m/>
    <m/>
    <m/>
    <s v=""/>
    <m/>
    <s v=""/>
    <x v="0"/>
    <s v=""/>
    <m/>
    <s v="-"/>
    <s v="-"/>
    <x v="0"/>
    <s v="-"/>
  </r>
  <r>
    <m/>
    <d v="2024-08-07T00:00:00"/>
    <x v="0"/>
    <s v="qua"/>
    <s v="-"/>
    <m/>
    <m/>
    <m/>
    <m/>
    <s v=""/>
    <m/>
    <s v=""/>
    <x v="0"/>
    <s v=""/>
    <m/>
    <s v="-"/>
    <s v="-"/>
    <x v="0"/>
    <s v="-"/>
  </r>
  <r>
    <m/>
    <d v="2024-08-07T00:00:00"/>
    <x v="1"/>
    <s v="qua"/>
    <s v="-"/>
    <m/>
    <m/>
    <m/>
    <m/>
    <s v=""/>
    <m/>
    <s v=""/>
    <x v="0"/>
    <s v=""/>
    <m/>
    <s v="-"/>
    <s v="-"/>
    <x v="0"/>
    <s v="-"/>
  </r>
  <r>
    <m/>
    <d v="2024-08-07T00:00:00"/>
    <x v="2"/>
    <s v="qua"/>
    <s v="-"/>
    <m/>
    <m/>
    <m/>
    <m/>
    <s v=""/>
    <m/>
    <s v=""/>
    <x v="0"/>
    <s v=""/>
    <m/>
    <s v="-"/>
    <s v="-"/>
    <x v="0"/>
    <s v="-"/>
  </r>
  <r>
    <m/>
    <d v="2024-08-07T00:00:00"/>
    <x v="2"/>
    <s v="qua"/>
    <s v="-"/>
    <m/>
    <m/>
    <m/>
    <m/>
    <s v=""/>
    <m/>
    <s v=""/>
    <x v="0"/>
    <s v=""/>
    <m/>
    <s v="-"/>
    <s v="-"/>
    <x v="0"/>
    <s v="-"/>
  </r>
  <r>
    <m/>
    <d v="2024-08-07T00:00:00"/>
    <x v="3"/>
    <s v="qua"/>
    <s v="-"/>
    <m/>
    <m/>
    <m/>
    <m/>
    <s v=""/>
    <m/>
    <s v=""/>
    <x v="0"/>
    <s v=""/>
    <m/>
    <s v="-"/>
    <s v="-"/>
    <x v="0"/>
    <s v="-"/>
  </r>
  <r>
    <m/>
    <d v="2024-08-07T00:00:00"/>
    <x v="3"/>
    <s v="qua"/>
    <s v="-"/>
    <m/>
    <m/>
    <m/>
    <m/>
    <s v=""/>
    <m/>
    <s v=""/>
    <x v="0"/>
    <s v=""/>
    <m/>
    <s v="-"/>
    <s v="-"/>
    <x v="0"/>
    <s v="-"/>
  </r>
  <r>
    <m/>
    <d v="2024-08-07T00:00:00"/>
    <x v="4"/>
    <s v="qua"/>
    <s v="-"/>
    <m/>
    <m/>
    <m/>
    <m/>
    <s v=""/>
    <m/>
    <s v=""/>
    <x v="0"/>
    <s v=""/>
    <m/>
    <s v="-"/>
    <s v="-"/>
    <x v="0"/>
    <s v="-"/>
  </r>
  <r>
    <m/>
    <d v="2024-08-07T00:00:00"/>
    <x v="5"/>
    <s v="qua"/>
    <s v="-"/>
    <m/>
    <m/>
    <m/>
    <m/>
    <s v=""/>
    <m/>
    <s v=""/>
    <x v="0"/>
    <s v=""/>
    <m/>
    <s v="-"/>
    <s v="-"/>
    <x v="0"/>
    <s v="-"/>
  </r>
  <r>
    <m/>
    <d v="2024-08-07T00:00:00"/>
    <x v="6"/>
    <s v="qua"/>
    <s v="-"/>
    <m/>
    <m/>
    <m/>
    <m/>
    <s v=""/>
    <m/>
    <s v=""/>
    <x v="0"/>
    <s v=""/>
    <m/>
    <s v="-"/>
    <s v="-"/>
    <x v="0"/>
    <s v="-"/>
  </r>
  <r>
    <m/>
    <d v="2024-08-07T00:00:00"/>
    <x v="7"/>
    <s v="qua"/>
    <s v="-"/>
    <m/>
    <m/>
    <m/>
    <m/>
    <s v=""/>
    <m/>
    <s v=""/>
    <x v="0"/>
    <s v=""/>
    <m/>
    <s v="-"/>
    <s v="-"/>
    <x v="0"/>
    <s v="-"/>
  </r>
  <r>
    <m/>
    <d v="2024-08-07T00:00:00"/>
    <x v="7"/>
    <s v="qua"/>
    <s v="-"/>
    <m/>
    <m/>
    <m/>
    <m/>
    <s v=""/>
    <m/>
    <s v=""/>
    <x v="0"/>
    <s v=""/>
    <m/>
    <s v="-"/>
    <s v="-"/>
    <x v="0"/>
    <s v="-"/>
  </r>
  <r>
    <m/>
    <d v="2024-08-07T00:00:00"/>
    <x v="8"/>
    <s v="qua"/>
    <s v="-"/>
    <m/>
    <m/>
    <m/>
    <m/>
    <s v=""/>
    <m/>
    <s v=""/>
    <x v="0"/>
    <s v=""/>
    <m/>
    <s v="-"/>
    <s v="-"/>
    <x v="0"/>
    <s v="-"/>
  </r>
  <r>
    <m/>
    <d v="2024-08-07T00:00:00"/>
    <x v="9"/>
    <s v="qua"/>
    <s v="-"/>
    <m/>
    <m/>
    <m/>
    <m/>
    <s v=""/>
    <m/>
    <s v=""/>
    <x v="0"/>
    <s v=""/>
    <m/>
    <s v="-"/>
    <s v="-"/>
    <x v="0"/>
    <s v="-"/>
  </r>
  <r>
    <m/>
    <d v="2024-08-07T00:00:00"/>
    <x v="10"/>
    <s v="qua"/>
    <s v="-"/>
    <m/>
    <m/>
    <m/>
    <m/>
    <s v=""/>
    <m/>
    <s v=""/>
    <x v="0"/>
    <s v=""/>
    <m/>
    <s v="-"/>
    <s v="-"/>
    <x v="0"/>
    <s v="-"/>
  </r>
  <r>
    <m/>
    <d v="2024-08-07T00:00:00"/>
    <x v="10"/>
    <s v="qua"/>
    <s v="-"/>
    <m/>
    <m/>
    <m/>
    <m/>
    <s v=""/>
    <m/>
    <s v=""/>
    <x v="0"/>
    <s v=""/>
    <m/>
    <s v="-"/>
    <s v="-"/>
    <x v="0"/>
    <s v="-"/>
  </r>
  <r>
    <m/>
    <d v="2024-08-07T00:00:00"/>
    <x v="11"/>
    <s v="qua"/>
    <s v="-"/>
    <m/>
    <m/>
    <m/>
    <m/>
    <s v=""/>
    <m/>
    <s v=""/>
    <x v="0"/>
    <s v=""/>
    <m/>
    <s v="-"/>
    <s v="-"/>
    <x v="0"/>
    <s v="-"/>
  </r>
  <r>
    <m/>
    <d v="2024-08-07T00:00:00"/>
    <x v="11"/>
    <s v="qua"/>
    <s v="-"/>
    <m/>
    <m/>
    <m/>
    <m/>
    <s v=""/>
    <m/>
    <s v=""/>
    <x v="0"/>
    <s v=""/>
    <m/>
    <s v="-"/>
    <s v="-"/>
    <x v="0"/>
    <s v="-"/>
  </r>
  <r>
    <m/>
    <d v="2024-08-07T00:00:00"/>
    <x v="12"/>
    <s v="qua"/>
    <s v="-"/>
    <m/>
    <m/>
    <m/>
    <m/>
    <s v=""/>
    <m/>
    <s v=""/>
    <x v="0"/>
    <s v=""/>
    <m/>
    <s v="-"/>
    <s v="-"/>
    <x v="0"/>
    <s v="-"/>
  </r>
  <r>
    <m/>
    <d v="2024-08-07T00:00:00"/>
    <x v="12"/>
    <s v="qua"/>
    <s v="-"/>
    <m/>
    <m/>
    <m/>
    <m/>
    <s v=""/>
    <m/>
    <s v=""/>
    <x v="0"/>
    <s v=""/>
    <m/>
    <s v="-"/>
    <s v="-"/>
    <x v="0"/>
    <s v="-"/>
  </r>
  <r>
    <m/>
    <d v="2024-08-07T00:00:00"/>
    <x v="13"/>
    <s v="qua"/>
    <s v="-"/>
    <m/>
    <m/>
    <m/>
    <m/>
    <s v=""/>
    <m/>
    <s v=""/>
    <x v="0"/>
    <s v=""/>
    <m/>
    <s v="-"/>
    <s v="-"/>
    <x v="0"/>
    <s v="-"/>
  </r>
  <r>
    <m/>
    <d v="2024-08-07T00:00:00"/>
    <x v="13"/>
    <s v="qua"/>
    <s v="-"/>
    <m/>
    <m/>
    <m/>
    <m/>
    <s v=""/>
    <m/>
    <s v=""/>
    <x v="0"/>
    <s v=""/>
    <m/>
    <s v="-"/>
    <s v="-"/>
    <x v="0"/>
    <s v="-"/>
  </r>
  <r>
    <m/>
    <d v="2024-08-07T00:00:00"/>
    <x v="14"/>
    <s v="qua"/>
    <s v="-"/>
    <m/>
    <m/>
    <m/>
    <m/>
    <s v=""/>
    <m/>
    <s v=""/>
    <x v="0"/>
    <s v=""/>
    <m/>
    <s v="-"/>
    <s v="-"/>
    <x v="0"/>
    <s v="-"/>
  </r>
  <r>
    <m/>
    <d v="2024-08-07T00:00:00"/>
    <x v="14"/>
    <s v="qua"/>
    <s v="-"/>
    <m/>
    <m/>
    <m/>
    <m/>
    <s v=""/>
    <m/>
    <s v=""/>
    <x v="0"/>
    <s v=""/>
    <m/>
    <s v="-"/>
    <s v="-"/>
    <x v="0"/>
    <s v="-"/>
  </r>
  <r>
    <m/>
    <d v="2024-08-07T00:00:00"/>
    <x v="15"/>
    <s v="qua"/>
    <s v="-"/>
    <m/>
    <m/>
    <m/>
    <m/>
    <s v=""/>
    <m/>
    <s v=""/>
    <x v="0"/>
    <s v=""/>
    <m/>
    <s v="-"/>
    <s v="-"/>
    <x v="0"/>
    <s v="-"/>
  </r>
  <r>
    <m/>
    <d v="2024-08-07T00:00:00"/>
    <x v="16"/>
    <s v="qua"/>
    <s v="-"/>
    <m/>
    <m/>
    <m/>
    <m/>
    <s v=""/>
    <m/>
    <s v=""/>
    <x v="0"/>
    <s v=""/>
    <m/>
    <s v="-"/>
    <s v="-"/>
    <x v="0"/>
    <s v="-"/>
  </r>
  <r>
    <m/>
    <d v="2024-08-07T00:00:00"/>
    <x v="16"/>
    <s v="qua"/>
    <s v="-"/>
    <m/>
    <m/>
    <m/>
    <m/>
    <s v=""/>
    <m/>
    <s v=""/>
    <x v="0"/>
    <s v=""/>
    <m/>
    <s v="-"/>
    <s v="-"/>
    <x v="0"/>
    <s v="-"/>
  </r>
  <r>
    <m/>
    <d v="2024-08-07T00:00:00"/>
    <x v="17"/>
    <s v="qua"/>
    <s v="-"/>
    <m/>
    <m/>
    <m/>
    <m/>
    <s v=""/>
    <m/>
    <s v=""/>
    <x v="0"/>
    <s v=""/>
    <m/>
    <s v="-"/>
    <s v="-"/>
    <x v="0"/>
    <s v="-"/>
  </r>
  <r>
    <m/>
    <d v="2024-08-07T00:00:00"/>
    <x v="17"/>
    <s v="qua"/>
    <s v="-"/>
    <m/>
    <m/>
    <m/>
    <m/>
    <s v=""/>
    <m/>
    <s v=""/>
    <x v="0"/>
    <s v=""/>
    <m/>
    <s v="-"/>
    <s v="-"/>
    <x v="0"/>
    <s v="-"/>
  </r>
  <r>
    <m/>
    <d v="2024-08-07T00:00:00"/>
    <x v="18"/>
    <s v="qua"/>
    <s v="-"/>
    <m/>
    <m/>
    <m/>
    <m/>
    <s v=""/>
    <m/>
    <s v=""/>
    <x v="0"/>
    <s v=""/>
    <m/>
    <s v="-"/>
    <s v="-"/>
    <x v="0"/>
    <s v="-"/>
  </r>
  <r>
    <m/>
    <d v="2024-08-07T00:00:00"/>
    <x v="19"/>
    <s v="qua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d v="2024-08-08T00:00:00"/>
    <x v="0"/>
    <s v="qui"/>
    <s v="-"/>
    <m/>
    <m/>
    <m/>
    <m/>
    <s v=""/>
    <m/>
    <s v=""/>
    <x v="0"/>
    <s v=""/>
    <m/>
    <s v="-"/>
    <s v="-"/>
    <x v="0"/>
    <s v="-"/>
  </r>
  <r>
    <m/>
    <d v="2024-08-08T00:00:00"/>
    <x v="0"/>
    <s v="qui"/>
    <s v="-"/>
    <m/>
    <m/>
    <m/>
    <m/>
    <s v=""/>
    <m/>
    <s v=""/>
    <x v="0"/>
    <s v=""/>
    <m/>
    <s v="-"/>
    <s v="-"/>
    <x v="0"/>
    <s v="-"/>
  </r>
  <r>
    <m/>
    <d v="2024-08-08T00:00:00"/>
    <x v="1"/>
    <s v="qui"/>
    <s v="-"/>
    <m/>
    <m/>
    <m/>
    <m/>
    <s v=""/>
    <m/>
    <s v=""/>
    <x v="0"/>
    <s v=""/>
    <m/>
    <s v="-"/>
    <s v="-"/>
    <x v="0"/>
    <s v="-"/>
  </r>
  <r>
    <m/>
    <d v="2024-08-08T00:00:00"/>
    <x v="2"/>
    <s v="qui"/>
    <s v="-"/>
    <m/>
    <m/>
    <m/>
    <m/>
    <s v=""/>
    <m/>
    <s v=""/>
    <x v="0"/>
    <s v=""/>
    <m/>
    <s v="-"/>
    <s v="-"/>
    <x v="0"/>
    <s v="-"/>
  </r>
  <r>
    <m/>
    <d v="2024-08-08T00:00:00"/>
    <x v="2"/>
    <s v="qui"/>
    <s v="-"/>
    <m/>
    <m/>
    <m/>
    <m/>
    <s v=""/>
    <m/>
    <s v=""/>
    <x v="0"/>
    <s v=""/>
    <m/>
    <s v="-"/>
    <s v="-"/>
    <x v="0"/>
    <s v="-"/>
  </r>
  <r>
    <m/>
    <d v="2024-08-08T00:00:00"/>
    <x v="3"/>
    <s v="qui"/>
    <s v="-"/>
    <m/>
    <m/>
    <m/>
    <m/>
    <s v=""/>
    <m/>
    <s v=""/>
    <x v="0"/>
    <s v=""/>
    <m/>
    <s v="-"/>
    <s v="-"/>
    <x v="0"/>
    <s v="-"/>
  </r>
  <r>
    <m/>
    <d v="2024-08-08T00:00:00"/>
    <x v="3"/>
    <s v="qui"/>
    <s v="-"/>
    <m/>
    <m/>
    <m/>
    <m/>
    <s v=""/>
    <m/>
    <s v=""/>
    <x v="0"/>
    <s v=""/>
    <m/>
    <s v="-"/>
    <s v="-"/>
    <x v="0"/>
    <s v="-"/>
  </r>
  <r>
    <m/>
    <d v="2024-08-08T00:00:00"/>
    <x v="4"/>
    <s v="qui"/>
    <s v="-"/>
    <m/>
    <m/>
    <m/>
    <m/>
    <s v=""/>
    <m/>
    <s v=""/>
    <x v="0"/>
    <s v=""/>
    <m/>
    <s v="-"/>
    <s v="-"/>
    <x v="0"/>
    <s v="-"/>
  </r>
  <r>
    <m/>
    <d v="2024-08-08T00:00:00"/>
    <x v="5"/>
    <s v="qui"/>
    <s v="-"/>
    <m/>
    <m/>
    <m/>
    <m/>
    <s v=""/>
    <m/>
    <s v=""/>
    <x v="0"/>
    <s v=""/>
    <m/>
    <s v="-"/>
    <s v="-"/>
    <x v="0"/>
    <s v="-"/>
  </r>
  <r>
    <m/>
    <d v="2024-08-08T00:00:00"/>
    <x v="6"/>
    <s v="qui"/>
    <s v="-"/>
    <m/>
    <m/>
    <m/>
    <m/>
    <s v=""/>
    <m/>
    <s v=""/>
    <x v="0"/>
    <s v=""/>
    <m/>
    <s v="-"/>
    <s v="-"/>
    <x v="0"/>
    <s v="-"/>
  </r>
  <r>
    <m/>
    <d v="2024-08-08T00:00:00"/>
    <x v="7"/>
    <s v="qui"/>
    <s v="-"/>
    <m/>
    <m/>
    <m/>
    <m/>
    <s v=""/>
    <m/>
    <s v=""/>
    <x v="0"/>
    <s v=""/>
    <m/>
    <s v="-"/>
    <s v="-"/>
    <x v="0"/>
    <s v="-"/>
  </r>
  <r>
    <m/>
    <d v="2024-08-08T00:00:00"/>
    <x v="7"/>
    <s v="qui"/>
    <s v="-"/>
    <m/>
    <m/>
    <m/>
    <m/>
    <s v=""/>
    <m/>
    <s v=""/>
    <x v="0"/>
    <s v=""/>
    <m/>
    <s v="-"/>
    <s v="-"/>
    <x v="0"/>
    <s v="-"/>
  </r>
  <r>
    <m/>
    <d v="2024-08-08T00:00:00"/>
    <x v="8"/>
    <s v="qui"/>
    <s v="-"/>
    <m/>
    <m/>
    <m/>
    <m/>
    <s v=""/>
    <m/>
    <s v=""/>
    <x v="0"/>
    <s v=""/>
    <m/>
    <s v="-"/>
    <s v="-"/>
    <x v="0"/>
    <s v="-"/>
  </r>
  <r>
    <m/>
    <d v="2024-08-08T00:00:00"/>
    <x v="9"/>
    <s v="qui"/>
    <s v="-"/>
    <m/>
    <m/>
    <m/>
    <m/>
    <s v=""/>
    <m/>
    <s v=""/>
    <x v="0"/>
    <s v=""/>
    <m/>
    <s v="-"/>
    <s v="-"/>
    <x v="0"/>
    <s v="-"/>
  </r>
  <r>
    <m/>
    <d v="2024-08-08T00:00:00"/>
    <x v="10"/>
    <s v="qui"/>
    <s v="-"/>
    <m/>
    <m/>
    <m/>
    <m/>
    <s v=""/>
    <m/>
    <s v=""/>
    <x v="0"/>
    <s v=""/>
    <m/>
    <s v="-"/>
    <s v="-"/>
    <x v="0"/>
    <s v="-"/>
  </r>
  <r>
    <m/>
    <d v="2024-08-08T00:00:00"/>
    <x v="10"/>
    <s v="qui"/>
    <s v="-"/>
    <m/>
    <m/>
    <m/>
    <m/>
    <s v=""/>
    <m/>
    <s v=""/>
    <x v="0"/>
    <s v=""/>
    <m/>
    <s v="-"/>
    <s v="-"/>
    <x v="0"/>
    <s v="-"/>
  </r>
  <r>
    <m/>
    <d v="2024-08-08T00:00:00"/>
    <x v="11"/>
    <s v="qui"/>
    <s v="-"/>
    <m/>
    <m/>
    <m/>
    <m/>
    <s v=""/>
    <m/>
    <s v=""/>
    <x v="0"/>
    <s v=""/>
    <m/>
    <s v="-"/>
    <s v="-"/>
    <x v="0"/>
    <s v="-"/>
  </r>
  <r>
    <m/>
    <d v="2024-08-08T00:00:00"/>
    <x v="11"/>
    <s v="qui"/>
    <s v="-"/>
    <m/>
    <m/>
    <m/>
    <m/>
    <s v=""/>
    <m/>
    <s v=""/>
    <x v="0"/>
    <s v=""/>
    <m/>
    <s v="-"/>
    <s v="-"/>
    <x v="0"/>
    <s v="-"/>
  </r>
  <r>
    <m/>
    <d v="2024-08-08T00:00:00"/>
    <x v="12"/>
    <s v="qui"/>
    <s v="-"/>
    <m/>
    <m/>
    <m/>
    <m/>
    <s v=""/>
    <m/>
    <s v=""/>
    <x v="0"/>
    <s v=""/>
    <m/>
    <s v="-"/>
    <s v="-"/>
    <x v="0"/>
    <s v="-"/>
  </r>
  <r>
    <m/>
    <d v="2024-08-08T00:00:00"/>
    <x v="12"/>
    <s v="qui"/>
    <s v="-"/>
    <m/>
    <m/>
    <m/>
    <m/>
    <s v=""/>
    <m/>
    <s v=""/>
    <x v="0"/>
    <s v=""/>
    <m/>
    <s v="-"/>
    <s v="-"/>
    <x v="0"/>
    <s v="-"/>
  </r>
  <r>
    <m/>
    <d v="2024-08-08T00:00:00"/>
    <x v="13"/>
    <s v="qui"/>
    <s v="-"/>
    <m/>
    <m/>
    <m/>
    <m/>
    <s v=""/>
    <m/>
    <s v=""/>
    <x v="0"/>
    <s v=""/>
    <m/>
    <s v="-"/>
    <s v="-"/>
    <x v="0"/>
    <s v="-"/>
  </r>
  <r>
    <m/>
    <d v="2024-08-08T00:00:00"/>
    <x v="13"/>
    <s v="qui"/>
    <s v="-"/>
    <m/>
    <m/>
    <m/>
    <m/>
    <s v=""/>
    <m/>
    <s v=""/>
    <x v="0"/>
    <s v=""/>
    <m/>
    <s v="-"/>
    <s v="-"/>
    <x v="0"/>
    <s v="-"/>
  </r>
  <r>
    <m/>
    <d v="2024-08-08T00:00:00"/>
    <x v="14"/>
    <s v="qui"/>
    <s v="-"/>
    <m/>
    <m/>
    <m/>
    <m/>
    <s v=""/>
    <m/>
    <s v=""/>
    <x v="0"/>
    <s v=""/>
    <m/>
    <s v="-"/>
    <s v="-"/>
    <x v="0"/>
    <s v="-"/>
  </r>
  <r>
    <m/>
    <d v="2024-08-08T00:00:00"/>
    <x v="14"/>
    <s v="qui"/>
    <s v="-"/>
    <m/>
    <m/>
    <m/>
    <m/>
    <s v=""/>
    <m/>
    <s v=""/>
    <x v="0"/>
    <s v=""/>
    <m/>
    <s v="-"/>
    <s v="-"/>
    <x v="0"/>
    <s v="-"/>
  </r>
  <r>
    <m/>
    <d v="2024-08-08T00:00:00"/>
    <x v="15"/>
    <s v="qui"/>
    <s v="-"/>
    <m/>
    <m/>
    <m/>
    <m/>
    <s v=""/>
    <m/>
    <s v=""/>
    <x v="0"/>
    <s v=""/>
    <m/>
    <s v="-"/>
    <s v="-"/>
    <x v="0"/>
    <s v="-"/>
  </r>
  <r>
    <m/>
    <d v="2024-08-08T00:00:00"/>
    <x v="16"/>
    <s v="qui"/>
    <s v="-"/>
    <m/>
    <m/>
    <m/>
    <m/>
    <s v=""/>
    <m/>
    <s v=""/>
    <x v="0"/>
    <s v=""/>
    <m/>
    <s v="-"/>
    <s v="-"/>
    <x v="0"/>
    <s v="-"/>
  </r>
  <r>
    <m/>
    <d v="2024-08-08T00:00:00"/>
    <x v="16"/>
    <s v="qui"/>
    <s v="-"/>
    <m/>
    <m/>
    <m/>
    <m/>
    <s v=""/>
    <m/>
    <s v=""/>
    <x v="0"/>
    <s v=""/>
    <m/>
    <s v="-"/>
    <s v="-"/>
    <x v="0"/>
    <s v="-"/>
  </r>
  <r>
    <m/>
    <d v="2024-08-08T00:00:00"/>
    <x v="17"/>
    <s v="qui"/>
    <s v="-"/>
    <m/>
    <m/>
    <m/>
    <m/>
    <s v=""/>
    <m/>
    <s v=""/>
    <x v="0"/>
    <s v=""/>
    <m/>
    <s v="-"/>
    <s v="-"/>
    <x v="0"/>
    <s v="-"/>
  </r>
  <r>
    <m/>
    <d v="2024-08-08T00:00:00"/>
    <x v="17"/>
    <s v="qui"/>
    <s v="-"/>
    <m/>
    <m/>
    <m/>
    <m/>
    <s v=""/>
    <m/>
    <s v=""/>
    <x v="0"/>
    <s v=""/>
    <m/>
    <s v="-"/>
    <s v="-"/>
    <x v="0"/>
    <s v="-"/>
  </r>
  <r>
    <m/>
    <d v="2024-08-08T00:00:00"/>
    <x v="18"/>
    <s v="qui"/>
    <s v="-"/>
    <m/>
    <m/>
    <m/>
    <m/>
    <s v=""/>
    <m/>
    <s v=""/>
    <x v="0"/>
    <s v=""/>
    <m/>
    <s v="-"/>
    <s v="-"/>
    <x v="0"/>
    <s v="-"/>
  </r>
  <r>
    <m/>
    <d v="2024-08-08T00:00:00"/>
    <x v="19"/>
    <s v="qui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d v="2024-08-09T00:00:00"/>
    <x v="0"/>
    <s v="sex"/>
    <s v="-"/>
    <m/>
    <m/>
    <m/>
    <m/>
    <s v=""/>
    <m/>
    <s v=""/>
    <x v="0"/>
    <s v=""/>
    <m/>
    <s v="-"/>
    <s v="-"/>
    <x v="0"/>
    <s v="-"/>
  </r>
  <r>
    <m/>
    <d v="2024-08-09T00:00:00"/>
    <x v="0"/>
    <s v="sex"/>
    <s v="-"/>
    <m/>
    <m/>
    <m/>
    <m/>
    <s v=""/>
    <m/>
    <s v=""/>
    <x v="0"/>
    <s v=""/>
    <m/>
    <s v="-"/>
    <s v="-"/>
    <x v="0"/>
    <s v="-"/>
  </r>
  <r>
    <m/>
    <d v="2024-08-09T00:00:00"/>
    <x v="1"/>
    <s v="sex"/>
    <s v="-"/>
    <m/>
    <m/>
    <m/>
    <m/>
    <s v=""/>
    <m/>
    <s v=""/>
    <x v="0"/>
    <s v=""/>
    <m/>
    <s v="-"/>
    <s v="-"/>
    <x v="0"/>
    <s v="-"/>
  </r>
  <r>
    <m/>
    <d v="2024-08-09T00:00:00"/>
    <x v="2"/>
    <s v="sex"/>
    <s v="-"/>
    <m/>
    <m/>
    <m/>
    <m/>
    <s v=""/>
    <m/>
    <s v=""/>
    <x v="0"/>
    <s v=""/>
    <m/>
    <s v="-"/>
    <s v="-"/>
    <x v="0"/>
    <s v="-"/>
  </r>
  <r>
    <m/>
    <d v="2024-08-09T00:00:00"/>
    <x v="3"/>
    <s v="sex"/>
    <s v="-"/>
    <m/>
    <m/>
    <m/>
    <m/>
    <s v=""/>
    <m/>
    <s v=""/>
    <x v="0"/>
    <s v=""/>
    <m/>
    <s v="-"/>
    <s v="-"/>
    <x v="0"/>
    <s v="-"/>
  </r>
  <r>
    <m/>
    <d v="2024-08-09T00:00:00"/>
    <x v="3"/>
    <s v="sex"/>
    <s v="-"/>
    <n v="5132"/>
    <n v="5140"/>
    <m/>
    <m/>
    <s v=""/>
    <m/>
    <s v=""/>
    <x v="0"/>
    <s v=""/>
    <m/>
    <n v="8"/>
    <s v="-"/>
    <x v="0"/>
    <s v="-"/>
  </r>
  <r>
    <m/>
    <d v="2024-08-09T00:00:00"/>
    <x v="4"/>
    <s v="sex"/>
    <s v="-"/>
    <m/>
    <m/>
    <m/>
    <m/>
    <s v=""/>
    <m/>
    <s v=""/>
    <x v="0"/>
    <s v=""/>
    <m/>
    <s v="-"/>
    <s v="-"/>
    <x v="0"/>
    <s v="-"/>
  </r>
  <r>
    <m/>
    <d v="2024-08-09T00:00:00"/>
    <x v="5"/>
    <s v="sex"/>
    <s v="-"/>
    <m/>
    <m/>
    <m/>
    <m/>
    <s v=""/>
    <m/>
    <s v=""/>
    <x v="0"/>
    <s v=""/>
    <m/>
    <s v="-"/>
    <s v="-"/>
    <x v="0"/>
    <s v="-"/>
  </r>
  <r>
    <m/>
    <d v="2024-08-09T00:00:00"/>
    <x v="6"/>
    <s v="sex"/>
    <s v="-"/>
    <m/>
    <m/>
    <m/>
    <m/>
    <s v=""/>
    <m/>
    <s v=""/>
    <x v="0"/>
    <s v=""/>
    <m/>
    <s v="-"/>
    <s v="-"/>
    <x v="0"/>
    <s v="-"/>
  </r>
  <r>
    <m/>
    <d v="2024-08-09T00:00:00"/>
    <x v="7"/>
    <s v="sex"/>
    <s v="-"/>
    <m/>
    <m/>
    <m/>
    <m/>
    <s v=""/>
    <m/>
    <s v=""/>
    <x v="0"/>
    <s v=""/>
    <m/>
    <s v="-"/>
    <s v="-"/>
    <x v="0"/>
    <s v="-"/>
  </r>
  <r>
    <m/>
    <d v="2024-08-09T00:00:00"/>
    <x v="7"/>
    <s v="sex"/>
    <s v="-"/>
    <m/>
    <m/>
    <m/>
    <m/>
    <s v=""/>
    <m/>
    <s v=""/>
    <x v="0"/>
    <s v=""/>
    <m/>
    <s v="-"/>
    <s v="-"/>
    <x v="0"/>
    <s v="-"/>
  </r>
  <r>
    <m/>
    <d v="2024-08-09T00:00:00"/>
    <x v="8"/>
    <s v="sex"/>
    <s v="-"/>
    <m/>
    <m/>
    <m/>
    <m/>
    <s v=""/>
    <m/>
    <s v=""/>
    <x v="0"/>
    <s v=""/>
    <m/>
    <s v="-"/>
    <s v="-"/>
    <x v="0"/>
    <s v="-"/>
  </r>
  <r>
    <m/>
    <d v="2024-08-09T00:00:00"/>
    <x v="9"/>
    <s v="sex"/>
    <s v="-"/>
    <m/>
    <m/>
    <m/>
    <m/>
    <s v=""/>
    <m/>
    <s v=""/>
    <x v="0"/>
    <s v=""/>
    <m/>
    <s v="-"/>
    <s v="-"/>
    <x v="0"/>
    <s v="-"/>
  </r>
  <r>
    <m/>
    <d v="2024-08-09T00:00:00"/>
    <x v="10"/>
    <s v="sex"/>
    <s v="-"/>
    <m/>
    <m/>
    <m/>
    <m/>
    <s v=""/>
    <m/>
    <s v=""/>
    <x v="0"/>
    <s v=""/>
    <m/>
    <s v="-"/>
    <s v="-"/>
    <x v="0"/>
    <s v="-"/>
  </r>
  <r>
    <m/>
    <d v="2024-08-09T00:00:00"/>
    <x v="10"/>
    <s v="sex"/>
    <s v="-"/>
    <m/>
    <m/>
    <m/>
    <m/>
    <s v=""/>
    <m/>
    <s v=""/>
    <x v="0"/>
    <s v=""/>
    <m/>
    <s v="-"/>
    <s v="-"/>
    <x v="0"/>
    <s v="-"/>
  </r>
  <r>
    <m/>
    <d v="2024-08-09T00:00:00"/>
    <x v="11"/>
    <s v="sex"/>
    <s v="-"/>
    <m/>
    <m/>
    <m/>
    <m/>
    <s v=""/>
    <m/>
    <s v=""/>
    <x v="0"/>
    <s v=""/>
    <m/>
    <s v="-"/>
    <s v="-"/>
    <x v="0"/>
    <s v="-"/>
  </r>
  <r>
    <m/>
    <d v="2024-08-09T00:00:00"/>
    <x v="11"/>
    <s v="sex"/>
    <s v="-"/>
    <m/>
    <m/>
    <m/>
    <m/>
    <s v=""/>
    <m/>
    <s v=""/>
    <x v="0"/>
    <s v=""/>
    <m/>
    <s v="-"/>
    <s v="-"/>
    <x v="0"/>
    <s v="-"/>
  </r>
  <r>
    <m/>
    <d v="2024-08-09T00:00:00"/>
    <x v="12"/>
    <s v="sex"/>
    <s v="-"/>
    <m/>
    <m/>
    <m/>
    <m/>
    <s v=""/>
    <m/>
    <s v=""/>
    <x v="0"/>
    <s v=""/>
    <m/>
    <s v="-"/>
    <s v="-"/>
    <x v="0"/>
    <s v="-"/>
  </r>
  <r>
    <m/>
    <d v="2024-08-09T00:00:00"/>
    <x v="12"/>
    <s v="sex"/>
    <s v="-"/>
    <m/>
    <m/>
    <m/>
    <m/>
    <s v=""/>
    <m/>
    <s v=""/>
    <x v="0"/>
    <s v=""/>
    <m/>
    <s v="-"/>
    <s v="-"/>
    <x v="0"/>
    <s v="-"/>
  </r>
  <r>
    <m/>
    <d v="2024-08-09T00:00:00"/>
    <x v="13"/>
    <s v="sex"/>
    <s v="-"/>
    <m/>
    <m/>
    <m/>
    <m/>
    <s v=""/>
    <m/>
    <s v=""/>
    <x v="0"/>
    <s v=""/>
    <m/>
    <s v="-"/>
    <s v="-"/>
    <x v="0"/>
    <s v="-"/>
  </r>
  <r>
    <m/>
    <d v="2024-08-09T00:00:00"/>
    <x v="13"/>
    <s v="sex"/>
    <s v="-"/>
    <m/>
    <m/>
    <m/>
    <m/>
    <s v=""/>
    <m/>
    <s v=""/>
    <x v="0"/>
    <s v=""/>
    <m/>
    <s v="-"/>
    <s v="-"/>
    <x v="0"/>
    <s v="-"/>
  </r>
  <r>
    <m/>
    <d v="2024-08-09T00:00:00"/>
    <x v="14"/>
    <s v="sex"/>
    <s v="-"/>
    <m/>
    <m/>
    <m/>
    <m/>
    <s v=""/>
    <m/>
    <s v=""/>
    <x v="0"/>
    <s v=""/>
    <m/>
    <s v="-"/>
    <s v="-"/>
    <x v="0"/>
    <s v="-"/>
  </r>
  <r>
    <m/>
    <d v="2024-08-09T00:00:00"/>
    <x v="14"/>
    <s v="sex"/>
    <s v="-"/>
    <m/>
    <m/>
    <m/>
    <m/>
    <s v=""/>
    <m/>
    <s v=""/>
    <x v="0"/>
    <s v=""/>
    <m/>
    <s v="-"/>
    <s v="-"/>
    <x v="0"/>
    <s v="-"/>
  </r>
  <r>
    <m/>
    <d v="2024-08-09T00:00:00"/>
    <x v="15"/>
    <s v="sex"/>
    <s v="-"/>
    <m/>
    <m/>
    <m/>
    <m/>
    <s v=""/>
    <m/>
    <s v=""/>
    <x v="0"/>
    <s v=""/>
    <m/>
    <s v="-"/>
    <s v="-"/>
    <x v="0"/>
    <s v="-"/>
  </r>
  <r>
    <m/>
    <d v="2024-08-09T00:00:00"/>
    <x v="16"/>
    <s v="sex"/>
    <s v="-"/>
    <m/>
    <m/>
    <m/>
    <m/>
    <s v=""/>
    <m/>
    <s v=""/>
    <x v="0"/>
    <s v=""/>
    <m/>
    <s v="-"/>
    <s v="-"/>
    <x v="0"/>
    <s v="-"/>
  </r>
  <r>
    <m/>
    <d v="2024-08-09T00:00:00"/>
    <x v="16"/>
    <s v="sex"/>
    <s v="-"/>
    <m/>
    <m/>
    <m/>
    <m/>
    <s v=""/>
    <m/>
    <s v=""/>
    <x v="0"/>
    <s v=""/>
    <m/>
    <s v="-"/>
    <s v="-"/>
    <x v="0"/>
    <s v="-"/>
  </r>
  <r>
    <m/>
    <d v="2024-08-09T00:00:00"/>
    <x v="17"/>
    <s v="sex"/>
    <s v="-"/>
    <m/>
    <m/>
    <m/>
    <m/>
    <s v=""/>
    <m/>
    <s v=""/>
    <x v="0"/>
    <s v=""/>
    <m/>
    <s v="-"/>
    <s v="-"/>
    <x v="0"/>
    <s v="-"/>
  </r>
  <r>
    <m/>
    <d v="2024-08-09T00:00:00"/>
    <x v="17"/>
    <s v="sex"/>
    <s v="-"/>
    <m/>
    <m/>
    <m/>
    <m/>
    <s v=""/>
    <m/>
    <s v=""/>
    <x v="0"/>
    <s v=""/>
    <m/>
    <s v="-"/>
    <s v="-"/>
    <x v="0"/>
    <s v="-"/>
  </r>
  <r>
    <m/>
    <d v="2024-08-09T00:00:00"/>
    <x v="18"/>
    <s v="sex"/>
    <s v="-"/>
    <m/>
    <m/>
    <m/>
    <m/>
    <s v=""/>
    <m/>
    <s v=""/>
    <x v="0"/>
    <s v=""/>
    <m/>
    <s v="-"/>
    <s v="-"/>
    <x v="0"/>
    <s v="-"/>
  </r>
  <r>
    <m/>
    <d v="2024-08-09T00:00:00"/>
    <x v="19"/>
    <s v="sex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d v="2024-08-10T00:00:00"/>
    <x v="0"/>
    <s v="sáb"/>
    <s v="-"/>
    <m/>
    <m/>
    <m/>
    <m/>
    <s v=""/>
    <m/>
    <s v=""/>
    <x v="0"/>
    <s v=""/>
    <m/>
    <s v="-"/>
    <s v="-"/>
    <x v="0"/>
    <s v="-"/>
  </r>
  <r>
    <m/>
    <d v="2024-08-10T00:00:00"/>
    <x v="0"/>
    <s v="sáb"/>
    <s v="-"/>
    <m/>
    <m/>
    <m/>
    <m/>
    <s v=""/>
    <m/>
    <s v=""/>
    <x v="0"/>
    <s v=""/>
    <m/>
    <s v="-"/>
    <s v="-"/>
    <x v="0"/>
    <s v="-"/>
  </r>
  <r>
    <m/>
    <d v="2024-08-10T00:00:00"/>
    <x v="1"/>
    <s v="sáb"/>
    <s v="-"/>
    <m/>
    <m/>
    <m/>
    <m/>
    <s v=""/>
    <m/>
    <s v=""/>
    <x v="0"/>
    <s v=""/>
    <m/>
    <s v="-"/>
    <s v="-"/>
    <x v="0"/>
    <s v="-"/>
  </r>
  <r>
    <m/>
    <d v="2024-08-10T00:00:00"/>
    <x v="2"/>
    <s v="sáb"/>
    <s v="-"/>
    <m/>
    <m/>
    <m/>
    <m/>
    <s v=""/>
    <m/>
    <s v=""/>
    <x v="0"/>
    <s v=""/>
    <m/>
    <s v="-"/>
    <s v="-"/>
    <x v="0"/>
    <s v="-"/>
  </r>
  <r>
    <m/>
    <d v="2024-08-10T00:00:00"/>
    <x v="3"/>
    <s v="sáb"/>
    <s v="-"/>
    <m/>
    <m/>
    <m/>
    <m/>
    <s v=""/>
    <m/>
    <s v=""/>
    <x v="0"/>
    <s v=""/>
    <m/>
    <s v="-"/>
    <s v="-"/>
    <x v="0"/>
    <s v="-"/>
  </r>
  <r>
    <m/>
    <d v="2024-08-10T00:00:00"/>
    <x v="3"/>
    <s v="sáb"/>
    <s v="-"/>
    <m/>
    <m/>
    <m/>
    <m/>
    <s v=""/>
    <m/>
    <s v=""/>
    <x v="0"/>
    <s v=""/>
    <m/>
    <s v="-"/>
    <s v="-"/>
    <x v="0"/>
    <s v="-"/>
  </r>
  <r>
    <m/>
    <d v="2024-08-10T00:00:00"/>
    <x v="4"/>
    <s v="sáb"/>
    <s v="-"/>
    <m/>
    <m/>
    <m/>
    <m/>
    <s v=""/>
    <m/>
    <s v=""/>
    <x v="0"/>
    <s v=""/>
    <m/>
    <s v="-"/>
    <s v="-"/>
    <x v="0"/>
    <s v="-"/>
  </r>
  <r>
    <m/>
    <d v="2024-08-10T00:00:00"/>
    <x v="5"/>
    <s v="sáb"/>
    <s v="-"/>
    <m/>
    <m/>
    <m/>
    <m/>
    <s v=""/>
    <m/>
    <s v=""/>
    <x v="0"/>
    <s v=""/>
    <m/>
    <s v="-"/>
    <s v="-"/>
    <x v="0"/>
    <s v="-"/>
  </r>
  <r>
    <m/>
    <d v="2024-08-10T00:00:00"/>
    <x v="6"/>
    <s v="sáb"/>
    <s v="-"/>
    <m/>
    <m/>
    <m/>
    <m/>
    <s v=""/>
    <m/>
    <s v=""/>
    <x v="0"/>
    <s v=""/>
    <m/>
    <s v="-"/>
    <s v="-"/>
    <x v="0"/>
    <s v="-"/>
  </r>
  <r>
    <m/>
    <d v="2024-08-10T00:00:00"/>
    <x v="7"/>
    <s v="sáb"/>
    <s v="-"/>
    <m/>
    <m/>
    <m/>
    <m/>
    <s v=""/>
    <m/>
    <s v=""/>
    <x v="0"/>
    <s v=""/>
    <m/>
    <s v="-"/>
    <s v="-"/>
    <x v="0"/>
    <s v="-"/>
  </r>
  <r>
    <m/>
    <d v="2024-08-10T00:00:00"/>
    <x v="7"/>
    <s v="sáb"/>
    <s v="-"/>
    <m/>
    <m/>
    <m/>
    <m/>
    <s v=""/>
    <m/>
    <s v=""/>
    <x v="0"/>
    <s v=""/>
    <m/>
    <s v="-"/>
    <s v="-"/>
    <x v="0"/>
    <s v="-"/>
  </r>
  <r>
    <m/>
    <d v="2024-08-10T00:00:00"/>
    <x v="8"/>
    <s v="sáb"/>
    <s v="-"/>
    <m/>
    <m/>
    <m/>
    <m/>
    <s v=""/>
    <m/>
    <s v=""/>
    <x v="0"/>
    <s v=""/>
    <m/>
    <s v="-"/>
    <s v="-"/>
    <x v="0"/>
    <s v="-"/>
  </r>
  <r>
    <m/>
    <d v="2024-08-10T00:00:00"/>
    <x v="9"/>
    <s v="sáb"/>
    <s v="-"/>
    <m/>
    <m/>
    <m/>
    <m/>
    <s v=""/>
    <m/>
    <s v=""/>
    <x v="0"/>
    <s v=""/>
    <m/>
    <s v="-"/>
    <s v="-"/>
    <x v="0"/>
    <s v="-"/>
  </r>
  <r>
    <m/>
    <d v="2024-08-10T00:00:00"/>
    <x v="10"/>
    <s v="sáb"/>
    <s v="-"/>
    <m/>
    <m/>
    <m/>
    <m/>
    <s v=""/>
    <m/>
    <s v=""/>
    <x v="0"/>
    <s v=""/>
    <m/>
    <s v="-"/>
    <s v="-"/>
    <x v="0"/>
    <s v="-"/>
  </r>
  <r>
    <m/>
    <d v="2024-08-10T00:00:00"/>
    <x v="10"/>
    <s v="sáb"/>
    <s v="-"/>
    <m/>
    <m/>
    <m/>
    <m/>
    <s v=""/>
    <m/>
    <s v=""/>
    <x v="0"/>
    <s v=""/>
    <m/>
    <s v="-"/>
    <s v="-"/>
    <x v="0"/>
    <s v="-"/>
  </r>
  <r>
    <m/>
    <d v="2024-08-10T00:00:00"/>
    <x v="11"/>
    <s v="sáb"/>
    <s v="-"/>
    <m/>
    <m/>
    <m/>
    <m/>
    <s v=""/>
    <m/>
    <s v=""/>
    <x v="0"/>
    <s v=""/>
    <m/>
    <s v="-"/>
    <s v="-"/>
    <x v="0"/>
    <s v="-"/>
  </r>
  <r>
    <m/>
    <d v="2024-08-10T00:00:00"/>
    <x v="11"/>
    <s v="sáb"/>
    <s v="-"/>
    <m/>
    <m/>
    <m/>
    <m/>
    <s v=""/>
    <m/>
    <s v=""/>
    <x v="0"/>
    <s v=""/>
    <m/>
    <s v="-"/>
    <s v="-"/>
    <x v="0"/>
    <s v="-"/>
  </r>
  <r>
    <m/>
    <d v="2024-08-10T00:00:00"/>
    <x v="12"/>
    <s v="sáb"/>
    <s v="-"/>
    <m/>
    <m/>
    <m/>
    <m/>
    <s v=""/>
    <m/>
    <s v=""/>
    <x v="0"/>
    <s v=""/>
    <m/>
    <s v="-"/>
    <s v="-"/>
    <x v="0"/>
    <s v="-"/>
  </r>
  <r>
    <m/>
    <d v="2024-08-10T00:00:00"/>
    <x v="12"/>
    <s v="sáb"/>
    <s v="-"/>
    <m/>
    <m/>
    <m/>
    <m/>
    <s v=""/>
    <m/>
    <s v=""/>
    <x v="0"/>
    <s v=""/>
    <m/>
    <s v="-"/>
    <s v="-"/>
    <x v="0"/>
    <s v="-"/>
  </r>
  <r>
    <m/>
    <d v="2024-08-10T00:00:00"/>
    <x v="13"/>
    <s v="sáb"/>
    <s v="-"/>
    <m/>
    <m/>
    <m/>
    <m/>
    <s v=""/>
    <m/>
    <s v=""/>
    <x v="0"/>
    <s v=""/>
    <m/>
    <s v="-"/>
    <s v="-"/>
    <x v="0"/>
    <s v="-"/>
  </r>
  <r>
    <m/>
    <d v="2024-08-10T00:00:00"/>
    <x v="13"/>
    <s v="sáb"/>
    <s v="-"/>
    <m/>
    <m/>
    <m/>
    <m/>
    <s v=""/>
    <m/>
    <s v=""/>
    <x v="0"/>
    <s v=""/>
    <m/>
    <s v="-"/>
    <s v="-"/>
    <x v="0"/>
    <s v="-"/>
  </r>
  <r>
    <m/>
    <d v="2024-08-10T00:00:00"/>
    <x v="14"/>
    <s v="sáb"/>
    <s v="-"/>
    <m/>
    <m/>
    <m/>
    <m/>
    <s v=""/>
    <m/>
    <s v=""/>
    <x v="0"/>
    <s v=""/>
    <m/>
    <s v="-"/>
    <s v="-"/>
    <x v="0"/>
    <s v="-"/>
  </r>
  <r>
    <m/>
    <d v="2024-08-10T00:00:00"/>
    <x v="14"/>
    <s v="sáb"/>
    <s v="-"/>
    <m/>
    <m/>
    <m/>
    <m/>
    <s v=""/>
    <m/>
    <s v=""/>
    <x v="0"/>
    <s v=""/>
    <m/>
    <s v="-"/>
    <s v="-"/>
    <x v="0"/>
    <s v="-"/>
  </r>
  <r>
    <m/>
    <d v="2024-08-10T00:00:00"/>
    <x v="15"/>
    <s v="sáb"/>
    <s v="-"/>
    <m/>
    <m/>
    <m/>
    <m/>
    <s v=""/>
    <m/>
    <s v=""/>
    <x v="0"/>
    <s v=""/>
    <m/>
    <s v="-"/>
    <s v="-"/>
    <x v="0"/>
    <s v="-"/>
  </r>
  <r>
    <m/>
    <d v="2024-08-10T00:00:00"/>
    <x v="16"/>
    <s v="sáb"/>
    <s v="-"/>
    <m/>
    <m/>
    <m/>
    <m/>
    <s v=""/>
    <m/>
    <s v=""/>
    <x v="0"/>
    <s v=""/>
    <m/>
    <s v="-"/>
    <s v="-"/>
    <x v="0"/>
    <s v="-"/>
  </r>
  <r>
    <m/>
    <d v="2024-08-10T00:00:00"/>
    <x v="16"/>
    <s v="sáb"/>
    <s v="-"/>
    <m/>
    <m/>
    <m/>
    <m/>
    <s v=""/>
    <m/>
    <s v=""/>
    <x v="0"/>
    <s v=""/>
    <m/>
    <s v="-"/>
    <s v="-"/>
    <x v="0"/>
    <s v="-"/>
  </r>
  <r>
    <m/>
    <d v="2024-08-10T00:00:00"/>
    <x v="17"/>
    <s v="sáb"/>
    <s v="-"/>
    <m/>
    <m/>
    <m/>
    <m/>
    <s v=""/>
    <m/>
    <s v=""/>
    <x v="0"/>
    <s v=""/>
    <m/>
    <s v="-"/>
    <s v="-"/>
    <x v="0"/>
    <s v="-"/>
  </r>
  <r>
    <m/>
    <d v="2024-08-10T00:00:00"/>
    <x v="17"/>
    <s v="sáb"/>
    <s v="-"/>
    <m/>
    <m/>
    <m/>
    <m/>
    <s v=""/>
    <m/>
    <s v=""/>
    <x v="0"/>
    <s v=""/>
    <m/>
    <s v="-"/>
    <s v="-"/>
    <x v="0"/>
    <s v="-"/>
  </r>
  <r>
    <m/>
    <d v="2024-08-10T00:00:00"/>
    <x v="18"/>
    <s v="sáb"/>
    <s v="-"/>
    <m/>
    <m/>
    <m/>
    <m/>
    <s v=""/>
    <m/>
    <s v=""/>
    <x v="0"/>
    <s v=""/>
    <m/>
    <s v="-"/>
    <s v="-"/>
    <x v="0"/>
    <s v="-"/>
  </r>
  <r>
    <m/>
    <d v="2024-08-10T00:00:00"/>
    <x v="19"/>
    <s v="sáb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d v="2024-08-12T00:00:00"/>
    <x v="0"/>
    <s v="seg"/>
    <s v="-"/>
    <m/>
    <m/>
    <m/>
    <m/>
    <s v=""/>
    <m/>
    <s v=""/>
    <x v="0"/>
    <s v=""/>
    <m/>
    <s v="-"/>
    <s v="-"/>
    <x v="0"/>
    <s v="-"/>
  </r>
  <r>
    <m/>
    <d v="2024-08-12T00:00:00"/>
    <x v="0"/>
    <s v="seg"/>
    <s v="-"/>
    <m/>
    <m/>
    <m/>
    <m/>
    <s v=""/>
    <m/>
    <s v=""/>
    <x v="0"/>
    <s v=""/>
    <m/>
    <s v="-"/>
    <s v="-"/>
    <x v="0"/>
    <s v="-"/>
  </r>
  <r>
    <m/>
    <d v="2024-08-12T00:00:00"/>
    <x v="1"/>
    <s v="seg"/>
    <s v="-"/>
    <m/>
    <m/>
    <m/>
    <m/>
    <s v=""/>
    <m/>
    <s v=""/>
    <x v="0"/>
    <s v=""/>
    <m/>
    <s v="-"/>
    <s v="-"/>
    <x v="0"/>
    <s v="-"/>
  </r>
  <r>
    <m/>
    <d v="2024-08-12T00:00:00"/>
    <x v="2"/>
    <s v="seg"/>
    <s v="-"/>
    <m/>
    <m/>
    <m/>
    <m/>
    <s v=""/>
    <m/>
    <s v=""/>
    <x v="0"/>
    <s v=""/>
    <m/>
    <s v="-"/>
    <s v="-"/>
    <x v="0"/>
    <s v="-"/>
  </r>
  <r>
    <m/>
    <m/>
    <x v="3"/>
    <s v="-"/>
    <s v="-"/>
    <m/>
    <m/>
    <m/>
    <m/>
    <s v=""/>
    <m/>
    <s v=""/>
    <x v="0"/>
    <s v=""/>
    <m/>
    <s v="-"/>
    <s v="-"/>
    <x v="0"/>
    <s v="-"/>
  </r>
  <r>
    <m/>
    <m/>
    <x v="3"/>
    <s v="-"/>
    <s v="-"/>
    <m/>
    <m/>
    <m/>
    <m/>
    <s v=""/>
    <m/>
    <s v=""/>
    <x v="0"/>
    <s v=""/>
    <m/>
    <s v="-"/>
    <s v="-"/>
    <x v="0"/>
    <s v="-"/>
  </r>
  <r>
    <m/>
    <d v="2024-08-12T00:00:00"/>
    <x v="4"/>
    <s v="seg"/>
    <s v="-"/>
    <m/>
    <m/>
    <m/>
    <m/>
    <s v=""/>
    <m/>
    <s v=""/>
    <x v="0"/>
    <s v=""/>
    <m/>
    <s v="-"/>
    <s v="-"/>
    <x v="0"/>
    <s v="-"/>
  </r>
  <r>
    <m/>
    <d v="2024-08-12T00:00:00"/>
    <x v="5"/>
    <s v="seg"/>
    <s v="-"/>
    <m/>
    <m/>
    <m/>
    <m/>
    <s v=""/>
    <m/>
    <s v=""/>
    <x v="0"/>
    <s v=""/>
    <m/>
    <s v="-"/>
    <s v="-"/>
    <x v="0"/>
    <s v="-"/>
  </r>
  <r>
    <m/>
    <d v="2024-08-12T00:00:00"/>
    <x v="6"/>
    <s v="seg"/>
    <s v="-"/>
    <m/>
    <m/>
    <m/>
    <m/>
    <s v=""/>
    <m/>
    <s v=""/>
    <x v="0"/>
    <s v=""/>
    <m/>
    <s v="-"/>
    <s v="-"/>
    <x v="0"/>
    <s v="-"/>
  </r>
  <r>
    <m/>
    <d v="2024-08-12T00:00:00"/>
    <x v="7"/>
    <s v="seg"/>
    <s v="-"/>
    <m/>
    <m/>
    <m/>
    <m/>
    <s v=""/>
    <m/>
    <s v=""/>
    <x v="0"/>
    <s v=""/>
    <m/>
    <s v="-"/>
    <s v="-"/>
    <x v="0"/>
    <s v="-"/>
  </r>
  <r>
    <m/>
    <m/>
    <x v="7"/>
    <s v="-"/>
    <s v="-"/>
    <m/>
    <m/>
    <m/>
    <m/>
    <s v=""/>
    <m/>
    <s v=""/>
    <x v="0"/>
    <s v=""/>
    <m/>
    <s v="-"/>
    <s v="-"/>
    <x v="0"/>
    <s v="-"/>
  </r>
  <r>
    <m/>
    <d v="2024-08-12T00:00:00"/>
    <x v="8"/>
    <s v="seg"/>
    <s v="-"/>
    <m/>
    <m/>
    <m/>
    <m/>
    <s v=""/>
    <m/>
    <s v=""/>
    <x v="0"/>
    <s v=""/>
    <m/>
    <s v="-"/>
    <s v="-"/>
    <x v="0"/>
    <s v="-"/>
  </r>
  <r>
    <m/>
    <d v="2024-08-12T00:00:00"/>
    <x v="9"/>
    <s v="seg"/>
    <s v="-"/>
    <m/>
    <m/>
    <m/>
    <m/>
    <s v=""/>
    <m/>
    <s v=""/>
    <x v="0"/>
    <s v=""/>
    <m/>
    <s v="-"/>
    <s v="-"/>
    <x v="0"/>
    <s v="-"/>
  </r>
  <r>
    <m/>
    <d v="2024-08-12T00:00:00"/>
    <x v="10"/>
    <s v="seg"/>
    <s v="-"/>
    <m/>
    <m/>
    <m/>
    <m/>
    <s v=""/>
    <m/>
    <s v=""/>
    <x v="0"/>
    <s v=""/>
    <m/>
    <s v="-"/>
    <s v="-"/>
    <x v="0"/>
    <s v="-"/>
  </r>
  <r>
    <m/>
    <m/>
    <x v="10"/>
    <s v="-"/>
    <s v="-"/>
    <m/>
    <m/>
    <m/>
    <m/>
    <s v=""/>
    <m/>
    <s v=""/>
    <x v="0"/>
    <s v=""/>
    <m/>
    <s v="-"/>
    <s v="-"/>
    <x v="0"/>
    <s v="-"/>
  </r>
  <r>
    <m/>
    <d v="2024-08-12T00:00:00"/>
    <x v="11"/>
    <s v="seg"/>
    <s v="-"/>
    <m/>
    <m/>
    <m/>
    <m/>
    <s v=""/>
    <m/>
    <s v=""/>
    <x v="0"/>
    <s v=""/>
    <m/>
    <s v="-"/>
    <s v="-"/>
    <x v="0"/>
    <s v="-"/>
  </r>
  <r>
    <m/>
    <m/>
    <x v="11"/>
    <s v="-"/>
    <s v="-"/>
    <m/>
    <m/>
    <m/>
    <m/>
    <s v=""/>
    <m/>
    <s v=""/>
    <x v="0"/>
    <s v=""/>
    <m/>
    <s v="-"/>
    <s v="-"/>
    <x v="0"/>
    <s v="-"/>
  </r>
  <r>
    <m/>
    <d v="2024-08-12T00:00:00"/>
    <x v="12"/>
    <s v="seg"/>
    <s v="-"/>
    <m/>
    <m/>
    <m/>
    <m/>
    <s v=""/>
    <m/>
    <s v=""/>
    <x v="0"/>
    <s v=""/>
    <m/>
    <s v="-"/>
    <s v="-"/>
    <x v="0"/>
    <s v="-"/>
  </r>
  <r>
    <m/>
    <m/>
    <x v="12"/>
    <s v="-"/>
    <s v="-"/>
    <m/>
    <m/>
    <m/>
    <m/>
    <s v=""/>
    <m/>
    <s v=""/>
    <x v="0"/>
    <s v=""/>
    <m/>
    <s v="-"/>
    <s v="-"/>
    <x v="0"/>
    <s v="-"/>
  </r>
  <r>
    <m/>
    <d v="2024-08-12T00:00:00"/>
    <x v="13"/>
    <s v="seg"/>
    <s v="-"/>
    <m/>
    <m/>
    <m/>
    <m/>
    <s v=""/>
    <m/>
    <s v=""/>
    <x v="0"/>
    <s v=""/>
    <m/>
    <s v="-"/>
    <s v="-"/>
    <x v="0"/>
    <s v="-"/>
  </r>
  <r>
    <m/>
    <d v="2024-08-12T00:00:00"/>
    <x v="13"/>
    <s v="seg"/>
    <s v="-"/>
    <m/>
    <m/>
    <m/>
    <m/>
    <s v=""/>
    <m/>
    <s v=""/>
    <x v="0"/>
    <s v=""/>
    <m/>
    <s v="-"/>
    <s v="-"/>
    <x v="0"/>
    <s v="-"/>
  </r>
  <r>
    <m/>
    <d v="2024-08-12T00:00:00"/>
    <x v="14"/>
    <s v="seg"/>
    <s v="-"/>
    <m/>
    <m/>
    <m/>
    <m/>
    <s v=""/>
    <m/>
    <s v=""/>
    <x v="0"/>
    <s v=""/>
    <m/>
    <s v="-"/>
    <s v="-"/>
    <x v="0"/>
    <s v="-"/>
  </r>
  <r>
    <m/>
    <d v="2024-08-12T00:00:00"/>
    <x v="14"/>
    <s v="seg"/>
    <s v="-"/>
    <m/>
    <m/>
    <m/>
    <m/>
    <s v=""/>
    <m/>
    <s v=""/>
    <x v="0"/>
    <s v=""/>
    <m/>
    <s v="-"/>
    <s v="-"/>
    <x v="0"/>
    <s v="-"/>
  </r>
  <r>
    <m/>
    <m/>
    <x v="15"/>
    <s v="-"/>
    <s v="-"/>
    <m/>
    <m/>
    <m/>
    <m/>
    <s v=""/>
    <m/>
    <s v=""/>
    <x v="0"/>
    <s v=""/>
    <m/>
    <s v="-"/>
    <s v="-"/>
    <x v="0"/>
    <s v="-"/>
  </r>
  <r>
    <m/>
    <d v="2024-08-12T00:00:00"/>
    <x v="16"/>
    <s v="seg"/>
    <s v="-"/>
    <m/>
    <m/>
    <m/>
    <m/>
    <s v=""/>
    <m/>
    <s v=""/>
    <x v="0"/>
    <s v=""/>
    <m/>
    <s v="-"/>
    <s v="-"/>
    <x v="0"/>
    <s v="-"/>
  </r>
  <r>
    <m/>
    <m/>
    <x v="16"/>
    <s v="-"/>
    <s v="-"/>
    <m/>
    <m/>
    <m/>
    <m/>
    <s v=""/>
    <m/>
    <s v=""/>
    <x v="0"/>
    <s v=""/>
    <m/>
    <s v="-"/>
    <s v="-"/>
    <x v="0"/>
    <s v="-"/>
  </r>
  <r>
    <m/>
    <d v="2024-08-12T00:00:00"/>
    <x v="17"/>
    <s v="seg"/>
    <s v="-"/>
    <m/>
    <m/>
    <m/>
    <m/>
    <s v=""/>
    <m/>
    <s v=""/>
    <x v="0"/>
    <s v=""/>
    <m/>
    <s v="-"/>
    <s v="-"/>
    <x v="0"/>
    <s v="-"/>
  </r>
  <r>
    <m/>
    <d v="2024-08-12T00:00:00"/>
    <x v="17"/>
    <s v="seg"/>
    <s v="-"/>
    <m/>
    <m/>
    <m/>
    <m/>
    <s v=""/>
    <m/>
    <s v=""/>
    <x v="0"/>
    <s v=""/>
    <m/>
    <s v="-"/>
    <s v="-"/>
    <x v="0"/>
    <s v="-"/>
  </r>
  <r>
    <m/>
    <d v="2024-08-12T00:00:00"/>
    <x v="18"/>
    <s v="seg"/>
    <s v="-"/>
    <m/>
    <m/>
    <m/>
    <m/>
    <s v=""/>
    <m/>
    <s v=""/>
    <x v="0"/>
    <s v=""/>
    <m/>
    <s v="-"/>
    <s v="-"/>
    <x v="0"/>
    <s v="-"/>
  </r>
  <r>
    <m/>
    <d v="2024-08-12T00:00:00"/>
    <x v="19"/>
    <s v="seg"/>
    <s v="-"/>
    <m/>
    <m/>
    <m/>
    <m/>
    <s v=""/>
    <m/>
    <s v=""/>
    <x v="0"/>
    <s v=""/>
    <m/>
    <s v="-"/>
    <s v="-"/>
    <x v="0"/>
    <s v="-"/>
  </r>
  <r>
    <m/>
    <d v="2024-08-12T00:00:00"/>
    <x v="19"/>
    <s v="seg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d v="2024-08-13T00:00:00"/>
    <x v="0"/>
    <s v="ter"/>
    <s v="-"/>
    <m/>
    <m/>
    <m/>
    <m/>
    <s v=""/>
    <m/>
    <s v=""/>
    <x v="0"/>
    <s v=""/>
    <m/>
    <s v="-"/>
    <s v="-"/>
    <x v="0"/>
    <s v="-"/>
  </r>
  <r>
    <m/>
    <d v="2024-08-13T00:00:00"/>
    <x v="0"/>
    <s v="ter"/>
    <s v="-"/>
    <m/>
    <m/>
    <m/>
    <m/>
    <s v=""/>
    <m/>
    <s v=""/>
    <x v="0"/>
    <s v=""/>
    <m/>
    <s v="-"/>
    <s v="-"/>
    <x v="0"/>
    <s v="-"/>
  </r>
  <r>
    <m/>
    <d v="2024-08-13T00:00:00"/>
    <x v="1"/>
    <s v="ter"/>
    <s v="-"/>
    <m/>
    <m/>
    <m/>
    <m/>
    <s v=""/>
    <m/>
    <s v=""/>
    <x v="0"/>
    <s v=""/>
    <m/>
    <s v="-"/>
    <s v="-"/>
    <x v="0"/>
    <s v="-"/>
  </r>
  <r>
    <m/>
    <d v="2024-08-13T00:00:00"/>
    <x v="2"/>
    <s v="ter"/>
    <s v="-"/>
    <m/>
    <m/>
    <m/>
    <m/>
    <s v=""/>
    <m/>
    <s v=""/>
    <x v="0"/>
    <s v=""/>
    <m/>
    <s v="-"/>
    <s v="-"/>
    <x v="0"/>
    <s v="-"/>
  </r>
  <r>
    <m/>
    <d v="2024-08-13T00:00:00"/>
    <x v="3"/>
    <s v="ter"/>
    <s v="-"/>
    <m/>
    <m/>
    <m/>
    <m/>
    <s v=""/>
    <m/>
    <s v=""/>
    <x v="0"/>
    <s v=""/>
    <m/>
    <s v="-"/>
    <s v="-"/>
    <x v="0"/>
    <s v="-"/>
  </r>
  <r>
    <m/>
    <d v="2024-08-13T00:00:00"/>
    <x v="3"/>
    <s v="ter"/>
    <s v="-"/>
    <m/>
    <m/>
    <m/>
    <m/>
    <s v=""/>
    <m/>
    <s v=""/>
    <x v="0"/>
    <s v=""/>
    <m/>
    <s v="-"/>
    <s v="-"/>
    <x v="0"/>
    <s v="-"/>
  </r>
  <r>
    <m/>
    <d v="2024-08-13T00:00:00"/>
    <x v="4"/>
    <s v="ter"/>
    <s v="-"/>
    <m/>
    <m/>
    <m/>
    <m/>
    <s v=""/>
    <m/>
    <s v=""/>
    <x v="0"/>
    <s v=""/>
    <m/>
    <s v="-"/>
    <s v="-"/>
    <x v="0"/>
    <s v="-"/>
  </r>
  <r>
    <m/>
    <d v="2024-08-13T00:00:00"/>
    <x v="22"/>
    <s v="ter"/>
    <s v="-"/>
    <m/>
    <m/>
    <m/>
    <m/>
    <s v=""/>
    <m/>
    <s v=""/>
    <x v="0"/>
    <s v=""/>
    <m/>
    <s v="-"/>
    <s v="-"/>
    <x v="0"/>
    <s v="-"/>
  </r>
  <r>
    <m/>
    <d v="2024-08-13T00:00:00"/>
    <x v="6"/>
    <s v="ter"/>
    <s v="-"/>
    <m/>
    <m/>
    <m/>
    <m/>
    <s v=""/>
    <m/>
    <s v=""/>
    <x v="0"/>
    <s v=""/>
    <m/>
    <s v="-"/>
    <s v="-"/>
    <x v="0"/>
    <s v="-"/>
  </r>
  <r>
    <m/>
    <d v="2024-08-13T00:00:00"/>
    <x v="7"/>
    <s v="ter"/>
    <s v="-"/>
    <m/>
    <m/>
    <m/>
    <m/>
    <s v=""/>
    <m/>
    <s v=""/>
    <x v="0"/>
    <s v=""/>
    <m/>
    <s v="-"/>
    <s v="-"/>
    <x v="0"/>
    <s v="-"/>
  </r>
  <r>
    <m/>
    <d v="2024-08-13T00:00:00"/>
    <x v="7"/>
    <s v="ter"/>
    <s v="-"/>
    <m/>
    <m/>
    <m/>
    <m/>
    <s v=""/>
    <m/>
    <s v=""/>
    <x v="0"/>
    <s v=""/>
    <m/>
    <s v="-"/>
    <s v="-"/>
    <x v="0"/>
    <s v="-"/>
  </r>
  <r>
    <m/>
    <d v="2024-08-13T00:00:00"/>
    <x v="8"/>
    <s v="ter"/>
    <s v="-"/>
    <m/>
    <m/>
    <m/>
    <m/>
    <s v=""/>
    <m/>
    <s v=""/>
    <x v="0"/>
    <s v=""/>
    <m/>
    <s v="-"/>
    <s v="-"/>
    <x v="0"/>
    <s v="-"/>
  </r>
  <r>
    <m/>
    <d v="2024-08-13T00:00:00"/>
    <x v="9"/>
    <s v="ter"/>
    <s v="-"/>
    <m/>
    <m/>
    <m/>
    <m/>
    <s v=""/>
    <m/>
    <s v=""/>
    <x v="0"/>
    <s v=""/>
    <m/>
    <s v="-"/>
    <s v="-"/>
    <x v="0"/>
    <s v="-"/>
  </r>
  <r>
    <m/>
    <d v="2024-08-13T00:00:00"/>
    <x v="10"/>
    <s v="ter"/>
    <s v="-"/>
    <m/>
    <m/>
    <m/>
    <m/>
    <s v=""/>
    <m/>
    <s v=""/>
    <x v="0"/>
    <s v=""/>
    <m/>
    <s v="-"/>
    <s v="-"/>
    <x v="0"/>
    <s v="-"/>
  </r>
  <r>
    <m/>
    <d v="2024-08-13T00:00:00"/>
    <x v="10"/>
    <s v="ter"/>
    <s v="-"/>
    <m/>
    <m/>
    <m/>
    <m/>
    <s v=""/>
    <m/>
    <s v=""/>
    <x v="0"/>
    <s v=""/>
    <m/>
    <s v="-"/>
    <s v="-"/>
    <x v="0"/>
    <s v="-"/>
  </r>
  <r>
    <m/>
    <d v="2024-08-13T00:00:00"/>
    <x v="11"/>
    <s v="ter"/>
    <s v="-"/>
    <m/>
    <m/>
    <m/>
    <m/>
    <s v=""/>
    <m/>
    <s v=""/>
    <x v="0"/>
    <s v=""/>
    <m/>
    <s v="-"/>
    <s v="-"/>
    <x v="0"/>
    <s v="-"/>
  </r>
  <r>
    <m/>
    <d v="2024-08-13T00:00:00"/>
    <x v="11"/>
    <s v="ter"/>
    <s v="-"/>
    <m/>
    <m/>
    <m/>
    <m/>
    <s v=""/>
    <m/>
    <s v=""/>
    <x v="0"/>
    <s v=""/>
    <m/>
    <s v="-"/>
    <s v="-"/>
    <x v="0"/>
    <s v="-"/>
  </r>
  <r>
    <m/>
    <d v="2024-08-13T00:00:00"/>
    <x v="12"/>
    <s v="ter"/>
    <s v="-"/>
    <m/>
    <m/>
    <m/>
    <m/>
    <s v=""/>
    <m/>
    <s v=""/>
    <x v="0"/>
    <s v=""/>
    <m/>
    <s v="-"/>
    <s v="-"/>
    <x v="0"/>
    <s v="-"/>
  </r>
  <r>
    <m/>
    <d v="2024-08-13T00:00:00"/>
    <x v="12"/>
    <s v="ter"/>
    <s v="-"/>
    <m/>
    <m/>
    <m/>
    <m/>
    <s v=""/>
    <m/>
    <s v=""/>
    <x v="0"/>
    <s v=""/>
    <m/>
    <s v="-"/>
    <s v="-"/>
    <x v="0"/>
    <s v="-"/>
  </r>
  <r>
    <m/>
    <d v="2024-08-13T00:00:00"/>
    <x v="13"/>
    <s v="ter"/>
    <s v="-"/>
    <m/>
    <m/>
    <m/>
    <m/>
    <s v=""/>
    <m/>
    <s v=""/>
    <x v="0"/>
    <s v=""/>
    <m/>
    <s v="-"/>
    <s v="-"/>
    <x v="0"/>
    <s v="-"/>
  </r>
  <r>
    <m/>
    <d v="2024-08-13T00:00:00"/>
    <x v="13"/>
    <s v="ter"/>
    <s v="-"/>
    <m/>
    <m/>
    <m/>
    <m/>
    <s v=""/>
    <m/>
    <s v=""/>
    <x v="0"/>
    <s v=""/>
    <m/>
    <s v="-"/>
    <s v="-"/>
    <x v="0"/>
    <s v="-"/>
  </r>
  <r>
    <m/>
    <d v="2024-08-13T00:00:00"/>
    <x v="14"/>
    <s v="ter"/>
    <s v="-"/>
    <m/>
    <m/>
    <m/>
    <m/>
    <s v=""/>
    <m/>
    <s v=""/>
    <x v="0"/>
    <s v=""/>
    <m/>
    <s v="-"/>
    <s v="-"/>
    <x v="0"/>
    <s v="-"/>
  </r>
  <r>
    <m/>
    <d v="2024-08-13T00:00:00"/>
    <x v="14"/>
    <s v="ter"/>
    <s v="-"/>
    <m/>
    <m/>
    <m/>
    <m/>
    <s v=""/>
    <m/>
    <s v=""/>
    <x v="0"/>
    <s v=""/>
    <m/>
    <s v="-"/>
    <s v="-"/>
    <x v="0"/>
    <s v="-"/>
  </r>
  <r>
    <m/>
    <d v="2024-08-13T00:00:00"/>
    <x v="15"/>
    <s v="ter"/>
    <s v="-"/>
    <m/>
    <m/>
    <m/>
    <m/>
    <s v=""/>
    <m/>
    <s v=""/>
    <x v="0"/>
    <s v=""/>
    <m/>
    <s v="-"/>
    <s v="-"/>
    <x v="0"/>
    <s v="-"/>
  </r>
  <r>
    <m/>
    <d v="2024-08-13T00:00:00"/>
    <x v="16"/>
    <s v="ter"/>
    <s v="-"/>
    <m/>
    <m/>
    <m/>
    <m/>
    <s v=""/>
    <m/>
    <s v=""/>
    <x v="0"/>
    <s v=""/>
    <m/>
    <s v="-"/>
    <s v="-"/>
    <x v="0"/>
    <s v="-"/>
  </r>
  <r>
    <m/>
    <d v="2024-08-13T00:00:00"/>
    <x v="16"/>
    <s v="ter"/>
    <s v="-"/>
    <m/>
    <m/>
    <m/>
    <m/>
    <s v=""/>
    <m/>
    <s v=""/>
    <x v="0"/>
    <s v=""/>
    <m/>
    <s v="-"/>
    <s v="-"/>
    <x v="0"/>
    <s v="-"/>
  </r>
  <r>
    <m/>
    <d v="2024-08-13T00:00:00"/>
    <x v="17"/>
    <s v="ter"/>
    <s v="-"/>
    <m/>
    <m/>
    <m/>
    <m/>
    <s v=""/>
    <m/>
    <s v=""/>
    <x v="0"/>
    <s v=""/>
    <m/>
    <s v="-"/>
    <s v="-"/>
    <x v="0"/>
    <s v="-"/>
  </r>
  <r>
    <m/>
    <d v="2024-08-13T00:00:00"/>
    <x v="17"/>
    <s v="ter"/>
    <s v="-"/>
    <m/>
    <m/>
    <m/>
    <m/>
    <s v=""/>
    <m/>
    <s v=""/>
    <x v="0"/>
    <s v=""/>
    <m/>
    <s v="-"/>
    <s v="-"/>
    <x v="0"/>
    <s v="-"/>
  </r>
  <r>
    <m/>
    <d v="2024-08-13T00:00:00"/>
    <x v="18"/>
    <s v="ter"/>
    <s v="-"/>
    <m/>
    <m/>
    <m/>
    <m/>
    <s v=""/>
    <m/>
    <s v=""/>
    <x v="0"/>
    <s v=""/>
    <m/>
    <s v="-"/>
    <s v="-"/>
    <x v="0"/>
    <s v="-"/>
  </r>
  <r>
    <m/>
    <d v="2024-08-13T00:00:00"/>
    <x v="19"/>
    <s v="ter"/>
    <s v="-"/>
    <m/>
    <m/>
    <m/>
    <m/>
    <s v=""/>
    <m/>
    <s v=""/>
    <x v="0"/>
    <s v=""/>
    <m/>
    <s v="-"/>
    <s v="-"/>
    <x v="0"/>
    <s v="-"/>
  </r>
  <r>
    <m/>
    <d v="2024-08-13T00:00:00"/>
    <x v="19"/>
    <s v="ter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d v="2024-08-14T00:00:00"/>
    <x v="0"/>
    <s v="qua"/>
    <s v="-"/>
    <m/>
    <m/>
    <m/>
    <m/>
    <s v=""/>
    <m/>
    <s v=""/>
    <x v="0"/>
    <s v=""/>
    <m/>
    <s v="-"/>
    <s v="-"/>
    <x v="0"/>
    <s v="-"/>
  </r>
  <r>
    <m/>
    <d v="2024-08-14T00:00:00"/>
    <x v="0"/>
    <s v="qua"/>
    <s v="-"/>
    <m/>
    <m/>
    <m/>
    <m/>
    <s v=""/>
    <m/>
    <s v=""/>
    <x v="0"/>
    <s v=""/>
    <m/>
    <s v="-"/>
    <s v="-"/>
    <x v="0"/>
    <s v="-"/>
  </r>
  <r>
    <m/>
    <d v="2024-08-14T00:00:00"/>
    <x v="1"/>
    <s v="qua"/>
    <s v="-"/>
    <m/>
    <m/>
    <m/>
    <m/>
    <s v=""/>
    <m/>
    <s v=""/>
    <x v="0"/>
    <s v=""/>
    <m/>
    <s v="-"/>
    <s v="-"/>
    <x v="0"/>
    <s v="-"/>
  </r>
  <r>
    <m/>
    <d v="2024-08-14T00:00:00"/>
    <x v="2"/>
    <s v="qua"/>
    <s v="-"/>
    <m/>
    <m/>
    <m/>
    <m/>
    <s v=""/>
    <m/>
    <s v=""/>
    <x v="0"/>
    <s v=""/>
    <m/>
    <s v="-"/>
    <s v="-"/>
    <x v="0"/>
    <s v="-"/>
  </r>
  <r>
    <m/>
    <d v="2024-08-14T00:00:00"/>
    <x v="3"/>
    <s v="qua"/>
    <s v="-"/>
    <m/>
    <m/>
    <m/>
    <m/>
    <s v=""/>
    <m/>
    <s v=""/>
    <x v="0"/>
    <s v=""/>
    <m/>
    <s v="-"/>
    <s v="-"/>
    <x v="0"/>
    <s v="-"/>
  </r>
  <r>
    <m/>
    <d v="2024-08-14T00:00:00"/>
    <x v="3"/>
    <s v="qua"/>
    <s v="-"/>
    <m/>
    <m/>
    <m/>
    <m/>
    <s v=""/>
    <m/>
    <s v=""/>
    <x v="0"/>
    <s v=""/>
    <m/>
    <s v="-"/>
    <s v="-"/>
    <x v="0"/>
    <s v="-"/>
  </r>
  <r>
    <m/>
    <d v="2024-08-14T00:00:00"/>
    <x v="4"/>
    <s v="qua"/>
    <s v="-"/>
    <m/>
    <m/>
    <m/>
    <m/>
    <s v=""/>
    <m/>
    <s v=""/>
    <x v="0"/>
    <s v=""/>
    <m/>
    <s v="-"/>
    <s v="-"/>
    <x v="0"/>
    <s v="-"/>
  </r>
  <r>
    <m/>
    <d v="2024-08-14T00:00:00"/>
    <x v="22"/>
    <s v="qua"/>
    <s v="-"/>
    <m/>
    <m/>
    <m/>
    <m/>
    <s v=""/>
    <m/>
    <s v=""/>
    <x v="0"/>
    <s v=""/>
    <m/>
    <s v="-"/>
    <s v="-"/>
    <x v="0"/>
    <s v="-"/>
  </r>
  <r>
    <m/>
    <d v="2024-08-14T00:00:00"/>
    <x v="6"/>
    <s v="qua"/>
    <s v="-"/>
    <m/>
    <m/>
    <m/>
    <m/>
    <s v=""/>
    <m/>
    <s v=""/>
    <x v="0"/>
    <s v=""/>
    <m/>
    <s v="-"/>
    <s v="-"/>
    <x v="0"/>
    <s v="-"/>
  </r>
  <r>
    <m/>
    <d v="2024-08-14T00:00:00"/>
    <x v="6"/>
    <s v="qua"/>
    <s v="-"/>
    <m/>
    <m/>
    <m/>
    <m/>
    <s v=""/>
    <m/>
    <s v=""/>
    <x v="0"/>
    <s v=""/>
    <m/>
    <s v="-"/>
    <s v="-"/>
    <x v="0"/>
    <s v="-"/>
  </r>
  <r>
    <m/>
    <d v="2024-08-14T00:00:00"/>
    <x v="7"/>
    <s v="qua"/>
    <s v="-"/>
    <m/>
    <m/>
    <m/>
    <m/>
    <s v=""/>
    <m/>
    <s v=""/>
    <x v="0"/>
    <s v=""/>
    <m/>
    <s v="-"/>
    <s v="-"/>
    <x v="0"/>
    <s v="-"/>
  </r>
  <r>
    <m/>
    <d v="2024-08-14T00:00:00"/>
    <x v="7"/>
    <s v="qua"/>
    <s v="-"/>
    <m/>
    <m/>
    <m/>
    <m/>
    <s v=""/>
    <m/>
    <s v=""/>
    <x v="0"/>
    <s v=""/>
    <m/>
    <s v="-"/>
    <s v="-"/>
    <x v="0"/>
    <s v="-"/>
  </r>
  <r>
    <m/>
    <d v="2024-08-14T00:00:00"/>
    <x v="8"/>
    <s v="qua"/>
    <s v="-"/>
    <m/>
    <m/>
    <m/>
    <m/>
    <s v=""/>
    <m/>
    <s v=""/>
    <x v="0"/>
    <s v=""/>
    <m/>
    <s v="-"/>
    <s v="-"/>
    <x v="0"/>
    <s v="-"/>
  </r>
  <r>
    <m/>
    <d v="2024-08-14T00:00:00"/>
    <x v="9"/>
    <s v="qua"/>
    <s v="-"/>
    <m/>
    <m/>
    <m/>
    <m/>
    <s v=""/>
    <m/>
    <s v=""/>
    <x v="0"/>
    <s v=""/>
    <m/>
    <s v="-"/>
    <s v="-"/>
    <x v="0"/>
    <s v="-"/>
  </r>
  <r>
    <m/>
    <d v="2024-08-14T00:00:00"/>
    <x v="10"/>
    <s v="qua"/>
    <s v="-"/>
    <m/>
    <m/>
    <m/>
    <m/>
    <s v=""/>
    <m/>
    <s v=""/>
    <x v="0"/>
    <s v=""/>
    <m/>
    <s v="-"/>
    <s v="-"/>
    <x v="0"/>
    <s v="-"/>
  </r>
  <r>
    <m/>
    <d v="2024-08-14T00:00:00"/>
    <x v="10"/>
    <s v="qua"/>
    <s v="-"/>
    <m/>
    <m/>
    <m/>
    <m/>
    <s v=""/>
    <m/>
    <s v=""/>
    <x v="0"/>
    <s v=""/>
    <m/>
    <s v="-"/>
    <s v="-"/>
    <x v="0"/>
    <s v="-"/>
  </r>
  <r>
    <m/>
    <d v="2024-08-14T00:00:00"/>
    <x v="11"/>
    <s v="qua"/>
    <s v="-"/>
    <m/>
    <m/>
    <m/>
    <m/>
    <s v=""/>
    <m/>
    <s v=""/>
    <x v="0"/>
    <s v=""/>
    <m/>
    <s v="-"/>
    <s v="-"/>
    <x v="0"/>
    <s v="-"/>
  </r>
  <r>
    <m/>
    <d v="2024-08-14T00:00:00"/>
    <x v="11"/>
    <s v="qua"/>
    <s v="-"/>
    <m/>
    <m/>
    <m/>
    <m/>
    <s v=""/>
    <m/>
    <s v=""/>
    <x v="0"/>
    <s v=""/>
    <m/>
    <s v="-"/>
    <s v="-"/>
    <x v="0"/>
    <s v="-"/>
  </r>
  <r>
    <m/>
    <d v="2024-08-14T00:00:00"/>
    <x v="12"/>
    <s v="qua"/>
    <s v="-"/>
    <m/>
    <m/>
    <m/>
    <m/>
    <s v=""/>
    <m/>
    <s v=""/>
    <x v="0"/>
    <s v=""/>
    <m/>
    <s v="-"/>
    <s v="-"/>
    <x v="0"/>
    <s v="-"/>
  </r>
  <r>
    <m/>
    <d v="2024-08-14T00:00:00"/>
    <x v="12"/>
    <s v="qua"/>
    <s v="-"/>
    <m/>
    <m/>
    <m/>
    <m/>
    <s v=""/>
    <m/>
    <s v=""/>
    <x v="0"/>
    <s v=""/>
    <m/>
    <s v="-"/>
    <s v="-"/>
    <x v="0"/>
    <s v="-"/>
  </r>
  <r>
    <m/>
    <d v="2024-08-14T00:00:00"/>
    <x v="13"/>
    <s v="qua"/>
    <s v="-"/>
    <m/>
    <m/>
    <m/>
    <m/>
    <s v=""/>
    <m/>
    <s v=""/>
    <x v="0"/>
    <s v=""/>
    <m/>
    <s v="-"/>
    <s v="-"/>
    <x v="0"/>
    <s v="-"/>
  </r>
  <r>
    <m/>
    <d v="2024-08-14T00:00:00"/>
    <x v="13"/>
    <s v="qua"/>
    <s v="-"/>
    <m/>
    <m/>
    <m/>
    <m/>
    <s v=""/>
    <m/>
    <s v=""/>
    <x v="0"/>
    <s v=""/>
    <m/>
    <s v="-"/>
    <s v="-"/>
    <x v="0"/>
    <s v="-"/>
  </r>
  <r>
    <m/>
    <d v="2024-08-14T00:00:00"/>
    <x v="14"/>
    <s v="qua"/>
    <s v="-"/>
    <m/>
    <m/>
    <m/>
    <m/>
    <s v=""/>
    <m/>
    <s v=""/>
    <x v="0"/>
    <s v=""/>
    <m/>
    <s v="-"/>
    <s v="-"/>
    <x v="0"/>
    <s v="-"/>
  </r>
  <r>
    <m/>
    <d v="2024-08-14T00:00:00"/>
    <x v="14"/>
    <s v="qua"/>
    <s v="-"/>
    <m/>
    <m/>
    <m/>
    <m/>
    <s v=""/>
    <m/>
    <s v=""/>
    <x v="0"/>
    <s v=""/>
    <m/>
    <s v="-"/>
    <s v="-"/>
    <x v="0"/>
    <s v="-"/>
  </r>
  <r>
    <m/>
    <d v="2024-08-14T00:00:00"/>
    <x v="15"/>
    <s v="qua"/>
    <s v="-"/>
    <m/>
    <m/>
    <m/>
    <m/>
    <s v=""/>
    <m/>
    <s v=""/>
    <x v="0"/>
    <s v=""/>
    <m/>
    <s v="-"/>
    <s v="-"/>
    <x v="0"/>
    <s v="-"/>
  </r>
  <r>
    <m/>
    <d v="2024-08-14T00:00:00"/>
    <x v="16"/>
    <s v="qua"/>
    <s v="-"/>
    <m/>
    <m/>
    <m/>
    <m/>
    <s v=""/>
    <m/>
    <s v=""/>
    <x v="0"/>
    <s v=""/>
    <m/>
    <s v="-"/>
    <s v="-"/>
    <x v="0"/>
    <s v="-"/>
  </r>
  <r>
    <m/>
    <d v="2024-08-14T00:00:00"/>
    <x v="16"/>
    <s v="qua"/>
    <s v="-"/>
    <m/>
    <m/>
    <m/>
    <m/>
    <s v=""/>
    <m/>
    <s v=""/>
    <x v="0"/>
    <s v=""/>
    <m/>
    <s v="-"/>
    <s v="-"/>
    <x v="0"/>
    <s v="-"/>
  </r>
  <r>
    <m/>
    <d v="2024-08-14T00:00:00"/>
    <x v="17"/>
    <s v="qua"/>
    <s v="-"/>
    <m/>
    <m/>
    <m/>
    <m/>
    <s v=""/>
    <m/>
    <s v=""/>
    <x v="0"/>
    <s v=""/>
    <m/>
    <s v="-"/>
    <s v="-"/>
    <x v="0"/>
    <s v="-"/>
  </r>
  <r>
    <m/>
    <d v="2024-08-14T00:00:00"/>
    <x v="17"/>
    <s v="qua"/>
    <s v="-"/>
    <m/>
    <m/>
    <m/>
    <m/>
    <s v=""/>
    <m/>
    <s v=""/>
    <x v="0"/>
    <s v=""/>
    <m/>
    <s v="-"/>
    <s v="-"/>
    <x v="0"/>
    <s v="-"/>
  </r>
  <r>
    <m/>
    <d v="2024-08-14T00:00:00"/>
    <x v="18"/>
    <s v="qua"/>
    <s v="-"/>
    <m/>
    <m/>
    <m/>
    <m/>
    <s v=""/>
    <m/>
    <s v=""/>
    <x v="0"/>
    <s v=""/>
    <m/>
    <s v="-"/>
    <s v="-"/>
    <x v="0"/>
    <s v="-"/>
  </r>
  <r>
    <m/>
    <d v="2024-08-14T00:00:00"/>
    <x v="19"/>
    <s v="qua"/>
    <s v="-"/>
    <m/>
    <m/>
    <m/>
    <m/>
    <s v=""/>
    <m/>
    <s v=""/>
    <x v="0"/>
    <s v=""/>
    <m/>
    <s v="-"/>
    <s v="-"/>
    <x v="0"/>
    <s v="-"/>
  </r>
  <r>
    <m/>
    <d v="2024-08-14T00:00:00"/>
    <x v="19"/>
    <s v="qua"/>
    <s v="-"/>
    <m/>
    <m/>
    <m/>
    <m/>
    <s v=""/>
    <m/>
    <s v=""/>
    <x v="0"/>
    <s v=""/>
    <m/>
    <s v="-"/>
    <s v="-"/>
    <x v="0"/>
    <s v="-"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s v="-"/>
    <s v="-"/>
    <m/>
    <m/>
    <m/>
    <m/>
    <s v=""/>
    <m/>
    <s v=""/>
    <x v="0"/>
    <s v=""/>
    <m/>
    <s v="-"/>
    <s v="-"/>
    <x v="0"/>
    <s v="-"/>
  </r>
  <r>
    <m/>
    <d v="2024-08-15T00:00:00"/>
    <x v="0"/>
    <s v="qui"/>
    <s v="-"/>
    <m/>
    <m/>
    <m/>
    <m/>
    <s v=""/>
    <m/>
    <s v=""/>
    <x v="0"/>
    <s v=""/>
    <m/>
    <s v="-"/>
    <s v="-"/>
    <x v="0"/>
    <s v="-"/>
  </r>
  <r>
    <m/>
    <d v="2024-08-15T00:00:00"/>
    <x v="0"/>
    <s v="qui"/>
    <s v="-"/>
    <m/>
    <m/>
    <m/>
    <m/>
    <s v=""/>
    <m/>
    <s v=""/>
    <x v="0"/>
    <s v=""/>
    <m/>
    <s v="-"/>
    <s v="-"/>
    <x v="0"/>
    <s v="-"/>
  </r>
  <r>
    <m/>
    <d v="2024-08-15T00:00:00"/>
    <x v="1"/>
    <s v="qui"/>
    <s v="-"/>
    <m/>
    <m/>
    <m/>
    <m/>
    <s v=""/>
    <m/>
    <s v=""/>
    <x v="0"/>
    <s v=""/>
    <m/>
    <s v="-"/>
    <s v="-"/>
    <x v="0"/>
    <s v="-"/>
  </r>
  <r>
    <m/>
    <d v="2024-08-15T00:00:00"/>
    <x v="2"/>
    <s v="qui"/>
    <s v="-"/>
    <m/>
    <m/>
    <m/>
    <m/>
    <s v=""/>
    <m/>
    <s v=""/>
    <x v="0"/>
    <s v=""/>
    <m/>
    <s v="-"/>
    <s v="-"/>
    <x v="0"/>
    <s v="-"/>
  </r>
  <r>
    <m/>
    <d v="2024-08-15T00:00:00"/>
    <x v="3"/>
    <s v="qui"/>
    <s v="-"/>
    <m/>
    <m/>
    <m/>
    <m/>
    <s v=""/>
    <m/>
    <s v=""/>
    <x v="0"/>
    <s v=""/>
    <m/>
    <s v="-"/>
    <s v="-"/>
    <x v="0"/>
    <s v="-"/>
  </r>
  <r>
    <m/>
    <d v="2024-08-15T00:00:00"/>
    <x v="3"/>
    <s v="qui"/>
    <s v="-"/>
    <m/>
    <m/>
    <m/>
    <m/>
    <s v=""/>
    <m/>
    <s v=""/>
    <x v="0"/>
    <s v=""/>
    <m/>
    <s v="-"/>
    <s v="-"/>
    <x v="0"/>
    <s v="-"/>
  </r>
  <r>
    <m/>
    <d v="2024-08-15T00:00:00"/>
    <x v="4"/>
    <s v="qui"/>
    <s v="-"/>
    <m/>
    <m/>
    <m/>
    <m/>
    <s v=""/>
    <m/>
    <s v=""/>
    <x v="0"/>
    <s v=""/>
    <m/>
    <s v="-"/>
    <s v="-"/>
    <x v="0"/>
    <s v="-"/>
  </r>
  <r>
    <m/>
    <d v="2024-08-15T00:00:00"/>
    <x v="22"/>
    <s v="qui"/>
    <s v="-"/>
    <m/>
    <m/>
    <m/>
    <m/>
    <s v=""/>
    <m/>
    <s v=""/>
    <x v="0"/>
    <s v=""/>
    <m/>
    <s v="-"/>
    <s v="-"/>
    <x v="0"/>
    <s v="-"/>
  </r>
  <r>
    <m/>
    <d v="2024-08-15T00:00:00"/>
    <x v="6"/>
    <s v="qui"/>
    <s v="-"/>
    <m/>
    <m/>
    <m/>
    <m/>
    <s v=""/>
    <m/>
    <s v=""/>
    <x v="0"/>
    <s v=""/>
    <m/>
    <s v="-"/>
    <s v="-"/>
    <x v="0"/>
    <s v="-"/>
  </r>
  <r>
    <m/>
    <d v="2024-08-15T00:00:00"/>
    <x v="7"/>
    <s v="qui"/>
    <s v="-"/>
    <m/>
    <m/>
    <m/>
    <m/>
    <s v=""/>
    <m/>
    <s v=""/>
    <x v="0"/>
    <s v=""/>
    <m/>
    <s v="-"/>
    <s v="-"/>
    <x v="0"/>
    <s v="-"/>
  </r>
  <r>
    <m/>
    <d v="2024-08-15T00:00:00"/>
    <x v="7"/>
    <s v="qui"/>
    <s v="-"/>
    <m/>
    <m/>
    <m/>
    <m/>
    <s v=""/>
    <m/>
    <s v=""/>
    <x v="0"/>
    <s v=""/>
    <m/>
    <s v="-"/>
    <s v="-"/>
    <x v="0"/>
    <s v="-"/>
  </r>
  <r>
    <m/>
    <d v="2024-08-15T00:00:00"/>
    <x v="8"/>
    <s v="qui"/>
    <s v="-"/>
    <m/>
    <m/>
    <m/>
    <m/>
    <s v=""/>
    <m/>
    <s v=""/>
    <x v="0"/>
    <s v=""/>
    <m/>
    <s v="-"/>
    <s v="-"/>
    <x v="0"/>
    <s v="-"/>
  </r>
  <r>
    <m/>
    <d v="2024-08-15T00:00:00"/>
    <x v="9"/>
    <s v="qui"/>
    <s v="-"/>
    <m/>
    <m/>
    <m/>
    <m/>
    <s v=""/>
    <m/>
    <s v=""/>
    <x v="0"/>
    <s v=""/>
    <m/>
    <s v="-"/>
    <s v="-"/>
    <x v="0"/>
    <s v="-"/>
  </r>
  <r>
    <m/>
    <d v="2024-08-15T00:00:00"/>
    <x v="10"/>
    <s v="qui"/>
    <s v="-"/>
    <m/>
    <m/>
    <m/>
    <m/>
    <s v=""/>
    <m/>
    <s v=""/>
    <x v="0"/>
    <s v=""/>
    <m/>
    <s v="-"/>
    <s v="-"/>
    <x v="0"/>
    <s v="-"/>
  </r>
  <r>
    <m/>
    <d v="2024-08-15T00:00:00"/>
    <x v="10"/>
    <s v="qui"/>
    <s v="-"/>
    <m/>
    <m/>
    <m/>
    <m/>
    <s v=""/>
    <m/>
    <s v=""/>
    <x v="0"/>
    <s v=""/>
    <m/>
    <s v="-"/>
    <s v="-"/>
    <x v="0"/>
    <s v="-"/>
  </r>
  <r>
    <m/>
    <d v="2024-08-15T00:00:00"/>
    <x v="11"/>
    <s v="qui"/>
    <s v="-"/>
    <m/>
    <m/>
    <m/>
    <m/>
    <s v=""/>
    <m/>
    <s v=""/>
    <x v="0"/>
    <s v=""/>
    <m/>
    <s v="-"/>
    <s v="-"/>
    <x v="0"/>
    <s v="-"/>
  </r>
  <r>
    <m/>
    <d v="2024-08-15T00:00:00"/>
    <x v="11"/>
    <s v="qui"/>
    <s v="-"/>
    <m/>
    <m/>
    <m/>
    <m/>
    <s v=""/>
    <m/>
    <s v=""/>
    <x v="0"/>
    <s v=""/>
    <m/>
    <s v="-"/>
    <s v="-"/>
    <x v="0"/>
    <s v="-"/>
  </r>
  <r>
    <m/>
    <d v="2024-08-15T00:00:00"/>
    <x v="12"/>
    <s v="qui"/>
    <s v="-"/>
    <m/>
    <m/>
    <m/>
    <m/>
    <s v=""/>
    <m/>
    <s v=""/>
    <x v="0"/>
    <s v=""/>
    <m/>
    <s v="-"/>
    <s v="-"/>
    <x v="0"/>
    <s v="-"/>
  </r>
  <r>
    <m/>
    <d v="2024-08-15T00:00:00"/>
    <x v="12"/>
    <s v="qui"/>
    <s v="-"/>
    <m/>
    <m/>
    <m/>
    <m/>
    <s v=""/>
    <m/>
    <s v=""/>
    <x v="0"/>
    <s v=""/>
    <m/>
    <s v="-"/>
    <s v="-"/>
    <x v="0"/>
    <s v="-"/>
  </r>
  <r>
    <m/>
    <d v="2024-08-15T00:00:00"/>
    <x v="13"/>
    <s v="qui"/>
    <s v="-"/>
    <m/>
    <m/>
    <m/>
    <m/>
    <s v=""/>
    <m/>
    <s v=""/>
    <x v="0"/>
    <s v=""/>
    <m/>
    <s v="-"/>
    <s v="-"/>
    <x v="0"/>
    <s v="-"/>
  </r>
  <r>
    <m/>
    <d v="2024-08-15T00:00:00"/>
    <x v="13"/>
    <s v="qui"/>
    <s v="-"/>
    <m/>
    <m/>
    <m/>
    <m/>
    <s v=""/>
    <m/>
    <s v=""/>
    <x v="0"/>
    <s v=""/>
    <m/>
    <s v="-"/>
    <s v="-"/>
    <x v="0"/>
    <s v="-"/>
  </r>
  <r>
    <m/>
    <d v="2024-08-15T00:00:00"/>
    <x v="14"/>
    <s v="qui"/>
    <s v="-"/>
    <m/>
    <m/>
    <m/>
    <m/>
    <s v=""/>
    <m/>
    <s v=""/>
    <x v="0"/>
    <s v=""/>
    <m/>
    <s v="-"/>
    <s v="-"/>
    <x v="0"/>
    <s v="-"/>
  </r>
  <r>
    <m/>
    <d v="2024-08-15T00:00:00"/>
    <x v="14"/>
    <s v="qui"/>
    <s v="-"/>
    <m/>
    <m/>
    <m/>
    <m/>
    <s v=""/>
    <m/>
    <s v=""/>
    <x v="0"/>
    <s v=""/>
    <m/>
    <s v="-"/>
    <s v="-"/>
    <x v="0"/>
    <s v="-"/>
  </r>
  <r>
    <m/>
    <d v="2024-08-15T00:00:00"/>
    <x v="15"/>
    <s v="qui"/>
    <s v="-"/>
    <m/>
    <m/>
    <m/>
    <m/>
    <s v=""/>
    <m/>
    <s v=""/>
    <x v="0"/>
    <s v=""/>
    <m/>
    <s v="-"/>
    <s v="-"/>
    <x v="0"/>
    <s v="-"/>
  </r>
  <r>
    <m/>
    <d v="2024-08-15T00:00:00"/>
    <x v="16"/>
    <s v="qui"/>
    <s v="-"/>
    <m/>
    <m/>
    <m/>
    <m/>
    <s v=""/>
    <m/>
    <s v=""/>
    <x v="0"/>
    <s v=""/>
    <m/>
    <s v="-"/>
    <s v="-"/>
    <x v="0"/>
    <s v="-"/>
  </r>
  <r>
    <m/>
    <d v="2024-08-15T00:00:00"/>
    <x v="16"/>
    <s v="qui"/>
    <s v="-"/>
    <m/>
    <m/>
    <m/>
    <m/>
    <s v=""/>
    <m/>
    <s v=""/>
    <x v="0"/>
    <s v=""/>
    <m/>
    <s v="-"/>
    <s v="-"/>
    <x v="0"/>
    <s v="-"/>
  </r>
  <r>
    <m/>
    <d v="2024-08-15T00:00:00"/>
    <x v="17"/>
    <s v="qui"/>
    <s v="-"/>
    <m/>
    <m/>
    <m/>
    <m/>
    <s v=""/>
    <m/>
    <s v=""/>
    <x v="0"/>
    <s v=""/>
    <m/>
    <s v="-"/>
    <s v="-"/>
    <x v="0"/>
    <s v="-"/>
  </r>
  <r>
    <m/>
    <d v="2024-08-15T00:00:00"/>
    <x v="17"/>
    <s v="qui"/>
    <s v="-"/>
    <m/>
    <m/>
    <m/>
    <m/>
    <s v=""/>
    <m/>
    <s v=""/>
    <x v="0"/>
    <s v=""/>
    <m/>
    <s v="-"/>
    <s v="-"/>
    <x v="0"/>
    <s v="-"/>
  </r>
  <r>
    <m/>
    <d v="2024-08-15T00:00:00"/>
    <x v="2"/>
    <s v="qui"/>
    <s v="-"/>
    <m/>
    <m/>
    <m/>
    <m/>
    <s v=""/>
    <m/>
    <s v=""/>
    <x v="0"/>
    <s v=""/>
    <m/>
    <s v="-"/>
    <s v="-"/>
    <x v="0"/>
    <s v="-"/>
  </r>
  <r>
    <m/>
    <d v="2024-08-15T00:00:00"/>
    <x v="23"/>
    <s v="qui"/>
    <s v="-"/>
    <m/>
    <m/>
    <m/>
    <m/>
    <s v=""/>
    <m/>
    <s v=""/>
    <x v="0"/>
    <s v=""/>
    <m/>
    <s v="-"/>
    <s v="-"/>
    <x v="0"/>
    <s v="-"/>
  </r>
  <r>
    <m/>
    <d v="2024-08-15T00:00:00"/>
    <x v="23"/>
    <s v="qui"/>
    <s v="-"/>
    <m/>
    <m/>
    <m/>
    <m/>
    <s v=""/>
    <m/>
    <s v=""/>
    <x v="0"/>
    <s v=""/>
    <m/>
    <s v="-"/>
    <s v="-"/>
    <x v="0"/>
    <s v="-"/>
  </r>
  <r>
    <m/>
    <d v="2024-08-15T00:00:00"/>
    <x v="24"/>
    <s v="qui"/>
    <s v="-"/>
    <m/>
    <m/>
    <m/>
    <m/>
    <s v=""/>
    <m/>
    <s v=""/>
    <x v="0"/>
    <s v=""/>
    <m/>
    <s v="-"/>
    <s v="-"/>
    <x v="0"/>
    <s v="-"/>
  </r>
  <r>
    <m/>
    <d v="2024-08-15T00:00:00"/>
    <x v="24"/>
    <s v="qui"/>
    <s v="-"/>
    <m/>
    <m/>
    <m/>
    <m/>
    <s v=""/>
    <m/>
    <s v=""/>
    <x v="0"/>
    <s v=""/>
    <m/>
    <s v="-"/>
    <s v="-"/>
    <x v="0"/>
    <s v="-"/>
  </r>
  <r>
    <m/>
    <m/>
    <x v="20"/>
    <m/>
    <m/>
    <m/>
    <m/>
    <m/>
    <m/>
    <m/>
    <m/>
    <m/>
    <x v="2"/>
    <m/>
    <m/>
    <s v="-"/>
    <s v="-"/>
    <x v="0"/>
    <s v="-"/>
  </r>
  <r>
    <m/>
    <d v="2024-08-16T00:00:00"/>
    <x v="0"/>
    <s v="sex"/>
    <s v="-"/>
    <m/>
    <m/>
    <m/>
    <m/>
    <s v=""/>
    <m/>
    <s v=""/>
    <x v="0"/>
    <s v=""/>
    <m/>
    <s v="-"/>
    <s v="-"/>
    <x v="0"/>
    <s v="-"/>
  </r>
  <r>
    <m/>
    <d v="2024-08-16T00:00:00"/>
    <x v="0"/>
    <s v="sex"/>
    <s v="-"/>
    <m/>
    <m/>
    <m/>
    <m/>
    <s v=""/>
    <m/>
    <s v=""/>
    <x v="0"/>
    <s v=""/>
    <m/>
    <s v="-"/>
    <s v="-"/>
    <x v="0"/>
    <s v="-"/>
  </r>
  <r>
    <m/>
    <d v="2024-08-16T00:00:00"/>
    <x v="1"/>
    <s v="sex"/>
    <s v="-"/>
    <m/>
    <m/>
    <m/>
    <m/>
    <s v=""/>
    <m/>
    <s v=""/>
    <x v="0"/>
    <s v=""/>
    <m/>
    <s v="-"/>
    <s v="-"/>
    <x v="0"/>
    <s v="-"/>
  </r>
  <r>
    <m/>
    <d v="2024-08-16T00:00:00"/>
    <x v="2"/>
    <s v="sex"/>
    <s v="-"/>
    <m/>
    <m/>
    <m/>
    <m/>
    <s v=""/>
    <m/>
    <s v=""/>
    <x v="0"/>
    <s v=""/>
    <m/>
    <s v="-"/>
    <s v="-"/>
    <x v="0"/>
    <s v="-"/>
  </r>
  <r>
    <m/>
    <d v="2024-08-16T00:00:00"/>
    <x v="3"/>
    <s v="sex"/>
    <s v="-"/>
    <m/>
    <m/>
    <m/>
    <m/>
    <s v=""/>
    <m/>
    <s v=""/>
    <x v="0"/>
    <s v=""/>
    <m/>
    <s v="-"/>
    <s v="-"/>
    <x v="0"/>
    <s v="-"/>
  </r>
  <r>
    <m/>
    <d v="2024-08-16T00:00:00"/>
    <x v="3"/>
    <s v="sex"/>
    <s v="-"/>
    <m/>
    <m/>
    <m/>
    <m/>
    <s v=""/>
    <m/>
    <s v=""/>
    <x v="0"/>
    <s v=""/>
    <m/>
    <s v="-"/>
    <s v="-"/>
    <x v="0"/>
    <s v="-"/>
  </r>
  <r>
    <m/>
    <d v="2024-08-16T00:00:00"/>
    <x v="4"/>
    <s v="sex"/>
    <s v="-"/>
    <m/>
    <m/>
    <m/>
    <m/>
    <s v=""/>
    <m/>
    <s v=""/>
    <x v="0"/>
    <s v=""/>
    <m/>
    <s v="-"/>
    <s v="-"/>
    <x v="0"/>
    <s v="-"/>
  </r>
  <r>
    <m/>
    <d v="2024-08-16T00:00:00"/>
    <x v="22"/>
    <s v="sex"/>
    <s v="-"/>
    <m/>
    <m/>
    <m/>
    <m/>
    <s v=""/>
    <m/>
    <s v=""/>
    <x v="0"/>
    <s v=""/>
    <m/>
    <s v="-"/>
    <s v="-"/>
    <x v="0"/>
    <s v="-"/>
  </r>
  <r>
    <m/>
    <d v="2024-08-16T00:00:00"/>
    <x v="6"/>
    <s v="sex"/>
    <s v="-"/>
    <m/>
    <m/>
    <m/>
    <m/>
    <s v=""/>
    <m/>
    <s v=""/>
    <x v="0"/>
    <s v=""/>
    <m/>
    <s v="-"/>
    <s v="-"/>
    <x v="0"/>
    <s v="-"/>
  </r>
  <r>
    <m/>
    <d v="2024-08-16T00:00:00"/>
    <x v="6"/>
    <s v="sex"/>
    <s v="-"/>
    <m/>
    <m/>
    <m/>
    <m/>
    <s v=""/>
    <m/>
    <s v=""/>
    <x v="0"/>
    <s v=""/>
    <m/>
    <s v="-"/>
    <s v="-"/>
    <x v="0"/>
    <s v="-"/>
  </r>
  <r>
    <m/>
    <d v="2024-08-16T00:00:00"/>
    <x v="7"/>
    <s v="sex"/>
    <s v="-"/>
    <m/>
    <m/>
    <m/>
    <m/>
    <s v=""/>
    <m/>
    <s v=""/>
    <x v="0"/>
    <s v=""/>
    <m/>
    <s v="-"/>
    <s v="-"/>
    <x v="0"/>
    <s v="-"/>
  </r>
  <r>
    <m/>
    <d v="2024-08-16T00:00:00"/>
    <x v="7"/>
    <s v="sex"/>
    <s v="-"/>
    <m/>
    <m/>
    <m/>
    <m/>
    <s v=""/>
    <m/>
    <s v=""/>
    <x v="0"/>
    <s v=""/>
    <m/>
    <s v="-"/>
    <s v="-"/>
    <x v="0"/>
    <s v="-"/>
  </r>
  <r>
    <m/>
    <d v="2024-08-16T00:00:00"/>
    <x v="8"/>
    <s v="sex"/>
    <s v="-"/>
    <m/>
    <m/>
    <m/>
    <m/>
    <s v=""/>
    <m/>
    <s v=""/>
    <x v="0"/>
    <s v=""/>
    <m/>
    <s v="-"/>
    <s v="-"/>
    <x v="0"/>
    <s v="-"/>
  </r>
  <r>
    <m/>
    <d v="2024-08-16T00:00:00"/>
    <x v="9"/>
    <s v="sex"/>
    <s v="-"/>
    <m/>
    <m/>
    <m/>
    <m/>
    <s v=""/>
    <m/>
    <s v=""/>
    <x v="0"/>
    <s v=""/>
    <m/>
    <s v="-"/>
    <s v="-"/>
    <x v="0"/>
    <s v="-"/>
  </r>
  <r>
    <m/>
    <d v="2024-08-16T00:00:00"/>
    <x v="10"/>
    <s v="sex"/>
    <s v="-"/>
    <m/>
    <m/>
    <m/>
    <m/>
    <s v=""/>
    <m/>
    <s v=""/>
    <x v="0"/>
    <s v=""/>
    <m/>
    <s v="-"/>
    <s v="-"/>
    <x v="0"/>
    <s v="-"/>
  </r>
  <r>
    <m/>
    <d v="2024-08-16T00:00:00"/>
    <x v="10"/>
    <s v="sex"/>
    <s v="-"/>
    <m/>
    <m/>
    <m/>
    <m/>
    <s v=""/>
    <m/>
    <s v=""/>
    <x v="0"/>
    <s v=""/>
    <m/>
    <s v="-"/>
    <s v="-"/>
    <x v="0"/>
    <s v="-"/>
  </r>
  <r>
    <m/>
    <d v="2024-08-16T00:00:00"/>
    <x v="11"/>
    <s v="sex"/>
    <s v="-"/>
    <m/>
    <m/>
    <m/>
    <m/>
    <s v=""/>
    <m/>
    <s v=""/>
    <x v="0"/>
    <s v=""/>
    <m/>
    <s v="-"/>
    <s v="-"/>
    <x v="0"/>
    <s v="-"/>
  </r>
  <r>
    <m/>
    <d v="2024-08-16T00:00:00"/>
    <x v="11"/>
    <s v="sex"/>
    <s v="-"/>
    <m/>
    <m/>
    <m/>
    <m/>
    <s v=""/>
    <m/>
    <s v=""/>
    <x v="0"/>
    <s v=""/>
    <m/>
    <s v="-"/>
    <s v="-"/>
    <x v="0"/>
    <s v="-"/>
  </r>
  <r>
    <m/>
    <d v="2024-08-16T00:00:00"/>
    <x v="12"/>
    <s v="sex"/>
    <s v="-"/>
    <m/>
    <m/>
    <m/>
    <m/>
    <s v=""/>
    <m/>
    <s v=""/>
    <x v="0"/>
    <s v=""/>
    <m/>
    <s v="-"/>
    <s v="-"/>
    <x v="0"/>
    <s v="-"/>
  </r>
  <r>
    <m/>
    <d v="2024-08-16T00:00:00"/>
    <x v="12"/>
    <s v="sex"/>
    <s v="-"/>
    <m/>
    <m/>
    <m/>
    <m/>
    <s v=""/>
    <m/>
    <s v=""/>
    <x v="0"/>
    <s v=""/>
    <m/>
    <s v="-"/>
    <s v="-"/>
    <x v="0"/>
    <s v="-"/>
  </r>
  <r>
    <m/>
    <d v="2024-08-16T00:00:00"/>
    <x v="13"/>
    <s v="sex"/>
    <s v="-"/>
    <m/>
    <m/>
    <m/>
    <m/>
    <s v=""/>
    <m/>
    <s v=""/>
    <x v="0"/>
    <s v=""/>
    <m/>
    <s v="-"/>
    <s v="-"/>
    <x v="0"/>
    <s v="-"/>
  </r>
  <r>
    <m/>
    <d v="2024-08-16T00:00:00"/>
    <x v="13"/>
    <s v="sex"/>
    <s v="-"/>
    <m/>
    <m/>
    <m/>
    <m/>
    <s v=""/>
    <m/>
    <s v=""/>
    <x v="0"/>
    <s v=""/>
    <m/>
    <s v="-"/>
    <s v="-"/>
    <x v="0"/>
    <s v="-"/>
  </r>
  <r>
    <m/>
    <d v="2024-08-16T00:00:00"/>
    <x v="14"/>
    <s v="sex"/>
    <s v="-"/>
    <m/>
    <m/>
    <m/>
    <m/>
    <s v=""/>
    <m/>
    <s v=""/>
    <x v="0"/>
    <s v=""/>
    <m/>
    <s v="-"/>
    <s v="-"/>
    <x v="0"/>
    <s v="-"/>
  </r>
  <r>
    <m/>
    <d v="2024-08-16T00:00:00"/>
    <x v="14"/>
    <s v="sex"/>
    <s v="-"/>
    <m/>
    <m/>
    <m/>
    <m/>
    <s v=""/>
    <m/>
    <s v=""/>
    <x v="0"/>
    <s v=""/>
    <m/>
    <s v="-"/>
    <s v="-"/>
    <x v="0"/>
    <s v="-"/>
  </r>
  <r>
    <m/>
    <d v="2024-08-16T00:00:00"/>
    <x v="15"/>
    <s v="sex"/>
    <s v="-"/>
    <m/>
    <m/>
    <m/>
    <m/>
    <s v=""/>
    <m/>
    <s v=""/>
    <x v="0"/>
    <s v=""/>
    <m/>
    <s v="-"/>
    <s v="-"/>
    <x v="0"/>
    <s v="-"/>
  </r>
  <r>
    <m/>
    <d v="2024-08-16T00:00:00"/>
    <x v="16"/>
    <s v="sex"/>
    <s v="-"/>
    <m/>
    <m/>
    <m/>
    <m/>
    <s v=""/>
    <m/>
    <s v=""/>
    <x v="0"/>
    <s v=""/>
    <m/>
    <s v="-"/>
    <s v="-"/>
    <x v="0"/>
    <s v="-"/>
  </r>
  <r>
    <m/>
    <d v="2024-08-16T00:00:00"/>
    <x v="16"/>
    <s v="sex"/>
    <s v="-"/>
    <m/>
    <m/>
    <m/>
    <m/>
    <s v=""/>
    <m/>
    <s v=""/>
    <x v="0"/>
    <s v=""/>
    <m/>
    <s v="-"/>
    <s v="-"/>
    <x v="0"/>
    <s v="-"/>
  </r>
  <r>
    <m/>
    <d v="2024-08-16T00:00:00"/>
    <x v="17"/>
    <s v="sex"/>
    <s v="-"/>
    <m/>
    <m/>
    <m/>
    <m/>
    <s v=""/>
    <m/>
    <s v=""/>
    <x v="0"/>
    <s v=""/>
    <m/>
    <s v="-"/>
    <s v="-"/>
    <x v="0"/>
    <s v="-"/>
  </r>
  <r>
    <m/>
    <d v="2024-08-16T00:00:00"/>
    <x v="17"/>
    <s v="sex"/>
    <s v="-"/>
    <m/>
    <m/>
    <m/>
    <m/>
    <s v=""/>
    <m/>
    <s v=""/>
    <x v="0"/>
    <s v=""/>
    <m/>
    <s v="-"/>
    <s v="-"/>
    <x v="0"/>
    <s v="-"/>
  </r>
  <r>
    <m/>
    <d v="2024-08-16T00:00:00"/>
    <x v="2"/>
    <s v="sex"/>
    <s v="-"/>
    <m/>
    <m/>
    <m/>
    <m/>
    <s v=""/>
    <m/>
    <s v=""/>
    <x v="0"/>
    <s v=""/>
    <m/>
    <s v="-"/>
    <s v="-"/>
    <x v="0"/>
    <s v="-"/>
  </r>
  <r>
    <m/>
    <d v="2024-08-16T00:00:00"/>
    <x v="23"/>
    <s v="sex"/>
    <s v="-"/>
    <m/>
    <m/>
    <m/>
    <m/>
    <s v=""/>
    <m/>
    <s v=""/>
    <x v="0"/>
    <s v=""/>
    <m/>
    <s v="-"/>
    <s v="-"/>
    <x v="0"/>
    <s v="-"/>
  </r>
  <r>
    <m/>
    <d v="2024-08-16T00:00:00"/>
    <x v="23"/>
    <s v="sex"/>
    <s v="-"/>
    <m/>
    <m/>
    <m/>
    <m/>
    <s v=""/>
    <m/>
    <s v=""/>
    <x v="0"/>
    <s v=""/>
    <m/>
    <s v="-"/>
    <s v="-"/>
    <x v="0"/>
    <s v="-"/>
  </r>
  <r>
    <m/>
    <d v="2024-08-16T00:00:00"/>
    <x v="24"/>
    <s v="sex"/>
    <s v="-"/>
    <m/>
    <m/>
    <m/>
    <m/>
    <s v=""/>
    <m/>
    <s v=""/>
    <x v="0"/>
    <s v=""/>
    <m/>
    <s v="-"/>
    <s v="-"/>
    <x v="0"/>
    <s v="-"/>
  </r>
  <r>
    <m/>
    <d v="2024-08-16T00:00:00"/>
    <x v="24"/>
    <s v="sex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d v="2024-08-17T00:00:00"/>
    <x v="0"/>
    <s v="sáb"/>
    <s v="-"/>
    <m/>
    <m/>
    <m/>
    <m/>
    <s v=""/>
    <m/>
    <s v=""/>
    <x v="0"/>
    <s v=""/>
    <m/>
    <s v="-"/>
    <s v="-"/>
    <x v="0"/>
    <s v="-"/>
  </r>
  <r>
    <m/>
    <d v="2024-08-17T00:00:00"/>
    <x v="0"/>
    <s v="sáb"/>
    <s v="-"/>
    <m/>
    <m/>
    <m/>
    <m/>
    <s v=""/>
    <m/>
    <s v=""/>
    <x v="0"/>
    <s v=""/>
    <m/>
    <s v="-"/>
    <s v="-"/>
    <x v="0"/>
    <s v="-"/>
  </r>
  <r>
    <m/>
    <d v="2024-08-17T00:00:00"/>
    <x v="1"/>
    <s v="sáb"/>
    <s v="-"/>
    <m/>
    <m/>
    <m/>
    <m/>
    <s v=""/>
    <m/>
    <s v=""/>
    <x v="0"/>
    <s v=""/>
    <m/>
    <s v="-"/>
    <s v="-"/>
    <x v="0"/>
    <s v="-"/>
  </r>
  <r>
    <m/>
    <d v="2024-08-17T00:00:00"/>
    <x v="7"/>
    <s v="sáb"/>
    <s v="-"/>
    <m/>
    <m/>
    <m/>
    <m/>
    <s v=""/>
    <m/>
    <s v=""/>
    <x v="0"/>
    <s v=""/>
    <m/>
    <s v="-"/>
    <s v="-"/>
    <x v="0"/>
    <s v="-"/>
  </r>
  <r>
    <m/>
    <d v="2024-08-17T00:00:00"/>
    <x v="3"/>
    <s v="sáb"/>
    <s v="-"/>
    <m/>
    <m/>
    <m/>
    <m/>
    <s v=""/>
    <m/>
    <s v=""/>
    <x v="0"/>
    <s v=""/>
    <m/>
    <s v="-"/>
    <s v="-"/>
    <x v="0"/>
    <s v="-"/>
  </r>
  <r>
    <m/>
    <d v="2024-08-17T00:00:00"/>
    <x v="3"/>
    <s v="sáb"/>
    <s v="-"/>
    <m/>
    <m/>
    <m/>
    <m/>
    <s v=""/>
    <m/>
    <s v=""/>
    <x v="0"/>
    <s v=""/>
    <m/>
    <s v="-"/>
    <s v="-"/>
    <x v="0"/>
    <s v="-"/>
  </r>
  <r>
    <m/>
    <d v="2024-08-17T00:00:00"/>
    <x v="4"/>
    <s v="sáb"/>
    <s v="-"/>
    <m/>
    <m/>
    <m/>
    <m/>
    <s v=""/>
    <m/>
    <s v=""/>
    <x v="0"/>
    <s v=""/>
    <m/>
    <s v="-"/>
    <s v="-"/>
    <x v="0"/>
    <s v="-"/>
  </r>
  <r>
    <m/>
    <d v="2024-08-17T00:00:00"/>
    <x v="22"/>
    <s v="sáb"/>
    <s v="-"/>
    <m/>
    <m/>
    <m/>
    <m/>
    <s v=""/>
    <m/>
    <s v=""/>
    <x v="0"/>
    <s v=""/>
    <m/>
    <s v="-"/>
    <s v="-"/>
    <x v="0"/>
    <s v="-"/>
  </r>
  <r>
    <m/>
    <d v="2024-08-17T00:00:00"/>
    <x v="6"/>
    <s v="sáb"/>
    <s v="-"/>
    <m/>
    <m/>
    <m/>
    <m/>
    <s v=""/>
    <m/>
    <s v=""/>
    <x v="0"/>
    <s v=""/>
    <m/>
    <s v="-"/>
    <s v="-"/>
    <x v="0"/>
    <s v="-"/>
  </r>
  <r>
    <m/>
    <d v="2024-08-17T00:00:00"/>
    <x v="7"/>
    <s v="sáb"/>
    <s v="-"/>
    <m/>
    <m/>
    <m/>
    <m/>
    <s v=""/>
    <m/>
    <s v=""/>
    <x v="0"/>
    <s v=""/>
    <m/>
    <s v="-"/>
    <s v="-"/>
    <x v="0"/>
    <s v="-"/>
  </r>
  <r>
    <m/>
    <d v="2024-08-17T00:00:00"/>
    <x v="7"/>
    <s v="sáb"/>
    <s v="-"/>
    <m/>
    <m/>
    <m/>
    <m/>
    <s v=""/>
    <m/>
    <s v=""/>
    <x v="0"/>
    <s v=""/>
    <m/>
    <s v="-"/>
    <s v="-"/>
    <x v="0"/>
    <s v="-"/>
  </r>
  <r>
    <m/>
    <d v="2024-08-17T00:00:00"/>
    <x v="8"/>
    <s v="sáb"/>
    <s v="-"/>
    <m/>
    <m/>
    <m/>
    <m/>
    <s v=""/>
    <m/>
    <s v=""/>
    <x v="0"/>
    <s v=""/>
    <m/>
    <s v="-"/>
    <s v="-"/>
    <x v="0"/>
    <s v="-"/>
  </r>
  <r>
    <m/>
    <d v="2024-08-17T00:00:00"/>
    <x v="9"/>
    <s v="sáb"/>
    <s v="-"/>
    <m/>
    <m/>
    <m/>
    <m/>
    <s v=""/>
    <m/>
    <s v=""/>
    <x v="0"/>
    <s v=""/>
    <m/>
    <s v="-"/>
    <s v="-"/>
    <x v="0"/>
    <s v="-"/>
  </r>
  <r>
    <m/>
    <d v="2024-08-17T00:00:00"/>
    <x v="10"/>
    <s v="sáb"/>
    <s v="-"/>
    <m/>
    <m/>
    <m/>
    <m/>
    <s v=""/>
    <m/>
    <s v=""/>
    <x v="0"/>
    <s v=""/>
    <m/>
    <s v="-"/>
    <s v="-"/>
    <x v="0"/>
    <s v="-"/>
  </r>
  <r>
    <m/>
    <d v="2024-08-17T00:00:00"/>
    <x v="10"/>
    <s v="sáb"/>
    <s v="-"/>
    <m/>
    <m/>
    <m/>
    <m/>
    <s v=""/>
    <m/>
    <s v=""/>
    <x v="0"/>
    <s v=""/>
    <m/>
    <s v="-"/>
    <s v="-"/>
    <x v="0"/>
    <s v="-"/>
  </r>
  <r>
    <m/>
    <d v="2024-08-17T00:00:00"/>
    <x v="11"/>
    <s v="sáb"/>
    <s v="-"/>
    <m/>
    <m/>
    <m/>
    <m/>
    <s v=""/>
    <m/>
    <s v=""/>
    <x v="0"/>
    <s v=""/>
    <m/>
    <s v="-"/>
    <s v="-"/>
    <x v="0"/>
    <s v="-"/>
  </r>
  <r>
    <m/>
    <d v="2024-08-17T00:00:00"/>
    <x v="11"/>
    <s v="sáb"/>
    <s v="-"/>
    <m/>
    <m/>
    <m/>
    <m/>
    <s v=""/>
    <m/>
    <s v=""/>
    <x v="0"/>
    <s v=""/>
    <m/>
    <s v="-"/>
    <s v="-"/>
    <x v="0"/>
    <s v="-"/>
  </r>
  <r>
    <m/>
    <d v="2024-08-17T00:00:00"/>
    <x v="12"/>
    <s v="sáb"/>
    <s v="-"/>
    <m/>
    <m/>
    <m/>
    <m/>
    <s v=""/>
    <m/>
    <s v=""/>
    <x v="0"/>
    <s v=""/>
    <m/>
    <s v="-"/>
    <s v="-"/>
    <x v="0"/>
    <s v="-"/>
  </r>
  <r>
    <m/>
    <d v="2024-08-17T00:00:00"/>
    <x v="12"/>
    <s v="sáb"/>
    <s v="-"/>
    <m/>
    <m/>
    <m/>
    <m/>
    <s v=""/>
    <m/>
    <s v=""/>
    <x v="0"/>
    <s v=""/>
    <m/>
    <s v="-"/>
    <s v="-"/>
    <x v="0"/>
    <s v="-"/>
  </r>
  <r>
    <m/>
    <d v="2024-08-17T00:00:00"/>
    <x v="13"/>
    <s v="sáb"/>
    <s v="-"/>
    <m/>
    <m/>
    <m/>
    <m/>
    <s v=""/>
    <m/>
    <s v=""/>
    <x v="0"/>
    <s v=""/>
    <m/>
    <s v="-"/>
    <s v="-"/>
    <x v="0"/>
    <s v="-"/>
  </r>
  <r>
    <m/>
    <d v="2024-08-17T00:00:00"/>
    <x v="13"/>
    <s v="sáb"/>
    <s v="-"/>
    <m/>
    <m/>
    <m/>
    <m/>
    <s v=""/>
    <m/>
    <s v=""/>
    <x v="0"/>
    <s v=""/>
    <m/>
    <s v="-"/>
    <s v="-"/>
    <x v="0"/>
    <s v="-"/>
  </r>
  <r>
    <m/>
    <d v="2024-08-17T00:00:00"/>
    <x v="14"/>
    <s v="sáb"/>
    <s v="-"/>
    <m/>
    <m/>
    <m/>
    <m/>
    <s v=""/>
    <m/>
    <s v=""/>
    <x v="0"/>
    <s v=""/>
    <m/>
    <s v="-"/>
    <s v="-"/>
    <x v="0"/>
    <s v="-"/>
  </r>
  <r>
    <m/>
    <d v="2024-08-17T00:00:00"/>
    <x v="14"/>
    <s v="sáb"/>
    <s v="-"/>
    <m/>
    <m/>
    <m/>
    <m/>
    <s v=""/>
    <m/>
    <s v=""/>
    <x v="0"/>
    <s v=""/>
    <m/>
    <s v="-"/>
    <s v="-"/>
    <x v="0"/>
    <s v="-"/>
  </r>
  <r>
    <m/>
    <d v="2024-08-17T00:00:00"/>
    <x v="15"/>
    <s v="sáb"/>
    <s v="-"/>
    <m/>
    <m/>
    <m/>
    <m/>
    <s v=""/>
    <m/>
    <s v=""/>
    <x v="0"/>
    <s v=""/>
    <m/>
    <s v="-"/>
    <s v="-"/>
    <x v="0"/>
    <s v="-"/>
  </r>
  <r>
    <m/>
    <d v="2024-08-17T00:00:00"/>
    <x v="16"/>
    <s v="sáb"/>
    <s v="-"/>
    <m/>
    <m/>
    <m/>
    <m/>
    <s v=""/>
    <m/>
    <s v=""/>
    <x v="0"/>
    <s v=""/>
    <m/>
    <s v="-"/>
    <s v="-"/>
    <x v="0"/>
    <s v="-"/>
  </r>
  <r>
    <m/>
    <d v="2024-08-17T00:00:00"/>
    <x v="16"/>
    <s v="sáb"/>
    <s v="-"/>
    <m/>
    <m/>
    <m/>
    <m/>
    <s v=""/>
    <m/>
    <s v=""/>
    <x v="0"/>
    <s v=""/>
    <m/>
    <s v="-"/>
    <s v="-"/>
    <x v="0"/>
    <s v="-"/>
  </r>
  <r>
    <m/>
    <d v="2024-08-17T00:00:00"/>
    <x v="17"/>
    <s v="sáb"/>
    <s v="-"/>
    <m/>
    <m/>
    <m/>
    <m/>
    <s v=""/>
    <m/>
    <s v=""/>
    <x v="0"/>
    <s v=""/>
    <m/>
    <s v="-"/>
    <s v="-"/>
    <x v="0"/>
    <s v="-"/>
  </r>
  <r>
    <m/>
    <d v="2024-08-17T00:00:00"/>
    <x v="17"/>
    <s v="sáb"/>
    <s v="-"/>
    <m/>
    <m/>
    <m/>
    <m/>
    <s v=""/>
    <m/>
    <s v=""/>
    <x v="0"/>
    <s v=""/>
    <m/>
    <s v="-"/>
    <s v="-"/>
    <x v="0"/>
    <s v="-"/>
  </r>
  <r>
    <m/>
    <d v="2024-08-17T00:00:00"/>
    <x v="2"/>
    <s v="sáb"/>
    <s v="-"/>
    <m/>
    <m/>
    <m/>
    <m/>
    <s v=""/>
    <m/>
    <s v=""/>
    <x v="0"/>
    <s v=""/>
    <m/>
    <s v="-"/>
    <s v="-"/>
    <x v="0"/>
    <s v="-"/>
  </r>
  <r>
    <m/>
    <d v="2024-08-17T00:00:00"/>
    <x v="23"/>
    <s v="sáb"/>
    <s v="-"/>
    <m/>
    <m/>
    <m/>
    <m/>
    <s v=""/>
    <m/>
    <s v=""/>
    <x v="0"/>
    <s v=""/>
    <m/>
    <s v="-"/>
    <s v="-"/>
    <x v="0"/>
    <s v="-"/>
  </r>
  <r>
    <m/>
    <d v="2024-08-17T00:00:00"/>
    <x v="23"/>
    <s v="sáb"/>
    <s v="-"/>
    <m/>
    <m/>
    <m/>
    <m/>
    <s v=""/>
    <m/>
    <s v=""/>
    <x v="0"/>
    <s v=""/>
    <m/>
    <s v="-"/>
    <s v="-"/>
    <x v="0"/>
    <s v="-"/>
  </r>
  <r>
    <m/>
    <d v="2024-08-17T00:00:00"/>
    <x v="24"/>
    <s v="sáb"/>
    <s v="-"/>
    <m/>
    <m/>
    <m/>
    <m/>
    <s v=""/>
    <m/>
    <s v=""/>
    <x v="0"/>
    <s v=""/>
    <m/>
    <s v="-"/>
    <s v="-"/>
    <x v="0"/>
    <s v="-"/>
  </r>
  <r>
    <m/>
    <d v="2024-08-17T00:00:00"/>
    <x v="24"/>
    <s v="sáb"/>
    <s v="-"/>
    <m/>
    <m/>
    <m/>
    <m/>
    <s v=""/>
    <m/>
    <s v=""/>
    <x v="0"/>
    <s v=""/>
    <m/>
    <s v="-"/>
    <s v="-"/>
    <x v="0"/>
    <s v="-"/>
  </r>
  <r>
    <m/>
    <d v="2024-08-17T00:00:00"/>
    <x v="25"/>
    <s v="sáb"/>
    <s v="-"/>
    <m/>
    <m/>
    <m/>
    <m/>
    <s v=""/>
    <m/>
    <s v=""/>
    <x v="0"/>
    <s v=""/>
    <m/>
    <s v="-"/>
    <s v="-"/>
    <x v="0"/>
    <s v="-"/>
  </r>
  <r>
    <m/>
    <d v="2024-08-17T00:00:00"/>
    <x v="26"/>
    <s v="sáb"/>
    <s v="-"/>
    <m/>
    <m/>
    <m/>
    <m/>
    <s v=""/>
    <m/>
    <s v=""/>
    <x v="0"/>
    <s v=""/>
    <m/>
    <s v="-"/>
    <s v="-"/>
    <x v="0"/>
    <s v="-"/>
  </r>
  <r>
    <m/>
    <d v="2024-08-17T00:00:00"/>
    <x v="27"/>
    <s v="sáb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d v="2024-08-19T00:00:00"/>
    <x v="0"/>
    <s v="seg"/>
    <s v="-"/>
    <m/>
    <m/>
    <m/>
    <m/>
    <s v=""/>
    <m/>
    <s v=""/>
    <x v="0"/>
    <s v=""/>
    <m/>
    <s v="-"/>
    <s v="-"/>
    <x v="0"/>
    <s v="-"/>
  </r>
  <r>
    <m/>
    <d v="2024-08-19T00:00:00"/>
    <x v="0"/>
    <s v="seg"/>
    <s v="-"/>
    <m/>
    <m/>
    <m/>
    <m/>
    <s v=""/>
    <m/>
    <s v=""/>
    <x v="0"/>
    <s v=""/>
    <m/>
    <s v="-"/>
    <s v="-"/>
    <x v="0"/>
    <s v="-"/>
  </r>
  <r>
    <m/>
    <d v="2024-08-19T00:00:00"/>
    <x v="1"/>
    <s v="seg"/>
    <s v="-"/>
    <m/>
    <m/>
    <m/>
    <m/>
    <s v=""/>
    <m/>
    <s v=""/>
    <x v="0"/>
    <s v=""/>
    <m/>
    <s v="-"/>
    <s v="-"/>
    <x v="0"/>
    <s v="-"/>
  </r>
  <r>
    <m/>
    <d v="2024-08-19T00:00:00"/>
    <x v="2"/>
    <s v="seg"/>
    <s v="-"/>
    <m/>
    <m/>
    <m/>
    <m/>
    <s v=""/>
    <m/>
    <s v=""/>
    <x v="0"/>
    <s v=""/>
    <m/>
    <s v="-"/>
    <s v="-"/>
    <x v="0"/>
    <s v="-"/>
  </r>
  <r>
    <m/>
    <d v="2024-08-19T00:00:00"/>
    <x v="3"/>
    <s v="seg"/>
    <s v="-"/>
    <m/>
    <m/>
    <m/>
    <m/>
    <s v=""/>
    <m/>
    <s v=""/>
    <x v="0"/>
    <s v=""/>
    <m/>
    <s v="-"/>
    <s v="-"/>
    <x v="0"/>
    <s v="-"/>
  </r>
  <r>
    <m/>
    <d v="2024-08-19T00:00:00"/>
    <x v="3"/>
    <s v="seg"/>
    <s v="-"/>
    <m/>
    <m/>
    <m/>
    <m/>
    <s v=""/>
    <m/>
    <s v=""/>
    <x v="0"/>
    <s v=""/>
    <m/>
    <s v="-"/>
    <s v="-"/>
    <x v="0"/>
    <s v="-"/>
  </r>
  <r>
    <m/>
    <d v="2024-08-19T00:00:00"/>
    <x v="4"/>
    <s v="seg"/>
    <s v="-"/>
    <m/>
    <m/>
    <m/>
    <m/>
    <s v=""/>
    <m/>
    <s v=""/>
    <x v="0"/>
    <s v=""/>
    <m/>
    <s v="-"/>
    <s v="-"/>
    <x v="0"/>
    <s v="-"/>
  </r>
  <r>
    <m/>
    <d v="2024-08-19T00:00:00"/>
    <x v="22"/>
    <s v="seg"/>
    <s v="-"/>
    <m/>
    <m/>
    <m/>
    <m/>
    <s v=""/>
    <m/>
    <s v=""/>
    <x v="0"/>
    <s v=""/>
    <m/>
    <s v="-"/>
    <s v="-"/>
    <x v="0"/>
    <s v="-"/>
  </r>
  <r>
    <m/>
    <d v="2024-08-19T00:00:00"/>
    <x v="6"/>
    <s v="seg"/>
    <s v="-"/>
    <m/>
    <m/>
    <m/>
    <m/>
    <s v=""/>
    <m/>
    <s v=""/>
    <x v="0"/>
    <s v=""/>
    <m/>
    <s v="-"/>
    <s v="-"/>
    <x v="0"/>
    <s v="-"/>
  </r>
  <r>
    <m/>
    <d v="2024-08-19T00:00:00"/>
    <x v="7"/>
    <s v="seg"/>
    <s v="-"/>
    <m/>
    <m/>
    <m/>
    <m/>
    <s v=""/>
    <m/>
    <s v=""/>
    <x v="0"/>
    <s v=""/>
    <m/>
    <s v="-"/>
    <s v="-"/>
    <x v="0"/>
    <s v="-"/>
  </r>
  <r>
    <m/>
    <d v="2024-08-19T00:00:00"/>
    <x v="7"/>
    <s v="seg"/>
    <s v="-"/>
    <m/>
    <m/>
    <m/>
    <m/>
    <s v=""/>
    <m/>
    <s v=""/>
    <x v="0"/>
    <s v=""/>
    <m/>
    <s v="-"/>
    <s v="-"/>
    <x v="0"/>
    <s v="-"/>
  </r>
  <r>
    <m/>
    <d v="2024-08-19T00:00:00"/>
    <x v="8"/>
    <s v="seg"/>
    <s v="-"/>
    <m/>
    <m/>
    <m/>
    <m/>
    <s v=""/>
    <m/>
    <s v=""/>
    <x v="0"/>
    <s v=""/>
    <m/>
    <s v="-"/>
    <s v="-"/>
    <x v="0"/>
    <s v="-"/>
  </r>
  <r>
    <m/>
    <d v="2024-08-19T00:00:00"/>
    <x v="9"/>
    <s v="seg"/>
    <s v="-"/>
    <m/>
    <m/>
    <m/>
    <m/>
    <s v=""/>
    <m/>
    <s v=""/>
    <x v="0"/>
    <s v=""/>
    <m/>
    <s v="-"/>
    <s v="-"/>
    <x v="0"/>
    <s v="-"/>
  </r>
  <r>
    <m/>
    <d v="2024-08-19T00:00:00"/>
    <x v="10"/>
    <s v="seg"/>
    <s v="-"/>
    <m/>
    <m/>
    <m/>
    <m/>
    <s v=""/>
    <m/>
    <s v=""/>
    <x v="0"/>
    <s v=""/>
    <m/>
    <s v="-"/>
    <s v="-"/>
    <x v="0"/>
    <s v="-"/>
  </r>
  <r>
    <m/>
    <d v="2024-08-19T00:00:00"/>
    <x v="10"/>
    <s v="seg"/>
    <s v="-"/>
    <m/>
    <m/>
    <m/>
    <m/>
    <s v=""/>
    <m/>
    <s v=""/>
    <x v="0"/>
    <s v=""/>
    <m/>
    <s v="-"/>
    <s v="-"/>
    <x v="0"/>
    <s v="-"/>
  </r>
  <r>
    <m/>
    <d v="2024-08-19T00:00:00"/>
    <x v="11"/>
    <s v="seg"/>
    <s v="-"/>
    <m/>
    <m/>
    <m/>
    <m/>
    <s v=""/>
    <m/>
    <s v=""/>
    <x v="0"/>
    <s v=""/>
    <m/>
    <s v="-"/>
    <s v="-"/>
    <x v="0"/>
    <s v="-"/>
  </r>
  <r>
    <m/>
    <d v="2024-08-19T00:00:00"/>
    <x v="11"/>
    <s v="seg"/>
    <s v="-"/>
    <m/>
    <m/>
    <m/>
    <m/>
    <s v=""/>
    <m/>
    <s v=""/>
    <x v="0"/>
    <s v=""/>
    <m/>
    <s v="-"/>
    <s v="-"/>
    <x v="0"/>
    <s v="-"/>
  </r>
  <r>
    <m/>
    <d v="2024-08-19T00:00:00"/>
    <x v="12"/>
    <s v="seg"/>
    <s v="-"/>
    <m/>
    <m/>
    <m/>
    <m/>
    <s v=""/>
    <m/>
    <s v=""/>
    <x v="0"/>
    <s v=""/>
    <m/>
    <s v="-"/>
    <s v="-"/>
    <x v="0"/>
    <s v="-"/>
  </r>
  <r>
    <m/>
    <d v="2024-08-19T00:00:00"/>
    <x v="12"/>
    <s v="seg"/>
    <s v="-"/>
    <m/>
    <m/>
    <m/>
    <m/>
    <s v=""/>
    <m/>
    <s v=""/>
    <x v="0"/>
    <s v=""/>
    <m/>
    <s v="-"/>
    <s v="-"/>
    <x v="0"/>
    <s v="-"/>
  </r>
  <r>
    <m/>
    <d v="2024-08-19T00:00:00"/>
    <x v="13"/>
    <s v="seg"/>
    <s v="-"/>
    <m/>
    <m/>
    <m/>
    <m/>
    <s v=""/>
    <m/>
    <s v=""/>
    <x v="0"/>
    <s v=""/>
    <m/>
    <s v="-"/>
    <s v="-"/>
    <x v="0"/>
    <s v="-"/>
  </r>
  <r>
    <m/>
    <d v="2024-08-19T00:00:00"/>
    <x v="13"/>
    <s v="seg"/>
    <s v="-"/>
    <m/>
    <m/>
    <m/>
    <m/>
    <s v=""/>
    <m/>
    <s v=""/>
    <x v="0"/>
    <s v=""/>
    <m/>
    <s v="-"/>
    <s v="-"/>
    <x v="0"/>
    <s v="-"/>
  </r>
  <r>
    <m/>
    <d v="2024-08-19T00:00:00"/>
    <x v="14"/>
    <s v="seg"/>
    <s v="-"/>
    <m/>
    <m/>
    <m/>
    <m/>
    <s v=""/>
    <m/>
    <s v=""/>
    <x v="0"/>
    <s v=""/>
    <m/>
    <s v="-"/>
    <s v="-"/>
    <x v="0"/>
    <s v="-"/>
  </r>
  <r>
    <m/>
    <d v="2024-08-19T00:00:00"/>
    <x v="14"/>
    <s v="seg"/>
    <s v="-"/>
    <m/>
    <m/>
    <m/>
    <m/>
    <s v=""/>
    <m/>
    <s v=""/>
    <x v="0"/>
    <s v=""/>
    <m/>
    <s v="-"/>
    <s v="-"/>
    <x v="0"/>
    <s v="-"/>
  </r>
  <r>
    <m/>
    <d v="2024-08-19T00:00:00"/>
    <x v="15"/>
    <s v="seg"/>
    <s v="-"/>
    <m/>
    <m/>
    <m/>
    <m/>
    <s v=""/>
    <m/>
    <s v=""/>
    <x v="0"/>
    <s v=""/>
    <m/>
    <s v="-"/>
    <s v="-"/>
    <x v="0"/>
    <s v="-"/>
  </r>
  <r>
    <m/>
    <d v="2024-08-19T00:00:00"/>
    <x v="16"/>
    <s v="seg"/>
    <s v="-"/>
    <m/>
    <m/>
    <m/>
    <m/>
    <s v=""/>
    <m/>
    <s v=""/>
    <x v="0"/>
    <s v=""/>
    <m/>
    <s v="-"/>
    <s v="-"/>
    <x v="0"/>
    <s v="-"/>
  </r>
  <r>
    <m/>
    <d v="2024-08-19T00:00:00"/>
    <x v="16"/>
    <s v="seg"/>
    <s v="-"/>
    <m/>
    <m/>
    <m/>
    <m/>
    <s v=""/>
    <m/>
    <s v=""/>
    <x v="0"/>
    <s v=""/>
    <m/>
    <s v="-"/>
    <s v="-"/>
    <x v="0"/>
    <s v="-"/>
  </r>
  <r>
    <m/>
    <d v="2024-08-19T00:00:00"/>
    <x v="17"/>
    <s v="seg"/>
    <s v="-"/>
    <m/>
    <m/>
    <m/>
    <m/>
    <s v=""/>
    <m/>
    <s v=""/>
    <x v="0"/>
    <s v=""/>
    <m/>
    <s v="-"/>
    <s v="-"/>
    <x v="0"/>
    <s v="-"/>
  </r>
  <r>
    <m/>
    <d v="2024-08-19T00:00:00"/>
    <x v="17"/>
    <s v="seg"/>
    <s v="-"/>
    <m/>
    <m/>
    <m/>
    <m/>
    <s v=""/>
    <m/>
    <s v=""/>
    <x v="0"/>
    <s v=""/>
    <m/>
    <s v="-"/>
    <s v="-"/>
    <x v="0"/>
    <s v="-"/>
  </r>
  <r>
    <m/>
    <d v="2024-08-19T00:00:00"/>
    <x v="2"/>
    <s v="seg"/>
    <s v="-"/>
    <m/>
    <m/>
    <m/>
    <m/>
    <s v=""/>
    <m/>
    <s v=""/>
    <x v="0"/>
    <s v=""/>
    <m/>
    <s v="-"/>
    <s v="-"/>
    <x v="0"/>
    <s v="-"/>
  </r>
  <r>
    <m/>
    <d v="2024-08-19T00:00:00"/>
    <x v="23"/>
    <s v="seg"/>
    <s v="-"/>
    <m/>
    <m/>
    <m/>
    <m/>
    <s v=""/>
    <m/>
    <s v=""/>
    <x v="0"/>
    <s v=""/>
    <m/>
    <s v="-"/>
    <s v="-"/>
    <x v="0"/>
    <s v="-"/>
  </r>
  <r>
    <m/>
    <d v="2024-08-19T00:00:00"/>
    <x v="23"/>
    <s v="seg"/>
    <s v="-"/>
    <m/>
    <m/>
    <m/>
    <m/>
    <s v=""/>
    <m/>
    <s v=""/>
    <x v="0"/>
    <s v=""/>
    <m/>
    <s v="-"/>
    <s v="-"/>
    <x v="0"/>
    <s v="-"/>
  </r>
  <r>
    <m/>
    <d v="2024-08-19T00:00:00"/>
    <x v="24"/>
    <s v="seg"/>
    <s v="-"/>
    <m/>
    <m/>
    <m/>
    <m/>
    <s v=""/>
    <m/>
    <s v=""/>
    <x v="0"/>
    <s v=""/>
    <m/>
    <s v="-"/>
    <s v="-"/>
    <x v="0"/>
    <s v="-"/>
  </r>
  <r>
    <m/>
    <d v="2024-08-19T00:00:00"/>
    <x v="24"/>
    <s v="seg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d v="2024-08-20T00:00:00"/>
    <x v="0"/>
    <s v="ter"/>
    <s v="-"/>
    <m/>
    <m/>
    <m/>
    <m/>
    <s v=""/>
    <m/>
    <s v=""/>
    <x v="0"/>
    <s v=""/>
    <m/>
    <s v="-"/>
    <s v="-"/>
    <x v="0"/>
    <s v="-"/>
  </r>
  <r>
    <m/>
    <d v="2024-08-20T00:00:00"/>
    <x v="0"/>
    <s v="ter"/>
    <s v="-"/>
    <m/>
    <m/>
    <m/>
    <m/>
    <s v=""/>
    <m/>
    <s v=""/>
    <x v="0"/>
    <s v=""/>
    <m/>
    <s v="-"/>
    <s v="-"/>
    <x v="0"/>
    <s v="-"/>
  </r>
  <r>
    <m/>
    <d v="2024-08-20T00:00:00"/>
    <x v="1"/>
    <s v="ter"/>
    <s v="-"/>
    <m/>
    <m/>
    <m/>
    <m/>
    <s v=""/>
    <m/>
    <s v=""/>
    <x v="0"/>
    <s v=""/>
    <m/>
    <s v="-"/>
    <s v="-"/>
    <x v="0"/>
    <s v="-"/>
  </r>
  <r>
    <m/>
    <d v="2024-08-20T00:00:00"/>
    <x v="2"/>
    <s v="ter"/>
    <s v="-"/>
    <m/>
    <m/>
    <m/>
    <m/>
    <s v=""/>
    <m/>
    <s v=""/>
    <x v="0"/>
    <s v=""/>
    <m/>
    <s v="-"/>
    <s v="-"/>
    <x v="0"/>
    <s v="-"/>
  </r>
  <r>
    <m/>
    <d v="2024-08-20T00:00:00"/>
    <x v="3"/>
    <s v="ter"/>
    <s v="-"/>
    <m/>
    <m/>
    <m/>
    <m/>
    <s v=""/>
    <m/>
    <s v=""/>
    <x v="0"/>
    <s v=""/>
    <m/>
    <s v="-"/>
    <s v="-"/>
    <x v="0"/>
    <s v="-"/>
  </r>
  <r>
    <m/>
    <d v="2024-08-20T00:00:00"/>
    <x v="3"/>
    <s v="ter"/>
    <s v="-"/>
    <m/>
    <m/>
    <m/>
    <m/>
    <s v=""/>
    <m/>
    <s v=""/>
    <x v="0"/>
    <s v=""/>
    <m/>
    <s v="-"/>
    <s v="-"/>
    <x v="0"/>
    <s v="-"/>
  </r>
  <r>
    <m/>
    <d v="2024-08-20T00:00:00"/>
    <x v="4"/>
    <s v="ter"/>
    <s v="-"/>
    <m/>
    <m/>
    <m/>
    <m/>
    <s v=""/>
    <m/>
    <s v=""/>
    <x v="0"/>
    <s v=""/>
    <m/>
    <s v="-"/>
    <s v="-"/>
    <x v="0"/>
    <s v="-"/>
  </r>
  <r>
    <m/>
    <d v="2024-08-20T00:00:00"/>
    <x v="22"/>
    <s v="ter"/>
    <s v="-"/>
    <m/>
    <m/>
    <m/>
    <m/>
    <s v=""/>
    <m/>
    <s v=""/>
    <x v="0"/>
    <s v=""/>
    <m/>
    <s v="-"/>
    <s v="-"/>
    <x v="0"/>
    <s v="-"/>
  </r>
  <r>
    <m/>
    <d v="2024-08-20T00:00:00"/>
    <x v="6"/>
    <s v="ter"/>
    <s v="-"/>
    <m/>
    <m/>
    <m/>
    <m/>
    <s v=""/>
    <m/>
    <s v=""/>
    <x v="0"/>
    <s v=""/>
    <m/>
    <s v="-"/>
    <s v="-"/>
    <x v="0"/>
    <s v="-"/>
  </r>
  <r>
    <m/>
    <d v="2024-08-20T00:00:00"/>
    <x v="7"/>
    <s v="ter"/>
    <s v="-"/>
    <m/>
    <m/>
    <m/>
    <m/>
    <s v=""/>
    <m/>
    <s v=""/>
    <x v="0"/>
    <s v=""/>
    <m/>
    <s v="-"/>
    <s v="-"/>
    <x v="0"/>
    <s v="-"/>
  </r>
  <r>
    <m/>
    <d v="2024-08-20T00:00:00"/>
    <x v="7"/>
    <s v="ter"/>
    <s v="-"/>
    <m/>
    <m/>
    <m/>
    <m/>
    <s v=""/>
    <m/>
    <s v=""/>
    <x v="0"/>
    <s v=""/>
    <m/>
    <s v="-"/>
    <s v="-"/>
    <x v="0"/>
    <s v="-"/>
  </r>
  <r>
    <m/>
    <d v="2024-08-20T00:00:00"/>
    <x v="8"/>
    <s v="ter"/>
    <s v="-"/>
    <m/>
    <m/>
    <m/>
    <m/>
    <s v=""/>
    <m/>
    <s v=""/>
    <x v="0"/>
    <s v=""/>
    <m/>
    <s v="-"/>
    <s v="-"/>
    <x v="0"/>
    <s v="-"/>
  </r>
  <r>
    <m/>
    <d v="2024-08-20T00:00:00"/>
    <x v="9"/>
    <s v="ter"/>
    <s v="-"/>
    <m/>
    <m/>
    <m/>
    <m/>
    <s v=""/>
    <m/>
    <s v=""/>
    <x v="0"/>
    <s v=""/>
    <m/>
    <s v="-"/>
    <s v="-"/>
    <x v="0"/>
    <s v="-"/>
  </r>
  <r>
    <m/>
    <d v="2024-08-20T00:00:00"/>
    <x v="10"/>
    <s v="ter"/>
    <s v="-"/>
    <m/>
    <m/>
    <m/>
    <m/>
    <s v=""/>
    <m/>
    <s v=""/>
    <x v="0"/>
    <s v=""/>
    <m/>
    <s v="-"/>
    <s v="-"/>
    <x v="0"/>
    <s v="-"/>
  </r>
  <r>
    <m/>
    <d v="2024-08-20T00:00:00"/>
    <x v="10"/>
    <s v="ter"/>
    <s v="-"/>
    <m/>
    <m/>
    <m/>
    <m/>
    <s v=""/>
    <m/>
    <s v=""/>
    <x v="0"/>
    <s v=""/>
    <m/>
    <s v="-"/>
    <s v="-"/>
    <x v="0"/>
    <s v="-"/>
  </r>
  <r>
    <m/>
    <d v="2024-08-20T00:00:00"/>
    <x v="11"/>
    <s v="ter"/>
    <s v="-"/>
    <m/>
    <m/>
    <m/>
    <m/>
    <s v=""/>
    <m/>
    <s v=""/>
    <x v="0"/>
    <s v=""/>
    <m/>
    <s v="-"/>
    <s v="-"/>
    <x v="0"/>
    <s v="-"/>
  </r>
  <r>
    <m/>
    <d v="2024-08-20T00:00:00"/>
    <x v="11"/>
    <s v="ter"/>
    <s v="-"/>
    <m/>
    <m/>
    <m/>
    <m/>
    <s v=""/>
    <m/>
    <s v=""/>
    <x v="0"/>
    <s v=""/>
    <m/>
    <s v="-"/>
    <s v="-"/>
    <x v="0"/>
    <s v="-"/>
  </r>
  <r>
    <m/>
    <d v="2024-08-20T00:00:00"/>
    <x v="12"/>
    <s v="ter"/>
    <s v="-"/>
    <m/>
    <m/>
    <m/>
    <m/>
    <s v=""/>
    <m/>
    <s v=""/>
    <x v="0"/>
    <s v=""/>
    <m/>
    <s v="-"/>
    <s v="-"/>
    <x v="0"/>
    <s v="-"/>
  </r>
  <r>
    <m/>
    <d v="2024-08-20T00:00:00"/>
    <x v="12"/>
    <s v="ter"/>
    <s v="-"/>
    <m/>
    <m/>
    <m/>
    <m/>
    <s v=""/>
    <m/>
    <s v=""/>
    <x v="0"/>
    <s v=""/>
    <m/>
    <s v="-"/>
    <s v="-"/>
    <x v="0"/>
    <s v="-"/>
  </r>
  <r>
    <m/>
    <d v="2024-08-20T00:00:00"/>
    <x v="13"/>
    <s v="ter"/>
    <s v="-"/>
    <m/>
    <m/>
    <m/>
    <n v="190"/>
    <s v="PORTO FRANCO"/>
    <m/>
    <s v=""/>
    <x v="0"/>
    <s v=""/>
    <m/>
    <s v="-"/>
    <s v="-"/>
    <x v="3"/>
    <s v="IMPERATRIZ"/>
  </r>
  <r>
    <m/>
    <d v="2024-08-20T00:00:00"/>
    <x v="13"/>
    <s v="ter"/>
    <s v="-"/>
    <m/>
    <m/>
    <m/>
    <m/>
    <s v=""/>
    <m/>
    <s v=""/>
    <x v="0"/>
    <s v=""/>
    <m/>
    <s v="-"/>
    <s v="-"/>
    <x v="0"/>
    <s v="-"/>
  </r>
  <r>
    <m/>
    <d v="2024-08-20T00:00:00"/>
    <x v="14"/>
    <s v="ter"/>
    <s v="-"/>
    <m/>
    <m/>
    <m/>
    <m/>
    <s v=""/>
    <m/>
    <s v=""/>
    <x v="0"/>
    <s v=""/>
    <m/>
    <s v="-"/>
    <s v="-"/>
    <x v="0"/>
    <s v="-"/>
  </r>
  <r>
    <m/>
    <d v="2024-08-20T00:00:00"/>
    <x v="14"/>
    <s v="ter"/>
    <s v="-"/>
    <m/>
    <m/>
    <m/>
    <m/>
    <s v=""/>
    <m/>
    <s v=""/>
    <x v="0"/>
    <s v=""/>
    <m/>
    <s v="-"/>
    <s v="-"/>
    <x v="0"/>
    <s v="-"/>
  </r>
  <r>
    <m/>
    <d v="2024-08-20T00:00:00"/>
    <x v="13"/>
    <s v="ter"/>
    <s v="-"/>
    <m/>
    <m/>
    <m/>
    <m/>
    <s v=""/>
    <m/>
    <s v=""/>
    <x v="0"/>
    <s v=""/>
    <m/>
    <s v="-"/>
    <s v="-"/>
    <x v="0"/>
    <s v="-"/>
  </r>
  <r>
    <m/>
    <d v="2024-08-20T00:00:00"/>
    <x v="16"/>
    <s v="ter"/>
    <s v="-"/>
    <m/>
    <m/>
    <m/>
    <m/>
    <s v=""/>
    <m/>
    <s v=""/>
    <x v="0"/>
    <s v=""/>
    <m/>
    <s v="-"/>
    <s v="-"/>
    <x v="0"/>
    <s v="-"/>
  </r>
  <r>
    <m/>
    <d v="2024-08-20T00:00:00"/>
    <x v="16"/>
    <s v="ter"/>
    <s v="-"/>
    <m/>
    <m/>
    <m/>
    <m/>
    <s v=""/>
    <m/>
    <s v=""/>
    <x v="0"/>
    <s v=""/>
    <m/>
    <s v="-"/>
    <s v="-"/>
    <x v="0"/>
    <s v="-"/>
  </r>
  <r>
    <m/>
    <d v="2024-08-20T00:00:00"/>
    <x v="17"/>
    <s v="ter"/>
    <s v="-"/>
    <m/>
    <m/>
    <m/>
    <m/>
    <s v=""/>
    <m/>
    <s v=""/>
    <x v="0"/>
    <s v=""/>
    <m/>
    <s v="-"/>
    <s v="-"/>
    <x v="0"/>
    <s v="-"/>
  </r>
  <r>
    <m/>
    <d v="2024-08-20T00:00:00"/>
    <x v="17"/>
    <s v="ter"/>
    <s v="-"/>
    <m/>
    <m/>
    <m/>
    <m/>
    <s v=""/>
    <m/>
    <s v=""/>
    <x v="0"/>
    <s v=""/>
    <m/>
    <s v="-"/>
    <s v="-"/>
    <x v="0"/>
    <s v="-"/>
  </r>
  <r>
    <m/>
    <d v="2024-08-20T00:00:00"/>
    <x v="2"/>
    <s v="ter"/>
    <s v="-"/>
    <m/>
    <m/>
    <m/>
    <m/>
    <s v=""/>
    <m/>
    <s v=""/>
    <x v="0"/>
    <s v=""/>
    <m/>
    <s v="-"/>
    <s v="-"/>
    <x v="0"/>
    <s v="-"/>
  </r>
  <r>
    <m/>
    <d v="2024-08-20T00:00:00"/>
    <x v="23"/>
    <s v="ter"/>
    <s v="-"/>
    <m/>
    <m/>
    <m/>
    <m/>
    <s v=""/>
    <m/>
    <s v=""/>
    <x v="0"/>
    <s v=""/>
    <m/>
    <s v="-"/>
    <s v="-"/>
    <x v="0"/>
    <s v="-"/>
  </r>
  <r>
    <m/>
    <d v="2024-08-20T00:00:00"/>
    <x v="23"/>
    <s v="ter"/>
    <s v="-"/>
    <m/>
    <m/>
    <m/>
    <m/>
    <s v=""/>
    <m/>
    <s v=""/>
    <x v="0"/>
    <s v=""/>
    <m/>
    <s v="-"/>
    <s v="-"/>
    <x v="0"/>
    <s v="-"/>
  </r>
  <r>
    <m/>
    <d v="2024-08-20T00:00:00"/>
    <x v="24"/>
    <s v="ter"/>
    <s v="-"/>
    <m/>
    <m/>
    <m/>
    <m/>
    <s v=""/>
    <m/>
    <s v=""/>
    <x v="0"/>
    <s v=""/>
    <m/>
    <s v="-"/>
    <s v="-"/>
    <x v="0"/>
    <s v="-"/>
  </r>
  <r>
    <m/>
    <d v="2024-08-20T00:00:00"/>
    <x v="24"/>
    <s v="ter"/>
    <s v="-"/>
    <m/>
    <m/>
    <m/>
    <m/>
    <s v=""/>
    <m/>
    <s v=""/>
    <x v="0"/>
    <s v=""/>
    <m/>
    <s v="-"/>
    <s v="-"/>
    <x v="0"/>
    <s v="-"/>
  </r>
  <r>
    <m/>
    <d v="2024-08-20T00:00:00"/>
    <x v="28"/>
    <s v="ter"/>
    <s v="S.VP-01476"/>
    <m/>
    <m/>
    <m/>
    <n v="327"/>
    <s v="BABAÇULÂNDIA"/>
    <n v="590"/>
    <s v="TRANSPORTE RODOVIARIO CARRO 7 PASSAGEIROS"/>
    <x v="3"/>
    <n v="16892.54"/>
    <m/>
    <s v="-"/>
    <n v="0"/>
    <x v="4"/>
    <s v="ARAGUAINA"/>
  </r>
  <r>
    <m/>
    <d v="2024-08-20T00:00:00"/>
    <x v="29"/>
    <s v="ter"/>
    <s v="-"/>
    <m/>
    <m/>
    <m/>
    <m/>
    <s v=""/>
    <m/>
    <s v=""/>
    <x v="0"/>
    <s v=""/>
    <m/>
    <s v="-"/>
    <s v="-"/>
    <x v="0"/>
    <s v="-"/>
  </r>
  <r>
    <m/>
    <d v="2024-08-20T00:00:00"/>
    <x v="30"/>
    <s v="ter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m/>
    <x v="20"/>
    <s v="-"/>
    <s v="-"/>
    <m/>
    <m/>
    <m/>
    <m/>
    <s v=""/>
    <m/>
    <s v=""/>
    <x v="0"/>
    <s v=""/>
    <m/>
    <s v="-"/>
    <s v="-"/>
    <x v="0"/>
    <s v="-"/>
  </r>
  <r>
    <m/>
    <m/>
    <x v="20"/>
    <s v="-"/>
    <m/>
    <m/>
    <m/>
    <m/>
    <m/>
    <s v=""/>
    <m/>
    <s v=""/>
    <x v="0"/>
    <s v=""/>
    <m/>
    <s v="-"/>
    <s v="-"/>
    <x v="0"/>
    <s v="-"/>
  </r>
  <r>
    <m/>
    <m/>
    <x v="20"/>
    <s v="-"/>
    <m/>
    <m/>
    <m/>
    <m/>
    <m/>
    <s v=""/>
    <m/>
    <s v=""/>
    <x v="0"/>
    <s v=""/>
    <m/>
    <s v="-"/>
    <s v="-"/>
    <x v="0"/>
    <s v="-"/>
  </r>
  <r>
    <m/>
    <m/>
    <x v="20"/>
    <s v="-"/>
    <m/>
    <m/>
    <m/>
    <m/>
    <m/>
    <s v=""/>
    <m/>
    <s v=""/>
    <x v="0"/>
    <s v=""/>
    <m/>
    <s v="-"/>
    <s v="-"/>
    <x v="0"/>
    <s v="-"/>
  </r>
  <r>
    <m/>
    <m/>
    <x v="20"/>
    <s v="-"/>
    <m/>
    <m/>
    <m/>
    <m/>
    <m/>
    <s v=""/>
    <m/>
    <s v=""/>
    <x v="0"/>
    <s v=""/>
    <m/>
    <s v="-"/>
    <s v="-"/>
    <x v="0"/>
    <s v="-"/>
  </r>
  <r>
    <m/>
    <m/>
    <x v="20"/>
    <s v="-"/>
    <m/>
    <m/>
    <m/>
    <m/>
    <m/>
    <s v=""/>
    <m/>
    <s v=""/>
    <x v="0"/>
    <s v=""/>
    <m/>
    <s v="-"/>
    <s v="-"/>
    <x v="0"/>
    <s v="-"/>
  </r>
  <r>
    <m/>
    <m/>
    <x v="20"/>
    <s v="-"/>
    <m/>
    <m/>
    <m/>
    <m/>
    <m/>
    <s v=""/>
    <m/>
    <s v=""/>
    <x v="0"/>
    <s v=""/>
    <m/>
    <s v="-"/>
    <s v="-"/>
    <x v="0"/>
    <s v="-"/>
  </r>
  <r>
    <m/>
    <m/>
    <x v="20"/>
    <s v="-"/>
    <m/>
    <m/>
    <m/>
    <m/>
    <m/>
    <s v=""/>
    <m/>
    <s v=""/>
    <x v="0"/>
    <m/>
    <m/>
    <s v="-"/>
    <s v="-"/>
    <x v="0"/>
    <s v="-"/>
  </r>
  <r>
    <m/>
    <m/>
    <x v="20"/>
    <s v="-"/>
    <m/>
    <m/>
    <m/>
    <m/>
    <m/>
    <s v=""/>
    <m/>
    <s v=""/>
    <x v="0"/>
    <m/>
    <m/>
    <s v="-"/>
    <s v="-"/>
    <x v="0"/>
    <s v="-"/>
  </r>
  <r>
    <m/>
    <m/>
    <x v="20"/>
    <s v="-"/>
    <m/>
    <m/>
    <m/>
    <m/>
    <m/>
    <s v=""/>
    <m/>
    <s v=""/>
    <x v="0"/>
    <m/>
    <m/>
    <s v="-"/>
    <s v="-"/>
    <x v="0"/>
    <s v="-"/>
  </r>
  <r>
    <m/>
    <m/>
    <x v="20"/>
    <s v="-"/>
    <m/>
    <m/>
    <m/>
    <m/>
    <m/>
    <m/>
    <m/>
    <s v=""/>
    <x v="0"/>
    <s v=""/>
    <m/>
    <s v="-"/>
    <s v="-"/>
    <x v="0"/>
    <s v="-"/>
  </r>
  <r>
    <m/>
    <d v="2024-08-20T00:00:00"/>
    <x v="28"/>
    <s v="ter"/>
    <s v="-"/>
    <m/>
    <m/>
    <m/>
    <m/>
    <s v=""/>
    <m/>
    <s v=""/>
    <x v="0"/>
    <s v=""/>
    <m/>
    <s v="-"/>
    <s v="-"/>
    <x v="0"/>
    <s v="-"/>
  </r>
  <r>
    <m/>
    <m/>
    <x v="20"/>
    <s v="-"/>
    <m/>
    <m/>
    <s v=" "/>
    <m/>
    <m/>
    <m/>
    <m/>
    <m/>
    <x v="2"/>
    <m/>
    <m/>
    <m/>
    <m/>
    <x v="2"/>
    <m/>
  </r>
  <r>
    <m/>
    <m/>
    <x v="20"/>
    <s v="-"/>
    <m/>
    <m/>
    <m/>
    <m/>
    <m/>
    <m/>
    <m/>
    <m/>
    <x v="2"/>
    <m/>
    <m/>
    <m/>
    <m/>
    <x v="2"/>
    <m/>
  </r>
  <r>
    <m/>
    <m/>
    <x v="20"/>
    <s v="-"/>
    <m/>
    <m/>
    <m/>
    <m/>
    <s v=" "/>
    <m/>
    <m/>
    <m/>
    <x v="2"/>
    <m/>
    <m/>
    <m/>
    <m/>
    <x v="2"/>
    <m/>
  </r>
  <r>
    <m/>
    <m/>
    <x v="20"/>
    <s v="-"/>
    <m/>
    <m/>
    <m/>
    <m/>
    <m/>
    <m/>
    <m/>
    <m/>
    <x v="2"/>
    <m/>
    <m/>
    <m/>
    <m/>
    <x v="2"/>
    <m/>
  </r>
  <r>
    <m/>
    <m/>
    <x v="20"/>
    <s v="-"/>
    <m/>
    <m/>
    <m/>
    <m/>
    <m/>
    <m/>
    <m/>
    <m/>
    <x v="2"/>
    <m/>
    <m/>
    <m/>
    <m/>
    <x v="2"/>
    <m/>
  </r>
  <r>
    <m/>
    <m/>
    <x v="20"/>
    <s v="-"/>
    <m/>
    <m/>
    <m/>
    <m/>
    <m/>
    <m/>
    <m/>
    <m/>
    <x v="2"/>
    <m/>
    <m/>
    <m/>
    <m/>
    <x v="2"/>
    <m/>
  </r>
  <r>
    <m/>
    <m/>
    <x v="20"/>
    <s v="-"/>
    <m/>
    <m/>
    <m/>
    <m/>
    <m/>
    <m/>
    <m/>
    <m/>
    <x v="2"/>
    <m/>
    <m/>
    <m/>
    <m/>
    <x v="2"/>
    <m/>
  </r>
  <r>
    <m/>
    <m/>
    <x v="20"/>
    <s v="-"/>
    <m/>
    <m/>
    <m/>
    <m/>
    <m/>
    <m/>
    <m/>
    <m/>
    <x v="2"/>
    <m/>
    <m/>
    <m/>
    <m/>
    <x v="2"/>
    <m/>
  </r>
  <r>
    <m/>
    <m/>
    <x v="20"/>
    <s v="-"/>
    <m/>
    <m/>
    <m/>
    <m/>
    <m/>
    <m/>
    <m/>
    <m/>
    <x v="2"/>
    <m/>
    <m/>
    <m/>
    <m/>
    <x v="2"/>
    <m/>
  </r>
  <r>
    <m/>
    <m/>
    <x v="20"/>
    <s v="-"/>
    <m/>
    <m/>
    <m/>
    <m/>
    <m/>
    <m/>
    <m/>
    <m/>
    <x v="2"/>
    <m/>
    <m/>
    <m/>
    <m/>
    <x v="2"/>
    <m/>
  </r>
  <r>
    <m/>
    <m/>
    <x v="20"/>
    <s v="-"/>
    <m/>
    <m/>
    <m/>
    <m/>
    <m/>
    <m/>
    <m/>
    <m/>
    <x v="2"/>
    <m/>
    <m/>
    <m/>
    <m/>
    <x v="2"/>
    <m/>
  </r>
  <r>
    <m/>
    <m/>
    <x v="20"/>
    <s v="-"/>
    <m/>
    <m/>
    <m/>
    <m/>
    <m/>
    <m/>
    <m/>
    <m/>
    <x v="2"/>
    <m/>
    <m/>
    <m/>
    <m/>
    <x v="2"/>
    <m/>
  </r>
  <r>
    <m/>
    <m/>
    <x v="20"/>
    <s v="-"/>
    <m/>
    <m/>
    <m/>
    <m/>
    <m/>
    <m/>
    <m/>
    <m/>
    <x v="2"/>
    <m/>
    <m/>
    <m/>
    <m/>
    <x v="2"/>
    <m/>
  </r>
  <r>
    <m/>
    <m/>
    <x v="20"/>
    <s v="-"/>
    <m/>
    <m/>
    <m/>
    <m/>
    <m/>
    <m/>
    <m/>
    <m/>
    <x v="2"/>
    <m/>
    <s v=","/>
    <m/>
    <m/>
    <x v="2"/>
    <m/>
  </r>
  <r>
    <m/>
    <m/>
    <x v="20"/>
    <s v="-"/>
    <m/>
    <m/>
    <m/>
    <m/>
    <m/>
    <m/>
    <m/>
    <m/>
    <x v="2"/>
    <m/>
    <s v=","/>
    <m/>
    <m/>
    <x v="2"/>
    <m/>
  </r>
  <r>
    <m/>
    <m/>
    <x v="20"/>
    <s v="-"/>
    <m/>
    <m/>
    <m/>
    <m/>
    <m/>
    <m/>
    <m/>
    <m/>
    <x v="2"/>
    <m/>
    <s v=","/>
    <m/>
    <m/>
    <x v="2"/>
    <m/>
  </r>
  <r>
    <m/>
    <m/>
    <x v="20"/>
    <s v="-"/>
    <m/>
    <m/>
    <m/>
    <m/>
    <m/>
    <m/>
    <m/>
    <m/>
    <x v="2"/>
    <m/>
    <s v=","/>
    <m/>
    <m/>
    <x v="2"/>
    <m/>
  </r>
  <r>
    <m/>
    <m/>
    <x v="20"/>
    <s v="-"/>
    <m/>
    <m/>
    <m/>
    <m/>
    <m/>
    <m/>
    <m/>
    <m/>
    <x v="2"/>
    <m/>
    <s v=","/>
    <m/>
    <m/>
    <x v="2"/>
    <m/>
  </r>
  <r>
    <m/>
    <m/>
    <x v="20"/>
    <s v="-"/>
    <m/>
    <m/>
    <m/>
    <m/>
    <m/>
    <m/>
    <m/>
    <m/>
    <x v="2"/>
    <m/>
    <s v=","/>
    <m/>
    <m/>
    <x v="2"/>
    <m/>
  </r>
  <r>
    <m/>
    <m/>
    <x v="20"/>
    <s v="-"/>
    <m/>
    <m/>
    <m/>
    <m/>
    <m/>
    <m/>
    <m/>
    <m/>
    <x v="2"/>
    <m/>
    <s v=","/>
    <m/>
    <m/>
    <x v="2"/>
    <m/>
  </r>
  <r>
    <m/>
    <m/>
    <x v="20"/>
    <s v="-"/>
    <m/>
    <m/>
    <m/>
    <m/>
    <m/>
    <m/>
    <m/>
    <m/>
    <x v="2"/>
    <m/>
    <s v=","/>
    <m/>
    <m/>
    <x v="2"/>
    <m/>
  </r>
  <r>
    <m/>
    <m/>
    <x v="20"/>
    <s v="-"/>
    <m/>
    <m/>
    <m/>
    <m/>
    <m/>
    <m/>
    <m/>
    <m/>
    <x v="2"/>
    <m/>
    <s v=","/>
    <m/>
    <m/>
    <x v="2"/>
    <m/>
  </r>
  <r>
    <m/>
    <m/>
    <x v="20"/>
    <s v="-"/>
    <m/>
    <m/>
    <m/>
    <m/>
    <m/>
    <m/>
    <m/>
    <m/>
    <x v="2"/>
    <m/>
    <s v=","/>
    <m/>
    <m/>
    <x v="2"/>
    <m/>
  </r>
  <r>
    <m/>
    <m/>
    <x v="20"/>
    <s v="-"/>
    <m/>
    <m/>
    <m/>
    <m/>
    <m/>
    <m/>
    <m/>
    <m/>
    <x v="2"/>
    <m/>
    <s v=","/>
    <m/>
    <m/>
    <x v="2"/>
    <m/>
  </r>
  <r>
    <m/>
    <m/>
    <x v="20"/>
    <s v="-"/>
    <m/>
    <m/>
    <m/>
    <m/>
    <m/>
    <m/>
    <m/>
    <m/>
    <x v="2"/>
    <m/>
    <s v=","/>
    <m/>
    <m/>
    <x v="2"/>
    <m/>
  </r>
  <r>
    <m/>
    <m/>
    <x v="20"/>
    <s v="-"/>
    <m/>
    <m/>
    <m/>
    <m/>
    <m/>
    <m/>
    <m/>
    <m/>
    <x v="2"/>
    <m/>
    <s v=","/>
    <m/>
    <m/>
    <x v="2"/>
    <m/>
  </r>
  <r>
    <m/>
    <m/>
    <x v="20"/>
    <s v="-"/>
    <m/>
    <m/>
    <m/>
    <m/>
    <m/>
    <m/>
    <m/>
    <m/>
    <x v="2"/>
    <m/>
    <s v=","/>
    <m/>
    <m/>
    <x v="2"/>
    <m/>
  </r>
  <r>
    <m/>
    <m/>
    <x v="20"/>
    <s v="-"/>
    <m/>
    <m/>
    <m/>
    <m/>
    <m/>
    <m/>
    <m/>
    <m/>
    <x v="2"/>
    <m/>
    <s v=","/>
    <m/>
    <m/>
    <x v="2"/>
    <m/>
  </r>
  <r>
    <m/>
    <m/>
    <x v="20"/>
    <s v="-"/>
    <m/>
    <m/>
    <m/>
    <m/>
    <m/>
    <m/>
    <m/>
    <m/>
    <x v="2"/>
    <m/>
    <s v=","/>
    <m/>
    <m/>
    <x v="2"/>
    <m/>
  </r>
  <r>
    <m/>
    <m/>
    <x v="20"/>
    <m/>
    <m/>
    <m/>
    <m/>
    <m/>
    <m/>
    <s v=""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  <r>
    <m/>
    <m/>
    <x v="20"/>
    <m/>
    <m/>
    <m/>
    <m/>
    <m/>
    <m/>
    <m/>
    <m/>
    <m/>
    <x v="2"/>
    <m/>
    <m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05E81-CBAB-44AC-A87D-B3EBC82EBEFA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I4:K36" firstHeaderRow="0" firstDataRow="1" firstDataCol="1" rowPageCount="2" colPageCount="1"/>
  <pivotFields count="19">
    <pivotField showAll="0"/>
    <pivotField showAll="0"/>
    <pivotField axis="axisRow" showAll="0" sortType="ascending" defaultSubtotal="0">
      <items count="46">
        <item m="1" x="33"/>
        <item m="1" x="35"/>
        <item m="1" x="38"/>
        <item m="1" x="40"/>
        <item m="1" x="39"/>
        <item m="1" x="36"/>
        <item m="1" x="41"/>
        <item x="4"/>
        <item x="5"/>
        <item x="6"/>
        <item x="7"/>
        <item x="8"/>
        <item x="22"/>
        <item m="1" x="31"/>
        <item x="3"/>
        <item x="23"/>
        <item x="24"/>
        <item x="18"/>
        <item x="19"/>
        <item x="10"/>
        <item x="15"/>
        <item x="14"/>
        <item x="12"/>
        <item m="1" x="34"/>
        <item x="21"/>
        <item x="16"/>
        <item m="1" x="44"/>
        <item x="9"/>
        <item m="1" x="37"/>
        <item x="13"/>
        <item m="1" x="32"/>
        <item m="1" x="45"/>
        <item x="2"/>
        <item x="0"/>
        <item x="1"/>
        <item x="11"/>
        <item x="17"/>
        <item m="1" x="42"/>
        <item m="1" x="43"/>
        <item x="25"/>
        <item x="26"/>
        <item x="27"/>
        <item x="29"/>
        <item x="30"/>
        <item x="28"/>
        <item x="2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axis="axisPage" showAll="0" defaultSubtotal="0">
      <items count="8">
        <item x="0"/>
        <item m="1" x="6"/>
        <item m="1" x="5"/>
        <item x="3"/>
        <item x="2"/>
        <item m="1" x="7"/>
        <item m="1" x="4"/>
        <item x="1"/>
      </items>
    </pivotField>
    <pivotField showAll="0"/>
    <pivotField dataField="1" showAll="0"/>
    <pivotField showAll="0"/>
    <pivotField dataField="1" showAll="0"/>
    <pivotField axis="axisPage" multipleItemSelectionAllowed="1" showAll="0" defaultSubtotal="0">
      <items count="5">
        <item x="0"/>
        <item x="3"/>
        <item x="4"/>
        <item x="1"/>
        <item x="2"/>
      </items>
    </pivotField>
    <pivotField showAll="0"/>
  </pivotFields>
  <rowFields count="1">
    <field x="2"/>
  </rowFields>
  <rowItems count="32"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4"/>
    </i>
    <i>
      <x v="25"/>
    </i>
    <i>
      <x v="27"/>
    </i>
    <i>
      <x v="29"/>
    </i>
    <i>
      <x v="32"/>
    </i>
    <i>
      <x v="33"/>
    </i>
    <i>
      <x v="34"/>
    </i>
    <i>
      <x v="35"/>
    </i>
    <i>
      <x v="36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-2"/>
  </colFields>
  <colItems count="2">
    <i>
      <x/>
    </i>
    <i i="1">
      <x v="1"/>
    </i>
  </colItems>
  <pageFields count="2">
    <pageField fld="17" hier="-1"/>
    <pageField fld="12" hier="-1"/>
  </pageFields>
  <dataFields count="2">
    <dataField name="Soma de Quant. De Hrs" fld="14" baseField="0" baseItem="0"/>
    <dataField name="Soma de TOTAL (R$)" fld="16" baseField="2" baseItem="1" numFmtId="44"/>
  </dataFields>
  <formats count="13">
    <format dxfId="14">
      <pivotArea outline="0" collapsedLevelsAreSubtotals="1" fieldPosition="0"/>
    </format>
    <format dxfId="13">
      <pivotArea dataOnly="0" labelOnly="1" grandRow="1" outline="0" fieldPosition="0"/>
    </format>
    <format dxfId="12">
      <pivotArea outline="0" collapsedLevelsAreSubtotals="1" fieldPosition="0"/>
    </format>
    <format dxfId="11">
      <pivotArea dataOnly="0" labelOnly="1" grandRow="1" outline="0" fieldPosition="0"/>
    </format>
    <format dxfId="10">
      <pivotArea collapsedLevelsAreSubtotals="1" fieldPosition="0">
        <references count="1">
          <reference field="2" count="0"/>
        </references>
      </pivotArea>
    </format>
    <format dxfId="9">
      <pivotArea dataOnly="0" labelOnly="1" fieldPosition="0">
        <references count="1">
          <reference field="2" count="0"/>
        </references>
      </pivotArea>
    </format>
    <format dxfId="8">
      <pivotArea collapsedLevelsAreSubtotals="1" fieldPosition="0">
        <references count="1">
          <reference field="2" count="0"/>
        </references>
      </pivotArea>
    </format>
    <format dxfId="7">
      <pivotArea dataOnly="0" labelOnly="1" fieldPosition="0">
        <references count="1">
          <reference field="2" count="0"/>
        </references>
      </pivotArea>
    </format>
    <format dxfId="6">
      <pivotArea field="2" type="button" dataOnly="0" labelOnly="1" outline="0" axis="axisRow" fieldPosition="0"/>
    </format>
    <format dxfId="5">
      <pivotArea dataOnly="0" labelOnly="1" grandCol="1" outline="0" fieldPosition="0"/>
    </format>
    <format dxfId="4">
      <pivotArea field="2" type="button" dataOnly="0" labelOnly="1" outline="0" axis="axisRow" fieldPosition="0"/>
    </format>
    <format dxfId="3">
      <pivotArea dataOnly="0" labelOnly="1" grandCol="1" outline="0" fieldPosition="0"/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CC42B4-3A2D-418C-A12E-7215C6C15A06}" name="Tabela dinâmica2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7" indent="0" compact="0" compactData="0" gridDropZones="1" multipleFieldFilters="0">
  <location ref="B7:G14" firstHeaderRow="1" firstDataRow="2" firstDataCol="4" rowPageCount="4" colPageCount="1"/>
  <pivotFields count="20">
    <pivotField compact="0" outline="0" showAll="0"/>
    <pivotField axis="axisPage" compact="0" outline="0" multipleItemSelectionAllowed="1" showAll="0">
      <items count="359">
        <item m="1" x="181"/>
        <item m="1" x="334"/>
        <item m="1" x="281"/>
        <item m="1" x="331"/>
        <item m="1" x="277"/>
        <item m="1" x="227"/>
        <item m="1" x="176"/>
        <item m="1" x="326"/>
        <item m="1" x="174"/>
        <item m="1" x="323"/>
        <item m="1" x="271"/>
        <item m="1" x="221"/>
        <item m="1" x="169"/>
        <item m="1" x="319"/>
        <item m="1" x="218"/>
        <item m="1" x="165"/>
        <item m="1" x="315"/>
        <item m="1" x="265"/>
        <item m="1" x="213"/>
        <item m="1" x="161"/>
        <item m="1" x="261"/>
        <item m="1" x="210"/>
        <item m="1" x="157"/>
        <item m="1" x="308"/>
        <item m="1" x="255"/>
        <item x="0"/>
        <item m="1" x="205"/>
        <item m="1" x="303"/>
        <item m="1" x="251"/>
        <item m="1" x="199"/>
        <item m="1" x="351"/>
        <item m="1" x="297"/>
        <item m="1" x="247"/>
        <item m="1" x="347"/>
        <item m="1" x="296"/>
        <item m="1" x="258"/>
        <item m="1" x="207"/>
        <item m="1" x="154"/>
        <item m="1" x="305"/>
        <item m="1" x="202"/>
        <item m="1" x="354"/>
        <item m="1" x="300"/>
        <item m="1" x="249"/>
        <item m="1" x="197"/>
        <item m="1" x="349"/>
        <item m="1" x="245"/>
        <item m="1" x="194"/>
        <item m="1" x="345"/>
        <item m="1" x="294"/>
        <item m="1" x="243"/>
        <item m="1" x="191"/>
        <item m="1" x="290"/>
        <item m="1" x="240"/>
        <item m="1" x="187"/>
        <item m="1" x="340"/>
        <item m="1" x="287"/>
        <item m="1" x="236"/>
        <item m="1" x="184"/>
        <item m="1" x="336"/>
        <item m="1" x="284"/>
        <item m="1" x="292"/>
        <item m="1" x="242"/>
        <item m="1" x="189"/>
        <item m="1" x="342"/>
        <item m="1" x="238"/>
        <item m="1" x="185"/>
        <item m="1" x="338"/>
        <item m="1" x="286"/>
        <item m="1" x="234"/>
        <item m="1" x="182"/>
        <item m="1" x="282"/>
        <item m="1" x="231"/>
        <item m="1" x="179"/>
        <item m="1" x="333"/>
        <item m="1" x="279"/>
        <item m="1" x="328"/>
        <item m="1" x="275"/>
        <item m="1" x="224"/>
        <item m="1" x="173"/>
        <item m="1" x="322"/>
        <item m="1" x="168"/>
        <item m="1" x="318"/>
        <item m="1" x="268"/>
        <item m="1" x="217"/>
        <item m="1" x="164"/>
        <item m="1" x="330"/>
        <item m="1" x="226"/>
        <item m="1" x="175"/>
        <item m="1" x="325"/>
        <item m="1" x="273"/>
        <item m="1" x="171"/>
        <item m="1" x="269"/>
        <item m="1" x="219"/>
        <item m="1" x="166"/>
        <item m="1" x="316"/>
        <item m="1" x="267"/>
        <item m="1" x="215"/>
        <item m="1" x="313"/>
        <item m="1" x="263"/>
        <item m="1" x="211"/>
        <item m="1" x="159"/>
        <item m="1" x="310"/>
        <item m="1" x="257"/>
        <item m="1" x="357"/>
        <item m="1" x="304"/>
        <item m="1" x="253"/>
        <item m="1" x="201"/>
        <item m="1" x="353"/>
        <item m="1" x="299"/>
        <item m="1" x="311"/>
        <item m="1" x="260"/>
        <item m="1" x="209"/>
        <item m="1" x="156"/>
        <item m="1" x="307"/>
        <item m="1" x="204"/>
        <item m="1" x="355"/>
        <item m="1" x="302"/>
        <item m="1" x="250"/>
        <item m="1" x="198"/>
        <item m="1" x="350"/>
        <item m="1" x="246"/>
        <item m="1" x="195"/>
        <item m="1" x="346"/>
        <item m="1" x="295"/>
        <item m="1" x="244"/>
        <item m="1" x="192"/>
        <item m="1" x="291"/>
        <item m="1" x="241"/>
        <item m="1" x="188"/>
        <item m="1" x="341"/>
        <item m="1" x="288"/>
        <item m="1" x="237"/>
        <item m="1" x="337"/>
        <item m="1" x="285"/>
        <item m="1" x="233"/>
        <item m="1" x="193"/>
        <item m="1" x="344"/>
        <item m="1" x="293"/>
        <item m="1" x="190"/>
        <item m="1" x="343"/>
        <item m="1" x="289"/>
        <item m="1" x="239"/>
        <item m="1" x="186"/>
        <item m="1" x="339"/>
        <item m="1" x="235"/>
        <item m="1" x="183"/>
        <item m="1" x="335"/>
        <item m="1" x="283"/>
        <item m="1" x="232"/>
        <item m="1" x="180"/>
        <item m="1" x="280"/>
        <item m="1" x="229"/>
        <item m="1" x="178"/>
        <item m="1" x="329"/>
        <item m="1" x="276"/>
        <item m="1" x="225"/>
        <item m="1" x="324"/>
        <item m="1" x="272"/>
        <item m="1" x="222"/>
        <item m="1" x="170"/>
        <item m="1" x="320"/>
        <item m="1" x="230"/>
        <item m="1" x="332"/>
        <item m="1" x="278"/>
        <item m="1" x="228"/>
        <item m="1" x="177"/>
        <item m="1" x="327"/>
        <item m="1" x="274"/>
        <item m="1" x="223"/>
        <item m="1" x="172"/>
        <item m="1" x="321"/>
        <item m="1" x="270"/>
        <item m="1" x="220"/>
        <item m="1" x="167"/>
        <item m="1" x="317"/>
        <item m="1" x="216"/>
        <item m="1" x="163"/>
        <item m="1" x="314"/>
        <item m="1" x="264"/>
        <item m="1" x="212"/>
        <item m="1" x="160"/>
        <item m="1" x="259"/>
        <item m="1" x="208"/>
        <item m="1" x="155"/>
        <item m="1" x="306"/>
        <item m="1" x="254"/>
        <item m="1" x="203"/>
        <item m="1" x="301"/>
        <item m="1" x="266"/>
        <item m="1" x="214"/>
        <item m="1" x="162"/>
        <item m="1" x="312"/>
        <item m="1" x="262"/>
        <item m="1" x="158"/>
        <item m="1" x="309"/>
        <item m="1" x="256"/>
        <item m="1" x="206"/>
        <item m="1" x="356"/>
        <item m="1" x="252"/>
        <item m="1" x="200"/>
        <item m="1" x="352"/>
        <item m="1" x="298"/>
        <item m="1" x="248"/>
        <item m="1" x="196"/>
        <item m="1" x="348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t="default"/>
      </items>
    </pivotField>
    <pivotField axis="axisPage" compact="0" outline="0" multipleItemSelectionAllowed="1" showAll="0">
      <items count="65">
        <item m="1" x="53"/>
        <item m="1" x="36"/>
        <item m="1" x="33"/>
        <item m="1" x="27"/>
        <item x="10"/>
        <item m="1" x="63"/>
        <item x="12"/>
        <item m="1" x="51"/>
        <item x="9"/>
        <item x="0"/>
        <item x="1"/>
        <item m="1" x="55"/>
        <item m="1" x="32"/>
        <item m="1" x="37"/>
        <item m="1" x="59"/>
        <item m="1" x="62"/>
        <item m="1" x="52"/>
        <item m="1" x="57"/>
        <item m="1" x="61"/>
        <item m="1" x="54"/>
        <item m="1" x="58"/>
        <item m="1" x="56"/>
        <item x="20"/>
        <item m="1" x="48"/>
        <item m="1" x="49"/>
        <item m="1" x="34"/>
        <item x="4"/>
        <item m="1" x="60"/>
        <item x="18"/>
        <item m="1" x="42"/>
        <item m="1" x="43"/>
        <item x="2"/>
        <item m="1" x="44"/>
        <item m="1" x="50"/>
        <item m="1" x="35"/>
        <item m="1" x="45"/>
        <item m="1" x="39"/>
        <item m="1" x="41"/>
        <item m="1" x="38"/>
        <item m="1" x="46"/>
        <item m="1" x="47"/>
        <item x="14"/>
        <item m="1" x="40"/>
        <item x="5"/>
        <item x="6"/>
        <item x="7"/>
        <item x="11"/>
        <item x="13"/>
        <item x="15"/>
        <item x="3"/>
        <item m="1" x="30"/>
        <item m="1" x="31"/>
        <item x="8"/>
        <item m="1" x="28"/>
        <item m="1" x="29"/>
        <item x="16"/>
        <item x="17"/>
        <item x="22"/>
        <item x="23"/>
        <item x="24"/>
        <item x="25"/>
        <item x="26"/>
        <item x="19"/>
        <item x="21"/>
        <item t="default"/>
      </items>
    </pivotField>
    <pivotField compact="0" outline="0" showAll="0"/>
    <pivotField axis="axisRow" compact="0" outline="0" showAll="0" defaultSubtotal="0">
      <items count="36">
        <item x="0"/>
        <item m="1" x="24"/>
        <item sd="0" m="1" x="3"/>
        <item sd="0" m="1" x="2"/>
        <item sd="0" m="1" x="6"/>
        <item sd="0" m="1" x="8"/>
        <item sd="0" m="1" x="5"/>
        <item m="1" x="15"/>
        <item sd="0" m="1" x="12"/>
        <item m="1" x="19"/>
        <item sd="0" m="1" x="4"/>
        <item m="1" x="14"/>
        <item sd="0" m="1" x="7"/>
        <item m="1" x="13"/>
        <item m="1" x="21"/>
        <item m="1" x="31"/>
        <item m="1" x="33"/>
        <item m="1" x="34"/>
        <item m="1" x="27"/>
        <item m="1" x="29"/>
        <item m="1" x="22"/>
        <item m="1" x="30"/>
        <item sd="0" x="1"/>
        <item m="1" x="28"/>
        <item m="1" x="32"/>
        <item m="1" x="25"/>
        <item m="1" x="35"/>
        <item m="1" x="20"/>
        <item m="1" x="26"/>
        <item sd="0" m="1" x="10"/>
        <item sd="0" m="1" x="9"/>
        <item sd="0" m="1" x="11"/>
        <item m="1" x="16"/>
        <item m="1" x="17"/>
        <item m="1" x="18"/>
        <item m="1" x="2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5">
        <item x="0"/>
        <item m="1" x="4"/>
        <item m="1" x="18"/>
        <item m="1" x="9"/>
        <item m="1" x="7"/>
        <item m="1" x="5"/>
        <item m="1" x="14"/>
        <item m="1" x="2"/>
        <item m="1" x="16"/>
        <item m="1" x="20"/>
        <item m="1" x="21"/>
        <item m="1" x="3"/>
        <item m="1" x="8"/>
        <item m="1" x="13"/>
        <item x="1"/>
        <item m="1" x="17"/>
        <item m="1" x="23"/>
        <item m="1" x="19"/>
        <item m="1" x="11"/>
        <item m="1" x="12"/>
        <item m="1" x="6"/>
        <item m="1" x="10"/>
        <item m="1" x="22"/>
        <item m="1" x="15"/>
        <item t="default"/>
      </items>
    </pivotField>
    <pivotField axis="axisRow" compact="0" outline="0" showAll="0" sortType="ascending" defaultSubtotal="0">
      <items count="34">
        <item sd="0" m="1" x="10"/>
        <item m="1" x="15"/>
        <item sd="0" m="1" x="1"/>
        <item sd="0" m="1" x="2"/>
        <item m="1" x="24"/>
        <item sd="0" m="1" x="5"/>
        <item sd="0" m="1" x="7"/>
        <item m="1" x="17"/>
        <item m="1" x="33"/>
        <item sd="0" m="1" x="4"/>
        <item m="1" x="14"/>
        <item m="1" x="19"/>
        <item m="1" x="26"/>
        <item m="1" x="20"/>
        <item m="1" x="12"/>
        <item m="1" x="16"/>
        <item m="1" x="31"/>
        <item sd="0" m="1" x="11"/>
        <item m="1" x="18"/>
        <item m="1" x="29"/>
        <item m="1" x="28"/>
        <item m="1" x="27"/>
        <item sd="0" m="1" x="3"/>
        <item m="1" x="23"/>
        <item m="1" x="25"/>
        <item sd="0" m="1" x="8"/>
        <item sd="0" m="1" x="9"/>
        <item m="1" x="30"/>
        <item sd="0" m="1" x="6"/>
        <item m="1" x="13"/>
        <item m="1" x="32"/>
        <item m="1" x="21"/>
        <item m="1" x="22"/>
        <item x="0"/>
      </items>
    </pivotField>
    <pivotField axis="axisRow" compact="0" outline="0" showAll="0" defaultSubtotal="0">
      <items count="36">
        <item x="0"/>
        <item f="1" x="35"/>
        <item sd="0" m="1" x="5"/>
        <item m="1" x="6"/>
        <item m="1" x="7"/>
        <item m="1" x="15"/>
        <item m="1" x="8"/>
        <item m="1" x="12"/>
        <item m="1" x="2"/>
        <item m="1" x="3"/>
        <item m="1" x="4"/>
        <item m="1" x="13"/>
        <item m="1" x="24"/>
        <item m="1" x="14"/>
        <item m="1" x="19"/>
        <item m="1" x="21"/>
        <item m="1" x="28"/>
        <item m="1" x="31"/>
        <item m="1" x="29"/>
        <item m="1" x="27"/>
        <item m="1" x="30"/>
        <item m="1" x="22"/>
        <item m="1" x="33"/>
        <item x="1"/>
        <item m="1" x="34"/>
        <item m="1" x="25"/>
        <item m="1" x="32"/>
        <item m="1" x="20"/>
        <item m="1" x="26"/>
        <item m="1" x="10"/>
        <item m="1" x="9"/>
        <item m="1" x="11"/>
        <item m="1" x="16"/>
        <item m="1" x="17"/>
        <item m="1" x="18"/>
        <item m="1" x="23"/>
      </items>
    </pivotField>
    <pivotField axis="axisRow" compact="0" outline="0" showAll="0" defaultSubtotal="0">
      <items count="8">
        <item x="0"/>
        <item m="1" x="3"/>
        <item m="1" x="2"/>
        <item m="1" x="5"/>
        <item m="1" x="6"/>
        <item x="1"/>
        <item m="1" x="4"/>
        <item m="1" x="7"/>
      </items>
    </pivotField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7">
        <item x="0"/>
        <item x="3"/>
        <item m="1" x="5"/>
        <item m="1" x="4"/>
        <item x="2"/>
        <item x="1"/>
        <item t="default"/>
      </items>
    </pivotField>
  </pivotFields>
  <rowFields count="4">
    <field x="11"/>
    <field x="4"/>
    <field x="12"/>
    <field x="13"/>
  </rowFields>
  <rowItems count="6">
    <i>
      <x v="33"/>
      <x/>
      <x/>
      <x/>
    </i>
    <i r="2">
      <x v="1"/>
      <x/>
    </i>
    <i r="3">
      <x v="5"/>
    </i>
    <i r="2">
      <x v="23"/>
      <x v="5"/>
    </i>
    <i r="1">
      <x v="22"/>
    </i>
    <i t="grand">
      <x/>
    </i>
  </rowItems>
  <colFields count="1">
    <field x="-2"/>
  </colFields>
  <colItems count="2">
    <i>
      <x/>
    </i>
    <i i="1">
      <x v="1"/>
    </i>
  </colItems>
  <pageFields count="4">
    <pageField fld="19" hier="-1"/>
    <pageField fld="1" hier="-1"/>
    <pageField fld="10" hier="-1"/>
    <pageField fld="2" hier="-1"/>
  </pageFields>
  <dataFields count="2">
    <dataField name="Soma de Quant. De Hrs" fld="15" baseField="0" baseItem="0"/>
    <dataField name="Soma de TOTAL (R$)" fld="17" baseField="13" baseItem="2" numFmtId="171"/>
  </dataFields>
  <formats count="23">
    <format dxfId="37">
      <pivotArea outline="0" fieldPosition="0">
        <references count="1">
          <reference field="4294967294" count="1" selected="0">
            <x v="0"/>
          </reference>
        </references>
      </pivotArea>
    </format>
    <format dxfId="36">
      <pivotArea field="-2" type="button" dataOnly="0" labelOnly="1" outline="0" axis="axisCol" fieldPosition="0"/>
    </format>
    <format dxfId="3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">
      <pivotArea outline="0" fieldPosition="0">
        <references count="1">
          <reference field="4294967294" count="1" selected="0">
            <x v="0"/>
          </reference>
        </references>
      </pivotArea>
    </format>
    <format dxfId="33">
      <pivotArea field="-2" type="button" dataOnly="0" labelOnly="1" outline="0" axis="axisCol" fieldPosition="0"/>
    </format>
    <format dxfId="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">
      <pivotArea dataOnly="0" labelOnly="1" outline="0" fieldPosition="0">
        <references count="3">
          <reference field="4" count="1" selected="0">
            <x v="3"/>
          </reference>
          <reference field="11" count="1" selected="0">
            <x v="2"/>
          </reference>
          <reference field="12" count="1">
            <x v="8"/>
          </reference>
        </references>
      </pivotArea>
    </format>
    <format dxfId="30">
      <pivotArea dataOnly="0" labelOnly="1" outline="0" fieldPosition="0">
        <references count="3">
          <reference field="4" count="1" selected="0">
            <x v="2"/>
          </reference>
          <reference field="11" count="1" selected="0">
            <x v="3"/>
          </reference>
          <reference field="12" count="1">
            <x v="9"/>
          </reference>
        </references>
      </pivotArea>
    </format>
    <format dxfId="29">
      <pivotArea dataOnly="0" labelOnly="1" outline="0" fieldPosition="0">
        <references count="3">
          <reference field="4" count="1" selected="0">
            <x v="25"/>
          </reference>
          <reference field="11" count="1" selected="0">
            <x v="4"/>
          </reference>
          <reference field="12" count="1">
            <x v="25"/>
          </reference>
        </references>
      </pivotArea>
    </format>
    <format dxfId="28">
      <pivotArea dataOnly="0" labelOnly="1" outline="0" fieldPosition="0">
        <references count="3">
          <reference field="4" count="1" selected="0">
            <x v="4"/>
          </reference>
          <reference field="11" count="1" selected="0">
            <x v="5"/>
          </reference>
          <reference field="12" count="1">
            <x v="3"/>
          </reference>
        </references>
      </pivotArea>
    </format>
    <format dxfId="27">
      <pivotArea dataOnly="0" labelOnly="1" outline="0" fieldPosition="0">
        <references count="3">
          <reference field="4" count="1" selected="0">
            <x v="5"/>
          </reference>
          <reference field="11" count="1" selected="0">
            <x v="6"/>
          </reference>
          <reference field="12" count="1">
            <x v="6"/>
          </reference>
        </references>
      </pivotArea>
    </format>
    <format dxfId="26">
      <pivotArea dataOnly="0" labelOnly="1" outline="0" offset="A256" fieldPosition="0">
        <references count="3">
          <reference field="4" count="1" selected="0">
            <x v="6"/>
          </reference>
          <reference field="11" count="1" selected="0">
            <x v="9"/>
          </reference>
          <reference field="12" count="1">
            <x v="2"/>
          </reference>
        </references>
      </pivotArea>
    </format>
    <format dxfId="25">
      <pivotArea dataOnly="0" labelOnly="1" outline="0" offset="A256" fieldPosition="0">
        <references count="3">
          <reference field="4" count="1" selected="0">
            <x v="22"/>
          </reference>
          <reference field="11" count="1" selected="0">
            <x v="9"/>
          </reference>
          <reference field="12" count="1">
            <x v="2"/>
          </reference>
        </references>
      </pivotArea>
    </format>
    <format dxfId="24">
      <pivotArea dataOnly="0" labelOnly="1" outline="0" offset="A256" fieldPosition="0">
        <references count="3">
          <reference field="4" count="1" selected="0">
            <x v="6"/>
          </reference>
          <reference field="11" count="1" selected="0">
            <x v="9"/>
          </reference>
          <reference field="12" count="1">
            <x v="2"/>
          </reference>
        </references>
      </pivotArea>
    </format>
    <format dxfId="23">
      <pivotArea dataOnly="0" labelOnly="1" outline="0" offset="A256" fieldPosition="0">
        <references count="3">
          <reference field="4" count="1" selected="0">
            <x v="22"/>
          </reference>
          <reference field="11" count="1" selected="0">
            <x v="9"/>
          </reference>
          <reference field="12" count="1">
            <x v="2"/>
          </reference>
        </references>
      </pivotArea>
    </format>
    <format dxfId="22">
      <pivotArea dataOnly="0" labelOnly="1" outline="0" fieldPosition="0">
        <references count="3">
          <reference field="4" count="1" selected="0">
            <x v="7"/>
          </reference>
          <reference field="11" count="1" selected="0">
            <x v="10"/>
          </reference>
          <reference field="12" count="1">
            <x v="5"/>
          </reference>
        </references>
      </pivotArea>
    </format>
    <format dxfId="21">
      <pivotArea dataOnly="0" labelOnly="1" outline="0" fieldPosition="0">
        <references count="3">
          <reference field="4" count="1" selected="0">
            <x v="8"/>
          </reference>
          <reference field="11" count="1" selected="0">
            <x v="17"/>
          </reference>
          <reference field="12" count="1">
            <x v="7"/>
          </reference>
        </references>
      </pivotArea>
    </format>
    <format dxfId="20">
      <pivotArea dataOnly="0" labelOnly="1" outline="0" fieldPosition="0">
        <references count="3">
          <reference field="4" count="1" selected="0">
            <x v="9"/>
          </reference>
          <reference field="11" count="1" selected="0">
            <x v="18"/>
          </reference>
          <reference field="12" count="1">
            <x v="14"/>
          </reference>
        </references>
      </pivotArea>
    </format>
    <format dxfId="19">
      <pivotArea dataOnly="0" labelOnly="1" outline="0" fieldPosition="0">
        <references count="3">
          <reference field="4" count="1" selected="0">
            <x v="10"/>
          </reference>
          <reference field="11" count="1" selected="0">
            <x v="22"/>
          </reference>
          <reference field="12" count="1">
            <x v="10"/>
          </reference>
        </references>
      </pivotArea>
    </format>
    <format dxfId="18">
      <pivotArea dataOnly="0" labelOnly="1" outline="0" fieldPosition="0">
        <references count="3">
          <reference field="4" count="1" selected="0">
            <x v="1"/>
          </reference>
          <reference field="11" count="1" selected="0">
            <x v="23"/>
          </reference>
          <reference field="12" count="1">
            <x v="12"/>
          </reference>
        </references>
      </pivotArea>
    </format>
    <format dxfId="17">
      <pivotArea dataOnly="0" labelOnly="1" outline="0" fieldPosition="0">
        <references count="3">
          <reference field="4" count="1" selected="0">
            <x v="30"/>
          </reference>
          <reference field="11" count="1" selected="0">
            <x v="25"/>
          </reference>
          <reference field="12" count="1">
            <x v="30"/>
          </reference>
        </references>
      </pivotArea>
    </format>
    <format dxfId="16">
      <pivotArea dataOnly="0" labelOnly="1" outline="0" fieldPosition="0">
        <references count="3">
          <reference field="4" count="1" selected="0">
            <x v="29"/>
          </reference>
          <reference field="11" count="1" selected="0">
            <x v="26"/>
          </reference>
          <reference field="12" count="1">
            <x v="29"/>
          </reference>
        </references>
      </pivotArea>
    </format>
    <format dxfId="15">
      <pivotArea dataOnly="0" labelOnly="1" outline="0" fieldPosition="0">
        <references count="4">
          <reference field="4" count="1" selected="0">
            <x v="20"/>
          </reference>
          <reference field="11" count="1" selected="0">
            <x v="31"/>
          </reference>
          <reference field="12" count="1" selected="0">
            <x v="21"/>
          </reference>
          <reference field="13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C29E42-617B-4667-9A4C-12C4E3F1836E}" name="Tabela1" displayName="Tabela1" ref="A1:J43" totalsRowShown="0" headerRowDxfId="52" dataDxfId="50" headerRowBorderDxfId="51" tableBorderDxfId="49" totalsRowBorderDxfId="48">
  <autoFilter ref="A1:J43" xr:uid="{E5C29E42-617B-4667-9A4C-12C4E3F1836E}"/>
  <tableColumns count="10">
    <tableColumn id="1" xr3:uid="{5606B0D1-2FC3-4BF2-A974-C298AA9F95E2}" name="RENTAL - Item" dataDxfId="47"/>
    <tableColumn id="18" xr3:uid="{6CA2B7F6-E344-4468-8388-BD0522C33F7F}" name="Código do Item" dataDxfId="46"/>
    <tableColumn id="2" xr3:uid="{A8E81EDA-1637-43A6-B0E7-21436A68B11C}" name="RENTAL - CÓDIGO SAP" dataDxfId="45" dataCellStyle="Normal 2 2"/>
    <tableColumn id="4" xr3:uid="{54EC03F0-C477-4094-BFBE-E0885A9C9CAF}" name="RENTAL - Descrição" dataDxfId="44" dataCellStyle="Normal 2 2"/>
    <tableColumn id="5" xr3:uid="{6A9FD7C9-F41A-4660-ABC6-DC66BFA9982D}" name="RENTAL - Und." dataDxfId="43" dataCellStyle="Normal 2 2"/>
    <tableColumn id="6" xr3:uid="{23AE7B8A-7B04-4AB6-AAC6-4465B95C3320}" name="RENTAL - Preço" dataDxfId="42" dataCellStyle="Moeda"/>
    <tableColumn id="3" xr3:uid="{AA7E3F1F-7190-4ED4-A9C1-E3C0903FBE01}" name="MOBRA - CÓDIGO SAP" dataDxfId="41"/>
    <tableColumn id="9" xr3:uid="{95E4996D-C8CC-43C2-82CB-1CCBC4CDD2EA}" name="MOBRA - Descrição" dataDxfId="40"/>
    <tableColumn id="10" xr3:uid="{2E26B54C-7032-45A3-B6B0-49083810C471}" name="MOBRA - Und." dataDxfId="39"/>
    <tableColumn id="11" xr3:uid="{999D58D3-1767-4B9C-953C-0E7B6899F58F}" name="MOBRA - Preço" dataDxfId="38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triangle" w="med" len="med"/>
        </a:ln>
        <a:effectLst/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triangl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1874A-FA71-42FA-839B-E65F7DE681FC}">
  <sheetPr codeName="Planilha1">
    <tabColor rgb="FFFF0000"/>
    <pageSetUpPr fitToPage="1"/>
  </sheetPr>
  <dimension ref="A1:L87"/>
  <sheetViews>
    <sheetView tabSelected="1" topLeftCell="B1" zoomScale="70" zoomScaleNormal="70" zoomScaleSheetLayoutView="100" workbookViewId="0">
      <selection activeCell="H6" sqref="H6"/>
    </sheetView>
  </sheetViews>
  <sheetFormatPr defaultColWidth="9.109375" defaultRowHeight="13.8"/>
  <cols>
    <col min="1" max="1" width="16.6640625" style="239" hidden="1" customWidth="1"/>
    <col min="2" max="2" width="16.6640625" style="239" customWidth="1"/>
    <col min="3" max="3" width="18.6640625" style="235" customWidth="1"/>
    <col min="4" max="4" width="51.88671875" style="4" customWidth="1"/>
    <col min="5" max="5" width="12.109375" style="235" customWidth="1"/>
    <col min="6" max="6" width="15.44140625" style="241" customWidth="1"/>
    <col min="7" max="7" width="24.5546875" style="235" bestFit="1" customWidth="1"/>
    <col min="8" max="8" width="54.44140625" style="235" bestFit="1" customWidth="1"/>
    <col min="9" max="9" width="18.109375" style="235" bestFit="1" customWidth="1"/>
    <col min="10" max="10" width="24.6640625" style="235" bestFit="1" customWidth="1"/>
    <col min="11" max="11" width="15.44140625" style="241" customWidth="1"/>
    <col min="12" max="12" width="22.5546875" style="241" customWidth="1"/>
    <col min="13" max="16384" width="9.109375" style="4"/>
  </cols>
  <sheetData>
    <row r="1" spans="1:12" s="235" customFormat="1" ht="18.600000000000001" customHeight="1">
      <c r="A1" s="276" t="s">
        <v>448</v>
      </c>
      <c r="B1" s="278" t="s">
        <v>480</v>
      </c>
      <c r="C1" s="265" t="s">
        <v>444</v>
      </c>
      <c r="D1" s="263" t="s">
        <v>445</v>
      </c>
      <c r="E1" s="263" t="s">
        <v>446</v>
      </c>
      <c r="F1" s="264" t="s">
        <v>447</v>
      </c>
      <c r="G1" s="273" t="s">
        <v>449</v>
      </c>
      <c r="H1" s="274" t="s">
        <v>450</v>
      </c>
      <c r="I1" s="274" t="s">
        <v>451</v>
      </c>
      <c r="J1" s="275" t="s">
        <v>452</v>
      </c>
      <c r="K1" s="285" t="s">
        <v>475</v>
      </c>
      <c r="L1" s="264" t="s">
        <v>474</v>
      </c>
    </row>
    <row r="2" spans="1:12">
      <c r="A2" s="268">
        <v>100</v>
      </c>
      <c r="B2" s="279">
        <v>100</v>
      </c>
      <c r="C2" s="269" t="s">
        <v>9</v>
      </c>
      <c r="D2" s="270" t="s">
        <v>322</v>
      </c>
      <c r="E2" s="271" t="s">
        <v>7</v>
      </c>
      <c r="F2" s="277">
        <v>1569.45</v>
      </c>
      <c r="G2" s="280" t="s">
        <v>364</v>
      </c>
      <c r="H2" s="281" t="s">
        <v>404</v>
      </c>
      <c r="I2" s="281" t="s">
        <v>7</v>
      </c>
      <c r="J2" s="282">
        <v>963.41417057081878</v>
      </c>
      <c r="K2" s="277" t="s">
        <v>478</v>
      </c>
      <c r="L2" s="277" t="s">
        <v>463</v>
      </c>
    </row>
    <row r="3" spans="1:12">
      <c r="A3" s="268">
        <v>110</v>
      </c>
      <c r="B3" s="279">
        <v>110</v>
      </c>
      <c r="C3" s="269" t="s">
        <v>10</v>
      </c>
      <c r="D3" s="270" t="s">
        <v>323</v>
      </c>
      <c r="E3" s="271" t="s">
        <v>7</v>
      </c>
      <c r="F3" s="277">
        <v>1569.45</v>
      </c>
      <c r="G3" s="280" t="s">
        <v>365</v>
      </c>
      <c r="H3" s="281" t="s">
        <v>405</v>
      </c>
      <c r="I3" s="281" t="s">
        <v>7</v>
      </c>
      <c r="J3" s="282">
        <v>963.41417057081878</v>
      </c>
      <c r="K3" s="277" t="s">
        <v>479</v>
      </c>
      <c r="L3" s="277" t="s">
        <v>463</v>
      </c>
    </row>
    <row r="4" spans="1:12">
      <c r="A4" s="268">
        <v>120</v>
      </c>
      <c r="B4" s="279">
        <v>120</v>
      </c>
      <c r="C4" s="269" t="s">
        <v>11</v>
      </c>
      <c r="D4" s="270" t="s">
        <v>324</v>
      </c>
      <c r="E4" s="271" t="s">
        <v>3</v>
      </c>
      <c r="F4" s="277">
        <v>160.71</v>
      </c>
      <c r="G4" s="280" t="s">
        <v>366</v>
      </c>
      <c r="H4" s="281" t="s">
        <v>406</v>
      </c>
      <c r="I4" s="281" t="s">
        <v>3</v>
      </c>
      <c r="J4" s="282">
        <v>65.42</v>
      </c>
      <c r="K4" s="277" t="s">
        <v>477</v>
      </c>
      <c r="L4" s="277" t="s">
        <v>463</v>
      </c>
    </row>
    <row r="5" spans="1:12">
      <c r="A5" s="268">
        <v>130</v>
      </c>
      <c r="B5" s="279">
        <v>130</v>
      </c>
      <c r="C5" s="269" t="s">
        <v>12</v>
      </c>
      <c r="D5" s="270" t="s">
        <v>325</v>
      </c>
      <c r="E5" s="271" t="s">
        <v>3</v>
      </c>
      <c r="F5" s="277">
        <v>108.23</v>
      </c>
      <c r="G5" s="280" t="s">
        <v>367</v>
      </c>
      <c r="H5" s="281" t="s">
        <v>407</v>
      </c>
      <c r="I5" s="281" t="s">
        <v>3</v>
      </c>
      <c r="J5" s="282">
        <v>65.42</v>
      </c>
      <c r="K5" s="277" t="s">
        <v>476</v>
      </c>
      <c r="L5" s="277" t="s">
        <v>463</v>
      </c>
    </row>
    <row r="6" spans="1:12">
      <c r="A6" s="268">
        <v>140</v>
      </c>
      <c r="B6" s="279">
        <v>140</v>
      </c>
      <c r="C6" s="269" t="s">
        <v>13</v>
      </c>
      <c r="D6" s="270" t="s">
        <v>326</v>
      </c>
      <c r="E6" s="271" t="s">
        <v>7</v>
      </c>
      <c r="F6" s="277">
        <v>2319.4499999999998</v>
      </c>
      <c r="G6" s="280" t="s">
        <v>368</v>
      </c>
      <c r="H6" s="281" t="s">
        <v>408</v>
      </c>
      <c r="I6" s="281" t="s">
        <v>7</v>
      </c>
      <c r="J6" s="282">
        <v>1045.98</v>
      </c>
      <c r="K6" s="277" t="s">
        <v>478</v>
      </c>
      <c r="L6" s="277" t="s">
        <v>465</v>
      </c>
    </row>
    <row r="7" spans="1:12">
      <c r="A7" s="268">
        <v>150</v>
      </c>
      <c r="B7" s="279">
        <v>150</v>
      </c>
      <c r="C7" s="269" t="s">
        <v>14</v>
      </c>
      <c r="D7" s="270" t="s">
        <v>327</v>
      </c>
      <c r="E7" s="271" t="s">
        <v>7</v>
      </c>
      <c r="F7" s="277">
        <v>2319.4499999999998</v>
      </c>
      <c r="G7" s="280" t="s">
        <v>369</v>
      </c>
      <c r="H7" s="281" t="s">
        <v>409</v>
      </c>
      <c r="I7" s="281" t="s">
        <v>7</v>
      </c>
      <c r="J7" s="282">
        <v>1045.98</v>
      </c>
      <c r="K7" s="277" t="s">
        <v>479</v>
      </c>
      <c r="L7" s="277" t="s">
        <v>465</v>
      </c>
    </row>
    <row r="8" spans="1:12">
      <c r="A8" s="268">
        <v>160</v>
      </c>
      <c r="B8" s="279">
        <v>160</v>
      </c>
      <c r="C8" s="269" t="s">
        <v>15</v>
      </c>
      <c r="D8" s="270" t="s">
        <v>328</v>
      </c>
      <c r="E8" s="271" t="s">
        <v>3</v>
      </c>
      <c r="F8" s="277">
        <v>218.44</v>
      </c>
      <c r="G8" s="280" t="s">
        <v>370</v>
      </c>
      <c r="H8" s="281" t="s">
        <v>410</v>
      </c>
      <c r="I8" s="281" t="s">
        <v>3</v>
      </c>
      <c r="J8" s="282">
        <v>65.42</v>
      </c>
      <c r="K8" s="277" t="s">
        <v>477</v>
      </c>
      <c r="L8" s="277" t="s">
        <v>465</v>
      </c>
    </row>
    <row r="9" spans="1:12">
      <c r="A9" s="268">
        <v>170</v>
      </c>
      <c r="B9" s="279">
        <v>170</v>
      </c>
      <c r="C9" s="269" t="s">
        <v>16</v>
      </c>
      <c r="D9" s="270" t="s">
        <v>329</v>
      </c>
      <c r="E9" s="271" t="s">
        <v>3</v>
      </c>
      <c r="F9" s="277">
        <v>144.96</v>
      </c>
      <c r="G9" s="280" t="s">
        <v>371</v>
      </c>
      <c r="H9" s="281" t="s">
        <v>411</v>
      </c>
      <c r="I9" s="281" t="s">
        <v>3</v>
      </c>
      <c r="J9" s="282">
        <v>65.42</v>
      </c>
      <c r="K9" s="277" t="s">
        <v>476</v>
      </c>
      <c r="L9" s="277" t="s">
        <v>465</v>
      </c>
    </row>
    <row r="10" spans="1:12">
      <c r="A10" s="268">
        <v>180</v>
      </c>
      <c r="B10" s="279">
        <v>180</v>
      </c>
      <c r="C10" s="269" t="s">
        <v>17</v>
      </c>
      <c r="D10" s="270" t="s">
        <v>330</v>
      </c>
      <c r="E10" s="271" t="s">
        <v>7</v>
      </c>
      <c r="F10" s="277">
        <v>1137.96</v>
      </c>
      <c r="G10" s="280" t="s">
        <v>372</v>
      </c>
      <c r="H10" s="281" t="s">
        <v>412</v>
      </c>
      <c r="I10" s="281" t="s">
        <v>7</v>
      </c>
      <c r="J10" s="282">
        <v>281.11</v>
      </c>
      <c r="K10" s="277" t="s">
        <v>478</v>
      </c>
      <c r="L10" s="277" t="s">
        <v>466</v>
      </c>
    </row>
    <row r="11" spans="1:12">
      <c r="A11" s="268">
        <v>190</v>
      </c>
      <c r="B11" s="279">
        <v>190</v>
      </c>
      <c r="C11" s="269" t="s">
        <v>18</v>
      </c>
      <c r="D11" s="270" t="s">
        <v>331</v>
      </c>
      <c r="E11" s="271" t="s">
        <v>7</v>
      </c>
      <c r="F11" s="277">
        <v>1137.96</v>
      </c>
      <c r="G11" s="280" t="s">
        <v>373</v>
      </c>
      <c r="H11" s="281" t="s">
        <v>413</v>
      </c>
      <c r="I11" s="281" t="s">
        <v>7</v>
      </c>
      <c r="J11" s="282">
        <v>281.11</v>
      </c>
      <c r="K11" s="277" t="s">
        <v>479</v>
      </c>
      <c r="L11" s="277" t="s">
        <v>466</v>
      </c>
    </row>
    <row r="12" spans="1:12">
      <c r="A12" s="268">
        <v>200</v>
      </c>
      <c r="B12" s="279">
        <v>200</v>
      </c>
      <c r="C12" s="269" t="s">
        <v>19</v>
      </c>
      <c r="D12" s="270" t="s">
        <v>332</v>
      </c>
      <c r="E12" s="271" t="s">
        <v>20</v>
      </c>
      <c r="F12" s="277">
        <v>7.35</v>
      </c>
      <c r="G12" s="280" t="s">
        <v>374</v>
      </c>
      <c r="H12" s="281" t="s">
        <v>414</v>
      </c>
      <c r="I12" s="281" t="s">
        <v>20</v>
      </c>
      <c r="J12" s="282">
        <v>1.81</v>
      </c>
      <c r="K12" s="271" t="s">
        <v>20</v>
      </c>
      <c r="L12" s="277" t="s">
        <v>466</v>
      </c>
    </row>
    <row r="13" spans="1:12" ht="20.25" customHeight="1">
      <c r="A13" s="268">
        <v>210</v>
      </c>
      <c r="B13" s="279">
        <v>210</v>
      </c>
      <c r="C13" s="269" t="s">
        <v>21</v>
      </c>
      <c r="D13" s="270" t="s">
        <v>333</v>
      </c>
      <c r="E13" s="271" t="s">
        <v>3</v>
      </c>
      <c r="F13" s="277">
        <v>132.88999999999999</v>
      </c>
      <c r="G13" s="280" t="s">
        <v>375</v>
      </c>
      <c r="H13" s="281" t="s">
        <v>415</v>
      </c>
      <c r="I13" s="281" t="s">
        <v>3</v>
      </c>
      <c r="J13" s="282">
        <v>65.42</v>
      </c>
      <c r="K13" s="277" t="s">
        <v>476</v>
      </c>
      <c r="L13" s="277" t="s">
        <v>466</v>
      </c>
    </row>
    <row r="14" spans="1:12" ht="23.25" customHeight="1">
      <c r="A14" s="268">
        <v>220</v>
      </c>
      <c r="B14" s="279">
        <v>220</v>
      </c>
      <c r="C14" s="269" t="s">
        <v>22</v>
      </c>
      <c r="D14" s="270" t="s">
        <v>334</v>
      </c>
      <c r="E14" s="271" t="s">
        <v>7</v>
      </c>
      <c r="F14" s="277">
        <v>1099.42</v>
      </c>
      <c r="G14" s="280" t="s">
        <v>376</v>
      </c>
      <c r="H14" s="281" t="s">
        <v>416</v>
      </c>
      <c r="I14" s="281" t="s">
        <v>7</v>
      </c>
      <c r="J14" s="282">
        <v>319.70999999999998</v>
      </c>
      <c r="K14" s="277" t="s">
        <v>478</v>
      </c>
      <c r="L14" s="277" t="s">
        <v>467</v>
      </c>
    </row>
    <row r="15" spans="1:12" ht="19.5" customHeight="1">
      <c r="A15" s="268">
        <v>230</v>
      </c>
      <c r="B15" s="279">
        <v>230</v>
      </c>
      <c r="C15" s="269" t="s">
        <v>23</v>
      </c>
      <c r="D15" s="270" t="s">
        <v>335</v>
      </c>
      <c r="E15" s="271" t="s">
        <v>7</v>
      </c>
      <c r="F15" s="277">
        <v>1099.42</v>
      </c>
      <c r="G15" s="280" t="s">
        <v>377</v>
      </c>
      <c r="H15" s="281" t="s">
        <v>417</v>
      </c>
      <c r="I15" s="281" t="s">
        <v>7</v>
      </c>
      <c r="J15" s="282">
        <v>319.70999999999998</v>
      </c>
      <c r="K15" s="277" t="s">
        <v>479</v>
      </c>
      <c r="L15" s="277" t="s">
        <v>467</v>
      </c>
    </row>
    <row r="16" spans="1:12">
      <c r="A16" s="268">
        <v>240</v>
      </c>
      <c r="B16" s="279">
        <v>240</v>
      </c>
      <c r="C16" s="269" t="s">
        <v>24</v>
      </c>
      <c r="D16" s="270" t="s">
        <v>336</v>
      </c>
      <c r="E16" s="271" t="s">
        <v>3</v>
      </c>
      <c r="F16" s="277">
        <v>185.82</v>
      </c>
      <c r="G16" s="280" t="s">
        <v>378</v>
      </c>
      <c r="H16" s="281" t="s">
        <v>418</v>
      </c>
      <c r="I16" s="281" t="s">
        <v>3</v>
      </c>
      <c r="J16" s="282">
        <v>65.42</v>
      </c>
      <c r="K16" s="277" t="s">
        <v>477</v>
      </c>
      <c r="L16" s="277" t="s">
        <v>467</v>
      </c>
    </row>
    <row r="17" spans="1:12" ht="28.5" customHeight="1">
      <c r="A17" s="268">
        <v>250</v>
      </c>
      <c r="B17" s="279">
        <v>250</v>
      </c>
      <c r="C17" s="269" t="s">
        <v>25</v>
      </c>
      <c r="D17" s="270" t="s">
        <v>337</v>
      </c>
      <c r="E17" s="271" t="s">
        <v>3</v>
      </c>
      <c r="F17" s="277">
        <v>95.84</v>
      </c>
      <c r="G17" s="280" t="s">
        <v>379</v>
      </c>
      <c r="H17" s="281" t="s">
        <v>419</v>
      </c>
      <c r="I17" s="281" t="s">
        <v>3</v>
      </c>
      <c r="J17" s="282">
        <v>65.42</v>
      </c>
      <c r="K17" s="277" t="s">
        <v>476</v>
      </c>
      <c r="L17" s="277" t="s">
        <v>467</v>
      </c>
    </row>
    <row r="18" spans="1:12">
      <c r="A18" s="268">
        <v>260</v>
      </c>
      <c r="B18" s="279">
        <v>260</v>
      </c>
      <c r="C18" s="269" t="s">
        <v>26</v>
      </c>
      <c r="D18" s="270" t="s">
        <v>338</v>
      </c>
      <c r="E18" s="271" t="s">
        <v>7</v>
      </c>
      <c r="F18" s="277">
        <v>2609.38</v>
      </c>
      <c r="G18" s="280" t="s">
        <v>380</v>
      </c>
      <c r="H18" s="281" t="s">
        <v>420</v>
      </c>
      <c r="I18" s="281" t="s">
        <v>7</v>
      </c>
      <c r="J18" s="282">
        <v>1188.01</v>
      </c>
      <c r="K18" s="277" t="s">
        <v>478</v>
      </c>
      <c r="L18" s="277" t="s">
        <v>464</v>
      </c>
    </row>
    <row r="19" spans="1:12">
      <c r="A19" s="268">
        <v>270</v>
      </c>
      <c r="B19" s="279">
        <v>270</v>
      </c>
      <c r="C19" s="269" t="s">
        <v>27</v>
      </c>
      <c r="D19" s="270" t="s">
        <v>339</v>
      </c>
      <c r="E19" s="271" t="s">
        <v>7</v>
      </c>
      <c r="F19" s="277">
        <v>2609.38</v>
      </c>
      <c r="G19" s="280" t="s">
        <v>381</v>
      </c>
      <c r="H19" s="281" t="s">
        <v>421</v>
      </c>
      <c r="I19" s="281" t="s">
        <v>7</v>
      </c>
      <c r="J19" s="282">
        <v>1188.01</v>
      </c>
      <c r="K19" s="277" t="s">
        <v>479</v>
      </c>
      <c r="L19" s="277" t="s">
        <v>464</v>
      </c>
    </row>
    <row r="20" spans="1:12" ht="28.5" customHeight="1">
      <c r="A20" s="268">
        <v>280</v>
      </c>
      <c r="B20" s="279">
        <v>280</v>
      </c>
      <c r="C20" s="269" t="s">
        <v>28</v>
      </c>
      <c r="D20" s="270" t="s">
        <v>340</v>
      </c>
      <c r="E20" s="271" t="s">
        <v>3</v>
      </c>
      <c r="F20" s="277">
        <v>279</v>
      </c>
      <c r="G20" s="280" t="s">
        <v>382</v>
      </c>
      <c r="H20" s="281" t="s">
        <v>422</v>
      </c>
      <c r="I20" s="281" t="s">
        <v>3</v>
      </c>
      <c r="J20" s="282">
        <v>87.27</v>
      </c>
      <c r="K20" s="277" t="s">
        <v>477</v>
      </c>
      <c r="L20" s="277" t="s">
        <v>464</v>
      </c>
    </row>
    <row r="21" spans="1:12" ht="27" customHeight="1">
      <c r="A21" s="268">
        <v>290</v>
      </c>
      <c r="B21" s="279">
        <v>290</v>
      </c>
      <c r="C21" s="269" t="s">
        <v>29</v>
      </c>
      <c r="D21" s="270" t="s">
        <v>341</v>
      </c>
      <c r="E21" s="271" t="s">
        <v>3</v>
      </c>
      <c r="F21" s="277">
        <v>193.29</v>
      </c>
      <c r="G21" s="280" t="s">
        <v>383</v>
      </c>
      <c r="H21" s="281" t="s">
        <v>423</v>
      </c>
      <c r="I21" s="281" t="s">
        <v>3</v>
      </c>
      <c r="J21" s="282">
        <v>87.27</v>
      </c>
      <c r="K21" s="277" t="s">
        <v>476</v>
      </c>
      <c r="L21" s="277" t="s">
        <v>464</v>
      </c>
    </row>
    <row r="22" spans="1:12" ht="20.25" customHeight="1">
      <c r="A22" s="268" t="s">
        <v>30</v>
      </c>
      <c r="B22" s="279" t="s">
        <v>30</v>
      </c>
      <c r="C22" s="269" t="s">
        <v>31</v>
      </c>
      <c r="D22" s="270" t="s">
        <v>342</v>
      </c>
      <c r="E22" s="271" t="s">
        <v>7</v>
      </c>
      <c r="F22" s="277">
        <v>2525.62</v>
      </c>
      <c r="G22" s="280" t="s">
        <v>384</v>
      </c>
      <c r="H22" s="281" t="s">
        <v>424</v>
      </c>
      <c r="I22" s="281" t="s">
        <v>7</v>
      </c>
      <c r="J22" s="282">
        <v>925.23</v>
      </c>
      <c r="K22" s="277" t="s">
        <v>478</v>
      </c>
      <c r="L22" s="277" t="s">
        <v>469</v>
      </c>
    </row>
    <row r="23" spans="1:12" ht="27" customHeight="1">
      <c r="A23" s="268" t="s">
        <v>32</v>
      </c>
      <c r="B23" s="279" t="s">
        <v>32</v>
      </c>
      <c r="C23" s="269" t="s">
        <v>33</v>
      </c>
      <c r="D23" s="270" t="s">
        <v>343</v>
      </c>
      <c r="E23" s="271" t="s">
        <v>7</v>
      </c>
      <c r="F23" s="277">
        <v>2525.62</v>
      </c>
      <c r="G23" s="280" t="s">
        <v>385</v>
      </c>
      <c r="H23" s="281" t="s">
        <v>425</v>
      </c>
      <c r="I23" s="281" t="s">
        <v>7</v>
      </c>
      <c r="J23" s="282">
        <v>925.23</v>
      </c>
      <c r="K23" s="277" t="s">
        <v>479</v>
      </c>
      <c r="L23" s="277" t="s">
        <v>469</v>
      </c>
    </row>
    <row r="24" spans="1:12">
      <c r="A24" s="268" t="s">
        <v>34</v>
      </c>
      <c r="B24" s="279" t="s">
        <v>34</v>
      </c>
      <c r="C24" s="269" t="s">
        <v>35</v>
      </c>
      <c r="D24" s="270" t="s">
        <v>344</v>
      </c>
      <c r="E24" s="271" t="s">
        <v>3</v>
      </c>
      <c r="F24" s="277">
        <v>326.33999999999997</v>
      </c>
      <c r="G24" s="280" t="s">
        <v>386</v>
      </c>
      <c r="H24" s="281" t="s">
        <v>426</v>
      </c>
      <c r="I24" s="281" t="s">
        <v>3</v>
      </c>
      <c r="J24" s="282">
        <v>65.42</v>
      </c>
      <c r="K24" s="277" t="s">
        <v>477</v>
      </c>
      <c r="L24" s="277" t="s">
        <v>469</v>
      </c>
    </row>
    <row r="25" spans="1:12">
      <c r="A25" s="268" t="s">
        <v>36</v>
      </c>
      <c r="B25" s="279" t="s">
        <v>36</v>
      </c>
      <c r="C25" s="269" t="s">
        <v>37</v>
      </c>
      <c r="D25" s="272" t="s">
        <v>345</v>
      </c>
      <c r="E25" s="269" t="s">
        <v>3</v>
      </c>
      <c r="F25" s="277">
        <v>180.41</v>
      </c>
      <c r="G25" s="280" t="s">
        <v>387</v>
      </c>
      <c r="H25" s="280" t="s">
        <v>427</v>
      </c>
      <c r="I25" s="280" t="s">
        <v>3</v>
      </c>
      <c r="J25" s="282">
        <v>65.42</v>
      </c>
      <c r="K25" s="277" t="s">
        <v>476</v>
      </c>
      <c r="L25" s="277" t="s">
        <v>469</v>
      </c>
    </row>
    <row r="26" spans="1:12" ht="16.5" customHeight="1">
      <c r="A26" s="268">
        <v>380</v>
      </c>
      <c r="B26" s="279">
        <v>380</v>
      </c>
      <c r="C26" s="269" t="s">
        <v>38</v>
      </c>
      <c r="D26" s="272" t="s">
        <v>346</v>
      </c>
      <c r="E26" s="269" t="s">
        <v>7</v>
      </c>
      <c r="F26" s="277">
        <v>2236.7399999999998</v>
      </c>
      <c r="G26" s="280" t="s">
        <v>388</v>
      </c>
      <c r="H26" s="280" t="s">
        <v>428</v>
      </c>
      <c r="I26" s="280" t="s">
        <v>7</v>
      </c>
      <c r="J26" s="282">
        <v>785.33</v>
      </c>
      <c r="K26" s="277" t="s">
        <v>478</v>
      </c>
      <c r="L26" s="277" t="s">
        <v>470</v>
      </c>
    </row>
    <row r="27" spans="1:12">
      <c r="A27" s="268">
        <v>390</v>
      </c>
      <c r="B27" s="279">
        <v>390</v>
      </c>
      <c r="C27" s="269" t="s">
        <v>39</v>
      </c>
      <c r="D27" s="272" t="s">
        <v>347</v>
      </c>
      <c r="E27" s="269" t="s">
        <v>7</v>
      </c>
      <c r="F27" s="277">
        <v>2236.7399999999998</v>
      </c>
      <c r="G27" s="280" t="s">
        <v>389</v>
      </c>
      <c r="H27" s="280" t="s">
        <v>429</v>
      </c>
      <c r="I27" s="280" t="s">
        <v>7</v>
      </c>
      <c r="J27" s="282">
        <v>785.33</v>
      </c>
      <c r="K27" s="277" t="s">
        <v>479</v>
      </c>
      <c r="L27" s="277" t="s">
        <v>470</v>
      </c>
    </row>
    <row r="28" spans="1:12">
      <c r="A28" s="268">
        <v>400</v>
      </c>
      <c r="B28" s="279">
        <v>400</v>
      </c>
      <c r="C28" s="269" t="s">
        <v>40</v>
      </c>
      <c r="D28" s="272" t="s">
        <v>348</v>
      </c>
      <c r="E28" s="269" t="s">
        <v>20</v>
      </c>
      <c r="F28" s="277">
        <v>7.1</v>
      </c>
      <c r="G28" s="280" t="s">
        <v>390</v>
      </c>
      <c r="H28" s="280" t="s">
        <v>430</v>
      </c>
      <c r="I28" s="280" t="s">
        <v>20</v>
      </c>
      <c r="J28" s="282">
        <v>2.5</v>
      </c>
      <c r="K28" s="269" t="s">
        <v>20</v>
      </c>
      <c r="L28" s="277" t="s">
        <v>470</v>
      </c>
    </row>
    <row r="29" spans="1:12">
      <c r="A29" s="268">
        <v>410</v>
      </c>
      <c r="B29" s="279">
        <v>410</v>
      </c>
      <c r="C29" s="269" t="s">
        <v>41</v>
      </c>
      <c r="D29" s="272" t="s">
        <v>349</v>
      </c>
      <c r="E29" s="269" t="s">
        <v>3</v>
      </c>
      <c r="F29" s="277">
        <v>112.76</v>
      </c>
      <c r="G29" s="280" t="s">
        <v>391</v>
      </c>
      <c r="H29" s="280" t="s">
        <v>431</v>
      </c>
      <c r="I29" s="280" t="s">
        <v>3</v>
      </c>
      <c r="J29" s="282">
        <v>87.27</v>
      </c>
      <c r="K29" s="277" t="s">
        <v>476</v>
      </c>
      <c r="L29" s="277" t="s">
        <v>470</v>
      </c>
    </row>
    <row r="30" spans="1:12">
      <c r="A30" s="268">
        <v>460</v>
      </c>
      <c r="B30" s="279">
        <v>460</v>
      </c>
      <c r="C30" s="269" t="s">
        <v>42</v>
      </c>
      <c r="D30" s="272" t="s">
        <v>350</v>
      </c>
      <c r="E30" s="269" t="s">
        <v>7</v>
      </c>
      <c r="F30" s="277">
        <v>1455.25</v>
      </c>
      <c r="G30" s="280" t="s">
        <v>392</v>
      </c>
      <c r="H30" s="280" t="s">
        <v>432</v>
      </c>
      <c r="I30" s="280" t="s">
        <v>7</v>
      </c>
      <c r="J30" s="282">
        <v>908.70500000000004</v>
      </c>
      <c r="K30" s="277" t="s">
        <v>478</v>
      </c>
      <c r="L30" s="277" t="s">
        <v>468</v>
      </c>
    </row>
    <row r="31" spans="1:12">
      <c r="A31" s="268">
        <v>470</v>
      </c>
      <c r="B31" s="279">
        <v>470</v>
      </c>
      <c r="C31" s="269" t="s">
        <v>43</v>
      </c>
      <c r="D31" s="272" t="s">
        <v>351</v>
      </c>
      <c r="E31" s="269" t="s">
        <v>7</v>
      </c>
      <c r="F31" s="277">
        <v>1455.25</v>
      </c>
      <c r="G31" s="280" t="s">
        <v>393</v>
      </c>
      <c r="H31" s="280" t="s">
        <v>433</v>
      </c>
      <c r="I31" s="280" t="s">
        <v>7</v>
      </c>
      <c r="J31" s="282">
        <v>908.7</v>
      </c>
      <c r="K31" s="277" t="s">
        <v>479</v>
      </c>
      <c r="L31" s="277" t="s">
        <v>468</v>
      </c>
    </row>
    <row r="32" spans="1:12">
      <c r="A32" s="268">
        <v>480</v>
      </c>
      <c r="B32" s="279">
        <v>480</v>
      </c>
      <c r="C32" s="269" t="s">
        <v>44</v>
      </c>
      <c r="D32" s="272" t="s">
        <v>352</v>
      </c>
      <c r="E32" s="269" t="s">
        <v>3</v>
      </c>
      <c r="F32" s="277">
        <v>138.38</v>
      </c>
      <c r="G32" s="280" t="s">
        <v>394</v>
      </c>
      <c r="H32" s="280" t="s">
        <v>434</v>
      </c>
      <c r="I32" s="280" t="s">
        <v>3</v>
      </c>
      <c r="J32" s="282">
        <v>65.42</v>
      </c>
      <c r="K32" s="277" t="s">
        <v>477</v>
      </c>
      <c r="L32" s="277" t="s">
        <v>468</v>
      </c>
    </row>
    <row r="33" spans="1:12" ht="20.25" customHeight="1">
      <c r="A33" s="268">
        <v>490</v>
      </c>
      <c r="B33" s="279">
        <v>490</v>
      </c>
      <c r="C33" s="269" t="s">
        <v>45</v>
      </c>
      <c r="D33" s="272" t="s">
        <v>353</v>
      </c>
      <c r="E33" s="269" t="s">
        <v>3</v>
      </c>
      <c r="F33" s="277">
        <v>104.71</v>
      </c>
      <c r="G33" s="280" t="s">
        <v>395</v>
      </c>
      <c r="H33" s="280" t="s">
        <v>435</v>
      </c>
      <c r="I33" s="280" t="s">
        <v>3</v>
      </c>
      <c r="J33" s="282">
        <v>65.42</v>
      </c>
      <c r="K33" s="277" t="s">
        <v>476</v>
      </c>
      <c r="L33" s="277" t="s">
        <v>468</v>
      </c>
    </row>
    <row r="34" spans="1:12" ht="15.75" customHeight="1">
      <c r="A34" s="268">
        <v>500</v>
      </c>
      <c r="B34" s="279">
        <v>500</v>
      </c>
      <c r="C34" s="269" t="s">
        <v>46</v>
      </c>
      <c r="D34" s="272" t="s">
        <v>354</v>
      </c>
      <c r="E34" s="269" t="s">
        <v>7</v>
      </c>
      <c r="F34" s="277">
        <v>4625.8999999999996</v>
      </c>
      <c r="G34" s="280" t="s">
        <v>396</v>
      </c>
      <c r="H34" s="280" t="s">
        <v>436</v>
      </c>
      <c r="I34" s="280" t="s">
        <v>7</v>
      </c>
      <c r="J34" s="282">
        <v>1632.59</v>
      </c>
      <c r="K34" s="277" t="s">
        <v>478</v>
      </c>
      <c r="L34" s="277" t="s">
        <v>471</v>
      </c>
    </row>
    <row r="35" spans="1:12" ht="14.25" customHeight="1">
      <c r="A35" s="268">
        <v>510</v>
      </c>
      <c r="B35" s="279">
        <v>510</v>
      </c>
      <c r="C35" s="269" t="s">
        <v>47</v>
      </c>
      <c r="D35" s="272" t="s">
        <v>355</v>
      </c>
      <c r="E35" s="269" t="s">
        <v>7</v>
      </c>
      <c r="F35" s="277">
        <v>4625.8999999999996</v>
      </c>
      <c r="G35" s="280" t="s">
        <v>397</v>
      </c>
      <c r="H35" s="280" t="s">
        <v>437</v>
      </c>
      <c r="I35" s="280" t="s">
        <v>7</v>
      </c>
      <c r="J35" s="282">
        <v>1632.595</v>
      </c>
      <c r="K35" s="277" t="s">
        <v>479</v>
      </c>
      <c r="L35" s="277" t="s">
        <v>471</v>
      </c>
    </row>
    <row r="36" spans="1:12" ht="18" customHeight="1">
      <c r="A36" s="268">
        <v>520</v>
      </c>
      <c r="B36" s="279">
        <v>520</v>
      </c>
      <c r="C36" s="269" t="s">
        <v>48</v>
      </c>
      <c r="D36" s="272" t="s">
        <v>356</v>
      </c>
      <c r="E36" s="269" t="s">
        <v>3</v>
      </c>
      <c r="F36" s="277">
        <v>283.19</v>
      </c>
      <c r="G36" s="280" t="s">
        <v>398</v>
      </c>
      <c r="H36" s="280" t="s">
        <v>438</v>
      </c>
      <c r="I36" s="280" t="s">
        <v>3</v>
      </c>
      <c r="J36" s="282">
        <v>65.42</v>
      </c>
      <c r="K36" s="277" t="s">
        <v>477</v>
      </c>
      <c r="L36" s="277" t="s">
        <v>471</v>
      </c>
    </row>
    <row r="37" spans="1:12" ht="23.25" customHeight="1">
      <c r="A37" s="268">
        <v>530</v>
      </c>
      <c r="B37" s="279">
        <v>530</v>
      </c>
      <c r="C37" s="269" t="s">
        <v>49</v>
      </c>
      <c r="D37" s="272" t="s">
        <v>357</v>
      </c>
      <c r="E37" s="269" t="s">
        <v>3</v>
      </c>
      <c r="F37" s="277">
        <v>185.23</v>
      </c>
      <c r="G37" s="280" t="s">
        <v>399</v>
      </c>
      <c r="H37" s="280" t="s">
        <v>439</v>
      </c>
      <c r="I37" s="280" t="s">
        <v>3</v>
      </c>
      <c r="J37" s="282">
        <v>65.42</v>
      </c>
      <c r="K37" s="277" t="s">
        <v>476</v>
      </c>
      <c r="L37" s="277" t="s">
        <v>471</v>
      </c>
    </row>
    <row r="38" spans="1:12">
      <c r="A38" s="268" t="s">
        <v>50</v>
      </c>
      <c r="B38" s="279" t="s">
        <v>50</v>
      </c>
      <c r="C38" s="269" t="s">
        <v>51</v>
      </c>
      <c r="D38" s="272" t="s">
        <v>358</v>
      </c>
      <c r="E38" s="269" t="s">
        <v>7</v>
      </c>
      <c r="F38" s="277">
        <v>1872.58</v>
      </c>
      <c r="G38" s="280" t="s">
        <v>400</v>
      </c>
      <c r="H38" s="280" t="s">
        <v>440</v>
      </c>
      <c r="I38" s="280" t="s">
        <v>7</v>
      </c>
      <c r="J38" s="282">
        <v>1013.3</v>
      </c>
      <c r="K38" s="277" t="s">
        <v>478</v>
      </c>
      <c r="L38" s="277" t="s">
        <v>472</v>
      </c>
    </row>
    <row r="39" spans="1:12">
      <c r="A39" s="268" t="s">
        <v>52</v>
      </c>
      <c r="B39" s="279" t="s">
        <v>52</v>
      </c>
      <c r="C39" s="269" t="s">
        <v>53</v>
      </c>
      <c r="D39" s="272" t="s">
        <v>359</v>
      </c>
      <c r="E39" s="269" t="s">
        <v>7</v>
      </c>
      <c r="F39" s="277">
        <v>1590.13</v>
      </c>
      <c r="G39" s="280" t="s">
        <v>401</v>
      </c>
      <c r="H39" s="280" t="s">
        <v>441</v>
      </c>
      <c r="I39" s="280" t="s">
        <v>7</v>
      </c>
      <c r="J39" s="282">
        <v>697.8</v>
      </c>
      <c r="K39" s="277" t="s">
        <v>479</v>
      </c>
      <c r="L39" s="277" t="s">
        <v>472</v>
      </c>
    </row>
    <row r="40" spans="1:12">
      <c r="A40" s="268" t="s">
        <v>54</v>
      </c>
      <c r="B40" s="279" t="s">
        <v>54</v>
      </c>
      <c r="C40" s="269" t="s">
        <v>55</v>
      </c>
      <c r="D40" s="272" t="s">
        <v>360</v>
      </c>
      <c r="E40" s="269" t="s">
        <v>3</v>
      </c>
      <c r="F40" s="277">
        <v>163.66</v>
      </c>
      <c r="G40" s="280" t="s">
        <v>402</v>
      </c>
      <c r="H40" s="280" t="s">
        <v>442</v>
      </c>
      <c r="I40" s="280" t="s">
        <v>3</v>
      </c>
      <c r="J40" s="282">
        <v>65.42</v>
      </c>
      <c r="K40" s="277" t="s">
        <v>477</v>
      </c>
      <c r="L40" s="277" t="s">
        <v>472</v>
      </c>
    </row>
    <row r="41" spans="1:12">
      <c r="A41" s="268" t="s">
        <v>56</v>
      </c>
      <c r="B41" s="279" t="s">
        <v>56</v>
      </c>
      <c r="C41" s="269" t="s">
        <v>57</v>
      </c>
      <c r="D41" s="272" t="s">
        <v>361</v>
      </c>
      <c r="E41" s="269" t="s">
        <v>3</v>
      </c>
      <c r="F41" s="277">
        <v>120.81</v>
      </c>
      <c r="G41" s="280" t="s">
        <v>403</v>
      </c>
      <c r="H41" s="280" t="s">
        <v>443</v>
      </c>
      <c r="I41" s="280" t="s">
        <v>3</v>
      </c>
      <c r="J41" s="282">
        <v>65.42</v>
      </c>
      <c r="K41" s="277" t="s">
        <v>476</v>
      </c>
      <c r="L41" s="277" t="s">
        <v>472</v>
      </c>
    </row>
    <row r="42" spans="1:12">
      <c r="A42" s="268">
        <v>580</v>
      </c>
      <c r="B42" s="279">
        <v>580</v>
      </c>
      <c r="C42" s="269" t="s">
        <v>58</v>
      </c>
      <c r="D42" s="272" t="s">
        <v>362</v>
      </c>
      <c r="E42" s="269" t="s">
        <v>59</v>
      </c>
      <c r="F42" s="277">
        <v>16354.1</v>
      </c>
      <c r="G42" s="280"/>
      <c r="H42" s="280"/>
      <c r="I42" s="280"/>
      <c r="J42" s="282"/>
      <c r="K42" s="277"/>
      <c r="L42" s="277" t="s">
        <v>473</v>
      </c>
    </row>
    <row r="43" spans="1:12">
      <c r="A43" s="268">
        <v>590</v>
      </c>
      <c r="B43" s="279">
        <v>590</v>
      </c>
      <c r="C43" s="269" t="s">
        <v>60</v>
      </c>
      <c r="D43" s="272" t="s">
        <v>363</v>
      </c>
      <c r="E43" s="269" t="s">
        <v>59</v>
      </c>
      <c r="F43" s="277">
        <v>17419.43</v>
      </c>
      <c r="G43" s="280"/>
      <c r="H43" s="280"/>
      <c r="I43" s="280"/>
      <c r="J43" s="282"/>
      <c r="K43" s="277"/>
      <c r="L43" s="277" t="s">
        <v>473</v>
      </c>
    </row>
    <row r="44" spans="1:12" ht="21.75" customHeight="1">
      <c r="A44" s="259"/>
      <c r="B44" s="259"/>
      <c r="C44" s="261"/>
      <c r="D44" s="260"/>
      <c r="E44" s="261"/>
      <c r="F44" s="262"/>
      <c r="G44" s="266"/>
      <c r="K44" s="284"/>
      <c r="L44" s="284"/>
    </row>
    <row r="45" spans="1:12">
      <c r="A45" s="237"/>
      <c r="B45" s="237"/>
      <c r="C45" s="238"/>
      <c r="D45" s="236"/>
      <c r="E45" s="236"/>
      <c r="F45" s="238"/>
      <c r="K45" s="238"/>
      <c r="L45" s="238"/>
    </row>
    <row r="46" spans="1:12">
      <c r="A46" s="237"/>
      <c r="B46" s="237"/>
      <c r="C46" s="238"/>
      <c r="D46" s="236"/>
      <c r="E46" s="236"/>
      <c r="F46" s="238"/>
      <c r="K46" s="238"/>
      <c r="L46" s="238"/>
    </row>
    <row r="47" spans="1:12">
      <c r="A47" s="237"/>
      <c r="B47" s="237"/>
      <c r="C47" s="238"/>
      <c r="D47" s="236"/>
      <c r="E47" s="236"/>
      <c r="F47" s="238"/>
      <c r="K47" s="238"/>
      <c r="L47" s="238"/>
    </row>
    <row r="48" spans="1:12">
      <c r="A48" s="237"/>
      <c r="B48" s="237"/>
      <c r="C48" s="238"/>
      <c r="D48" s="236"/>
      <c r="E48" s="236"/>
      <c r="F48" s="283"/>
      <c r="K48" s="283"/>
      <c r="L48" s="283"/>
    </row>
    <row r="49" spans="1:12" ht="17.25" customHeight="1">
      <c r="A49" s="237"/>
      <c r="B49" s="237"/>
      <c r="C49" s="238"/>
      <c r="D49" s="236"/>
      <c r="E49" s="236"/>
      <c r="F49" s="283"/>
      <c r="K49" s="283"/>
      <c r="L49" s="283"/>
    </row>
    <row r="50" spans="1:12" ht="21.75" customHeight="1">
      <c r="A50" s="237"/>
      <c r="B50" s="237"/>
      <c r="C50" s="238"/>
      <c r="D50" s="236"/>
      <c r="E50" s="236"/>
      <c r="F50" s="283"/>
      <c r="K50" s="283"/>
      <c r="L50" s="283"/>
    </row>
    <row r="51" spans="1:12" ht="22.5" customHeight="1">
      <c r="A51" s="237"/>
      <c r="B51" s="237"/>
      <c r="C51" s="238"/>
      <c r="D51" s="236"/>
      <c r="E51" s="236"/>
      <c r="F51" s="283"/>
      <c r="G51" s="266"/>
      <c r="I51" s="241"/>
      <c r="K51" s="283"/>
      <c r="L51" s="283"/>
    </row>
    <row r="52" spans="1:12" ht="29.25" customHeight="1">
      <c r="A52" s="237"/>
      <c r="B52" s="237"/>
      <c r="C52" s="238"/>
      <c r="D52" s="236"/>
      <c r="E52" s="236"/>
      <c r="F52" s="283"/>
      <c r="I52" s="241"/>
      <c r="K52" s="283"/>
      <c r="L52" s="283"/>
    </row>
    <row r="53" spans="1:12">
      <c r="A53" s="237"/>
      <c r="B53" s="237"/>
      <c r="C53" s="238"/>
      <c r="D53" s="236"/>
      <c r="E53" s="236"/>
      <c r="F53" s="238"/>
      <c r="K53" s="238"/>
      <c r="L53" s="238"/>
    </row>
    <row r="54" spans="1:12">
      <c r="A54" s="237"/>
      <c r="B54" s="237"/>
      <c r="C54" s="238"/>
      <c r="D54" s="236"/>
      <c r="E54" s="236"/>
      <c r="F54" s="238"/>
      <c r="K54" s="238"/>
      <c r="L54" s="238"/>
    </row>
    <row r="55" spans="1:12">
      <c r="A55" s="237"/>
      <c r="B55" s="237"/>
      <c r="C55" s="238"/>
      <c r="D55" s="236"/>
      <c r="E55" s="236"/>
      <c r="F55" s="238"/>
      <c r="K55" s="238"/>
      <c r="L55" s="238"/>
    </row>
    <row r="56" spans="1:12">
      <c r="A56" s="237"/>
      <c r="B56" s="237"/>
      <c r="C56" s="238"/>
      <c r="D56" s="236"/>
      <c r="E56" s="236"/>
      <c r="F56" s="238"/>
      <c r="K56" s="238"/>
      <c r="L56" s="238"/>
    </row>
    <row r="57" spans="1:12" ht="25.5" customHeight="1">
      <c r="A57" s="237"/>
      <c r="B57" s="237"/>
      <c r="C57" s="238"/>
      <c r="D57" s="236"/>
      <c r="E57" s="236"/>
      <c r="F57" s="238"/>
      <c r="K57" s="238"/>
      <c r="L57" s="238"/>
    </row>
    <row r="58" spans="1:12" ht="23.25" customHeight="1">
      <c r="A58" s="237"/>
      <c r="B58" s="237"/>
      <c r="C58" s="238"/>
      <c r="D58" s="236"/>
      <c r="E58" s="236"/>
      <c r="F58" s="238"/>
      <c r="K58" s="238"/>
      <c r="L58" s="238"/>
    </row>
    <row r="59" spans="1:12">
      <c r="C59" s="238"/>
      <c r="D59" s="236"/>
      <c r="E59" s="236"/>
      <c r="F59" s="238"/>
      <c r="G59" s="266"/>
      <c r="K59" s="238"/>
      <c r="L59" s="238"/>
    </row>
    <row r="60" spans="1:12">
      <c r="C60" s="238"/>
      <c r="D60" s="236"/>
      <c r="E60" s="236"/>
      <c r="F60" s="238"/>
      <c r="G60" s="266"/>
      <c r="K60" s="238"/>
      <c r="L60" s="238"/>
    </row>
    <row r="61" spans="1:12">
      <c r="C61" s="238"/>
      <c r="D61" s="236"/>
      <c r="E61" s="236"/>
      <c r="F61" s="238"/>
      <c r="K61" s="238"/>
      <c r="L61" s="238"/>
    </row>
    <row r="62" spans="1:12">
      <c r="C62" s="238"/>
      <c r="D62" s="236"/>
      <c r="E62" s="236"/>
      <c r="F62" s="238"/>
      <c r="K62" s="238"/>
      <c r="L62" s="238"/>
    </row>
    <row r="63" spans="1:12">
      <c r="C63" s="238"/>
      <c r="D63" s="236"/>
      <c r="E63" s="236"/>
      <c r="F63" s="238"/>
      <c r="K63" s="238"/>
      <c r="L63" s="238"/>
    </row>
    <row r="64" spans="1:12">
      <c r="C64" s="238"/>
      <c r="D64" s="236"/>
      <c r="E64" s="236"/>
      <c r="F64" s="238"/>
      <c r="K64" s="238"/>
      <c r="L64" s="238"/>
    </row>
    <row r="65" spans="3:12" ht="17.25" customHeight="1">
      <c r="C65" s="238"/>
      <c r="D65" s="236"/>
      <c r="E65" s="236"/>
      <c r="F65" s="238"/>
      <c r="K65" s="238"/>
      <c r="L65" s="238"/>
    </row>
    <row r="66" spans="3:12">
      <c r="C66" s="238"/>
      <c r="D66" s="236"/>
      <c r="E66" s="236"/>
      <c r="F66" s="238"/>
      <c r="G66" s="267"/>
      <c r="K66" s="238"/>
      <c r="L66" s="238"/>
    </row>
    <row r="67" spans="3:12">
      <c r="C67" s="238"/>
      <c r="D67" s="236"/>
      <c r="E67" s="236"/>
      <c r="F67" s="238"/>
      <c r="K67" s="238"/>
      <c r="L67" s="238"/>
    </row>
    <row r="68" spans="3:12" ht="18" customHeight="1">
      <c r="C68" s="238"/>
      <c r="D68" s="236"/>
      <c r="E68" s="236"/>
      <c r="F68" s="238"/>
      <c r="K68" s="238"/>
      <c r="L68" s="238"/>
    </row>
    <row r="69" spans="3:12" ht="15" customHeight="1">
      <c r="C69" s="238"/>
      <c r="D69" s="236"/>
      <c r="E69" s="236"/>
      <c r="F69" s="238"/>
      <c r="K69" s="238"/>
      <c r="L69" s="238"/>
    </row>
    <row r="70" spans="3:12" ht="17.25" customHeight="1">
      <c r="C70" s="238"/>
      <c r="D70" s="236"/>
      <c r="E70" s="236"/>
      <c r="F70" s="238"/>
      <c r="K70" s="238"/>
      <c r="L70" s="238"/>
    </row>
    <row r="71" spans="3:12">
      <c r="C71" s="238"/>
      <c r="D71" s="236"/>
      <c r="E71" s="236"/>
      <c r="F71" s="238"/>
      <c r="K71" s="238"/>
      <c r="L71" s="238"/>
    </row>
    <row r="72" spans="3:12" ht="21" customHeight="1">
      <c r="C72" s="238"/>
      <c r="D72" s="236"/>
      <c r="E72" s="236"/>
      <c r="F72" s="238"/>
      <c r="G72" s="266"/>
      <c r="K72" s="238"/>
      <c r="L72" s="238"/>
    </row>
    <row r="73" spans="3:12" ht="21" customHeight="1">
      <c r="C73" s="238"/>
      <c r="D73" s="236"/>
      <c r="E73" s="236"/>
      <c r="F73" s="238"/>
      <c r="K73" s="238"/>
      <c r="L73" s="238"/>
    </row>
    <row r="74" spans="3:12" ht="18.75" customHeight="1">
      <c r="D74" s="240"/>
      <c r="E74" s="241"/>
    </row>
    <row r="75" spans="3:12" ht="19.5" customHeight="1">
      <c r="D75" s="240"/>
      <c r="E75" s="241"/>
    </row>
    <row r="76" spans="3:12" ht="19.5" customHeight="1">
      <c r="D76" s="240"/>
      <c r="E76" s="241"/>
    </row>
    <row r="77" spans="3:12" ht="20.25" customHeight="1">
      <c r="D77" s="240"/>
      <c r="E77" s="241"/>
    </row>
    <row r="78" spans="3:12" ht="22.5" customHeight="1">
      <c r="D78" s="240"/>
      <c r="E78" s="241"/>
    </row>
    <row r="79" spans="3:12" ht="15.75" customHeight="1">
      <c r="D79" s="240"/>
      <c r="E79" s="241"/>
    </row>
    <row r="80" spans="3:12" ht="17.25" customHeight="1">
      <c r="D80" s="240"/>
    </row>
    <row r="81" spans="4:12" ht="18" customHeight="1">
      <c r="D81" s="240"/>
      <c r="E81" s="241"/>
    </row>
    <row r="82" spans="4:12" ht="23.25" customHeight="1"/>
    <row r="83" spans="4:12" ht="21" customHeight="1">
      <c r="F83" s="242"/>
      <c r="K83" s="242"/>
      <c r="L83" s="242"/>
    </row>
    <row r="87" spans="4:12">
      <c r="F87" s="243"/>
      <c r="K87" s="243"/>
      <c r="L87" s="243"/>
    </row>
  </sheetData>
  <phoneticPr fontId="31" type="noConversion"/>
  <conditionalFormatting sqref="D22:D24">
    <cfRule type="expression" dxfId="1" priority="2" stopIfTrue="1">
      <formula>ISERROR(D22)</formula>
    </cfRule>
  </conditionalFormatting>
  <conditionalFormatting sqref="H22:H24">
    <cfRule type="expression" dxfId="0" priority="1" stopIfTrue="1">
      <formula>ISERROR(H22)</formula>
    </cfRule>
  </conditionalFormatting>
  <pageMargins left="0.78740157480314965" right="0.78740157480314965" top="0.98425196850393704" bottom="0.98425196850393704" header="0.51181102362204722" footer="0.51181102362204722"/>
  <pageSetup paperSize="9" scale="58"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6">
    <pageSetUpPr fitToPage="1"/>
  </sheetPr>
  <dimension ref="B1:AB85"/>
  <sheetViews>
    <sheetView showGridLines="0" zoomScale="86" zoomScaleNormal="100" workbookViewId="0">
      <selection activeCell="C37" sqref="C37"/>
    </sheetView>
  </sheetViews>
  <sheetFormatPr defaultColWidth="9.109375" defaultRowHeight="14.4"/>
  <cols>
    <col min="1" max="1" width="2.109375" style="2" customWidth="1"/>
    <col min="2" max="2" width="25.5546875" style="2" bestFit="1" customWidth="1"/>
    <col min="3" max="4" width="17.44140625" style="2" customWidth="1"/>
    <col min="5" max="5" width="13.88671875" style="40" customWidth="1"/>
    <col min="6" max="6" width="14.88671875" style="2" bestFit="1" customWidth="1"/>
    <col min="7" max="7" width="23.33203125" style="2" bestFit="1" customWidth="1"/>
    <col min="8" max="8" width="19.6640625" style="48" bestFit="1" customWidth="1"/>
    <col min="9" max="10" width="17.5546875" style="2" bestFit="1" customWidth="1"/>
    <col min="11" max="11" width="9.109375" style="2"/>
    <col min="12" max="12" width="9.33203125" style="2" bestFit="1" customWidth="1"/>
    <col min="13" max="13" width="14.88671875" style="2" bestFit="1" customWidth="1"/>
    <col min="14" max="14" width="51.109375" style="2" customWidth="1"/>
    <col min="15" max="15" width="5.33203125" style="2" bestFit="1" customWidth="1"/>
    <col min="16" max="16" width="14.5546875" style="2" bestFit="1" customWidth="1"/>
    <col min="17" max="17" width="10.5546875" style="2" customWidth="1"/>
    <col min="18" max="18" width="9.33203125" style="2" bestFit="1" customWidth="1"/>
    <col min="19" max="19" width="14.5546875" style="2" bestFit="1" customWidth="1"/>
    <col min="20" max="20" width="15.6640625" style="2" bestFit="1" customWidth="1"/>
    <col min="21" max="21" width="15.6640625" style="2" customWidth="1"/>
    <col min="22" max="22" width="23.6640625" style="2" bestFit="1" customWidth="1"/>
    <col min="23" max="23" width="15.6640625" style="100" bestFit="1" customWidth="1"/>
    <col min="24" max="24" width="17.5546875" style="2" bestFit="1" customWidth="1"/>
    <col min="25" max="25" width="23.88671875" style="2" bestFit="1" customWidth="1"/>
    <col min="26" max="26" width="12.109375" style="2" bestFit="1" customWidth="1"/>
    <col min="27" max="27" width="9.33203125" style="2" bestFit="1" customWidth="1"/>
    <col min="28" max="28" width="15.6640625" style="2" bestFit="1" customWidth="1"/>
    <col min="29" max="16384" width="9.109375" style="2"/>
  </cols>
  <sheetData>
    <row r="1" spans="2:28" ht="15" thickBot="1">
      <c r="K1" s="286" t="s">
        <v>153</v>
      </c>
      <c r="L1" s="286"/>
      <c r="M1" s="286" t="s">
        <v>154</v>
      </c>
      <c r="N1" s="286"/>
    </row>
    <row r="2" spans="2:28" ht="15" thickBot="1">
      <c r="I2" s="86" t="s">
        <v>155</v>
      </c>
      <c r="J2" s="142">
        <f>SUM(J3:J5)</f>
        <v>18</v>
      </c>
      <c r="K2" s="145" t="s">
        <v>122</v>
      </c>
      <c r="L2" s="79"/>
      <c r="M2" s="145" t="s">
        <v>156</v>
      </c>
      <c r="N2" s="80" t="s">
        <v>157</v>
      </c>
      <c r="O2" s="79"/>
      <c r="P2" s="80" t="s">
        <v>158</v>
      </c>
      <c r="W2" s="2"/>
      <c r="Y2" s="100"/>
    </row>
    <row r="3" spans="2:28">
      <c r="I3" s="2" t="s">
        <v>153</v>
      </c>
      <c r="J3" s="143">
        <f>COUNTA(K2:L9)</f>
        <v>8</v>
      </c>
      <c r="K3" s="81" t="s">
        <v>121</v>
      </c>
      <c r="L3" s="2" t="s">
        <v>133</v>
      </c>
      <c r="M3" s="81" t="s">
        <v>159</v>
      </c>
      <c r="N3" s="82"/>
      <c r="P3" s="82" t="s">
        <v>160</v>
      </c>
      <c r="W3" s="2"/>
      <c r="Y3" s="100"/>
    </row>
    <row r="4" spans="2:28" ht="15.75" customHeight="1">
      <c r="B4" s="291" t="s">
        <v>317</v>
      </c>
      <c r="C4" s="291"/>
      <c r="D4" s="291"/>
      <c r="E4" s="291"/>
      <c r="F4" s="291"/>
      <c r="G4" s="291"/>
      <c r="H4" s="291"/>
      <c r="I4" s="2" t="s">
        <v>154</v>
      </c>
      <c r="J4" s="144">
        <f>COUNTA(M2:N9)</f>
        <v>7</v>
      </c>
      <c r="K4" s="81"/>
      <c r="L4" s="2" t="s">
        <v>161</v>
      </c>
      <c r="M4" s="81" t="s">
        <v>162</v>
      </c>
      <c r="N4" s="82"/>
      <c r="P4" s="82" t="s">
        <v>163</v>
      </c>
      <c r="W4" s="2"/>
      <c r="Y4" s="100"/>
    </row>
    <row r="5" spans="2:28" ht="15" thickBot="1">
      <c r="B5" s="291"/>
      <c r="C5" s="291"/>
      <c r="D5" s="291"/>
      <c r="E5" s="291"/>
      <c r="F5" s="291"/>
      <c r="G5" s="291"/>
      <c r="H5" s="291"/>
      <c r="I5" s="2" t="s">
        <v>164</v>
      </c>
      <c r="J5" s="144">
        <f>COUNTA(P2:P9)</f>
        <v>3</v>
      </c>
      <c r="K5" s="81" t="s">
        <v>131</v>
      </c>
      <c r="M5" s="81" t="s">
        <v>165</v>
      </c>
      <c r="N5" s="82"/>
      <c r="P5" s="82"/>
      <c r="W5" s="2"/>
      <c r="Y5" s="100"/>
    </row>
    <row r="6" spans="2:28" ht="15.6">
      <c r="B6" s="292" t="s">
        <v>166</v>
      </c>
      <c r="C6" s="293"/>
      <c r="D6" s="293"/>
      <c r="E6" s="294"/>
      <c r="J6" s="35"/>
      <c r="K6" s="81" t="s">
        <v>167</v>
      </c>
      <c r="M6" s="81" t="s">
        <v>168</v>
      </c>
      <c r="N6" s="82"/>
      <c r="P6" s="82"/>
      <c r="W6" s="2"/>
      <c r="Y6" s="100"/>
    </row>
    <row r="7" spans="2:28">
      <c r="B7" s="295" t="s">
        <v>169</v>
      </c>
      <c r="C7" s="296"/>
      <c r="D7" s="296"/>
      <c r="E7" s="297"/>
      <c r="F7" s="78"/>
      <c r="G7" s="78"/>
      <c r="H7" s="177"/>
      <c r="I7" s="99"/>
      <c r="J7" s="35"/>
      <c r="K7" s="81" t="s">
        <v>130</v>
      </c>
      <c r="M7" s="81" t="s">
        <v>125</v>
      </c>
      <c r="N7" s="82"/>
      <c r="P7" s="82"/>
      <c r="W7" s="2"/>
      <c r="Y7" s="100"/>
    </row>
    <row r="8" spans="2:28" ht="15" thickBot="1">
      <c r="B8" s="215" t="s">
        <v>170</v>
      </c>
      <c r="C8" s="216" t="s">
        <v>171</v>
      </c>
      <c r="D8" s="77" t="s">
        <v>112</v>
      </c>
      <c r="E8" s="41" t="s">
        <v>172</v>
      </c>
      <c r="H8" s="49"/>
      <c r="I8" s="136"/>
      <c r="J8" s="100"/>
      <c r="K8" s="146" t="s">
        <v>173</v>
      </c>
      <c r="M8" s="81"/>
      <c r="N8" s="82"/>
      <c r="P8" s="82"/>
      <c r="W8" s="2"/>
      <c r="Y8" s="100"/>
    </row>
    <row r="9" spans="2:28" ht="15.6">
      <c r="B9" s="42" t="s">
        <v>174</v>
      </c>
      <c r="C9" s="45" t="e">
        <f>SUMIF('REAL DR'!J37:J1755,"RIBAMAR FIQUENE",'REAL DR'!Q37:Q1755)</f>
        <v>#VALUE!</v>
      </c>
      <c r="D9" s="57" t="str">
        <f>IF(E9&lt;&gt;"",VLOOKUP(E9,'RESUMO DR'!$F$10:$G$20,2,FALSE),"")</f>
        <v>IMPERATRIZ</v>
      </c>
      <c r="E9" s="43" t="s">
        <v>175</v>
      </c>
      <c r="F9" s="300" t="s">
        <v>112</v>
      </c>
      <c r="G9" s="301"/>
      <c r="H9" s="302"/>
      <c r="I9" s="99"/>
      <c r="K9" s="147"/>
      <c r="L9" s="84"/>
      <c r="M9" s="83"/>
      <c r="N9" s="85"/>
      <c r="O9" s="84"/>
      <c r="P9" s="85"/>
      <c r="W9" s="2"/>
      <c r="Y9" s="100"/>
      <c r="AB9" s="100"/>
    </row>
    <row r="10" spans="2:28" ht="15.6">
      <c r="B10" s="42" t="s">
        <v>176</v>
      </c>
      <c r="C10" s="45" t="e">
        <f>SUMIF('REAL DR'!J37:J1755,"campestre",'REAL DR'!Q37:Q1755)</f>
        <v>#VALUE!</v>
      </c>
      <c r="D10" s="57" t="str">
        <f>IF(E10&lt;&gt;"",VLOOKUP(E10,'RESUMO DR'!$F$10:$G$20,2,FALSE),"")</f>
        <v>IMPERATRIZ</v>
      </c>
      <c r="E10" s="43" t="s">
        <v>175</v>
      </c>
      <c r="F10" s="50" t="s">
        <v>175</v>
      </c>
      <c r="G10" s="51" t="s">
        <v>86</v>
      </c>
      <c r="H10" s="197" t="e">
        <f>SUMIF(E9:E34,"T-01",C9:C34)</f>
        <v>#VALUE!</v>
      </c>
      <c r="I10" s="100" t="s">
        <v>177</v>
      </c>
      <c r="J10" s="100" t="s">
        <v>178</v>
      </c>
    </row>
    <row r="11" spans="2:28" ht="15.6">
      <c r="B11" s="42" t="s">
        <v>179</v>
      </c>
      <c r="C11" s="45" t="e">
        <f>SUMIF('REAL DR'!J37:J1355,"PORTO FRANCO",'REAL DR'!Q37:Q1355)</f>
        <v>#VALUE!</v>
      </c>
      <c r="D11" s="57" t="str">
        <f>IF(E11&lt;&gt;"",VLOOKUP(E11,'RESUMO DR'!$F$10:$G$20,2,FALSE),"")</f>
        <v>IMPERATRIZ</v>
      </c>
      <c r="E11" s="43" t="s">
        <v>175</v>
      </c>
      <c r="F11" s="50" t="s">
        <v>180</v>
      </c>
      <c r="G11" s="51" t="s">
        <v>144</v>
      </c>
      <c r="H11" s="52" t="e">
        <f>SUMIF(E9:E34,"T-02",C9:C34)</f>
        <v>#VALUE!</v>
      </c>
      <c r="I11" s="99" t="e">
        <f>H11-C13</f>
        <v>#VALUE!</v>
      </c>
      <c r="J11" s="171" t="e">
        <f>H11-I11</f>
        <v>#VALUE!</v>
      </c>
      <c r="K11" s="100" t="s">
        <v>99</v>
      </c>
      <c r="L11" s="100" t="s">
        <v>181</v>
      </c>
      <c r="M11" s="100" t="s">
        <v>101</v>
      </c>
      <c r="N11" s="100" t="s">
        <v>107</v>
      </c>
      <c r="O11" s="100" t="s">
        <v>1</v>
      </c>
      <c r="P11" s="100" t="s">
        <v>108</v>
      </c>
      <c r="Q11" s="100" t="s">
        <v>182</v>
      </c>
      <c r="R11" s="100" t="s">
        <v>183</v>
      </c>
      <c r="S11" s="100" t="s">
        <v>184</v>
      </c>
      <c r="T11" s="100" t="s">
        <v>185</v>
      </c>
      <c r="U11" s="100" t="s">
        <v>186</v>
      </c>
      <c r="V11" s="100" t="s">
        <v>187</v>
      </c>
      <c r="W11" s="100" t="s">
        <v>188</v>
      </c>
      <c r="X11" s="100" t="s">
        <v>189</v>
      </c>
      <c r="Y11" s="100" t="s">
        <v>190</v>
      </c>
    </row>
    <row r="12" spans="2:28" ht="15.6">
      <c r="B12" s="42" t="s">
        <v>191</v>
      </c>
      <c r="C12" s="45" t="e">
        <f>SUMIF('REAL DR'!J37:J1755,"IMPERATRIZ",'REAL DR'!Q37:Q1755)</f>
        <v>#VALUE!</v>
      </c>
      <c r="D12" s="57" t="str">
        <f>IF(E12&lt;&gt;"",VLOOKUP(E12,'RESUMO DR'!$F$10:$G$20,2,FALSE),"")</f>
        <v>IMPERATRIZ</v>
      </c>
      <c r="E12" s="43" t="s">
        <v>175</v>
      </c>
      <c r="F12" s="53" t="s">
        <v>192</v>
      </c>
      <c r="G12" s="54" t="s">
        <v>193</v>
      </c>
      <c r="H12" s="55" t="e">
        <f>SUMIF(E9:E34,"T-03",C9:C34)</f>
        <v>#VALUE!</v>
      </c>
      <c r="J12" s="99"/>
      <c r="K12" s="100"/>
      <c r="L12" s="100">
        <v>120</v>
      </c>
      <c r="M12" s="100">
        <f>IF(L12&lt;&gt;"",VLOOKUP(L12,'Catálogo SAP'!$A$1:$F$245,2,FALSE),"-")</f>
        <v>120</v>
      </c>
      <c r="N12" s="100" t="str">
        <f>IF(L12&lt;&gt;"",VLOOKUP(L12,'Catálogo SAP'!A:F,3,FALSE),"")</f>
        <v>S.VP-01437</v>
      </c>
      <c r="O12" s="100" t="e">
        <f>IF(M12&lt;&gt;"",VLOOKUP(M12,'Catálogo SAP'!C:F,3,FALSE),"")</f>
        <v>#N/A</v>
      </c>
      <c r="P12" s="100" t="e">
        <f>IF(N12&lt;&gt;"",VLOOKUP(N12,'Catálogo SAP'!D:F,3,FALSE),"")</f>
        <v>#N/A</v>
      </c>
      <c r="Q12" s="137">
        <v>2</v>
      </c>
      <c r="R12" s="137">
        <v>9</v>
      </c>
      <c r="S12" s="100">
        <v>22</v>
      </c>
      <c r="T12" s="138">
        <v>19</v>
      </c>
      <c r="U12" s="100">
        <v>176</v>
      </c>
      <c r="V12" s="136" t="e">
        <f>P12*Q12*U12</f>
        <v>#N/A</v>
      </c>
      <c r="W12" s="136" t="e">
        <f>R12*Q12*P12</f>
        <v>#N/A</v>
      </c>
      <c r="X12" s="136" t="e">
        <f>S12*W12</f>
        <v>#N/A</v>
      </c>
      <c r="Y12" s="94" t="e">
        <f>T12*W12</f>
        <v>#N/A</v>
      </c>
      <c r="Z12" s="101" t="e">
        <f>Y12/X12</f>
        <v>#N/A</v>
      </c>
    </row>
    <row r="13" spans="2:28" ht="15.6">
      <c r="B13" s="42" t="s">
        <v>194</v>
      </c>
      <c r="C13" s="45" t="e">
        <f>SUMIF('REAL DR'!J37:J1755,"SAO LUIS",'REAL DR'!Q37:Q1755)</f>
        <v>#VALUE!</v>
      </c>
      <c r="D13" s="57" t="str">
        <f>IF(E13&lt;&gt;"",VLOOKUP(E13,'RESUMO DR'!$F$10:$G$20,2,FALSE),"")</f>
        <v>ARAGUAINA</v>
      </c>
      <c r="E13" s="43" t="s">
        <v>180</v>
      </c>
      <c r="F13" s="53" t="s">
        <v>195</v>
      </c>
      <c r="G13" s="54" t="s">
        <v>196</v>
      </c>
      <c r="H13" s="55">
        <f>SUMIF(E10:E35,"T-04",C10:C35)</f>
        <v>0</v>
      </c>
      <c r="I13" s="99"/>
      <c r="J13" s="99"/>
      <c r="K13" s="100"/>
      <c r="L13" s="100">
        <v>130</v>
      </c>
      <c r="M13" s="100">
        <f>IF(L13&lt;&gt;"",VLOOKUP(L13,'Catálogo SAP'!$A$1:$F$245,2,FALSE),"-")</f>
        <v>130</v>
      </c>
      <c r="N13" s="100" t="str">
        <f>IF(L13&lt;&gt;"",VLOOKUP(L13,'Catálogo SAP'!A:F,3,FALSE),"")</f>
        <v>S.VP-01438</v>
      </c>
      <c r="O13" s="100" t="e">
        <f>IF(M13&lt;&gt;"",VLOOKUP(M13,'Catálogo SAP'!C:F,3,FALSE),"")</f>
        <v>#N/A</v>
      </c>
      <c r="P13" s="100" t="e">
        <f>IF(N13&lt;&gt;"",VLOOKUP(N13,'Catálogo SAP'!D:F,3,FALSE),"")</f>
        <v>#N/A</v>
      </c>
      <c r="Q13" s="137"/>
      <c r="R13" s="137"/>
      <c r="S13" s="100"/>
      <c r="T13" s="139"/>
      <c r="U13" s="100"/>
      <c r="V13" s="100"/>
      <c r="W13" s="136" t="e">
        <f t="shared" ref="W13:W26" si="0">(Q13*R13)*P13</f>
        <v>#N/A</v>
      </c>
      <c r="X13" s="136" t="e">
        <f t="shared" ref="X13:X25" si="1">S13*W13</f>
        <v>#N/A</v>
      </c>
      <c r="Y13" s="140" t="e">
        <f t="shared" ref="Y13:Y25" si="2">T13*W13</f>
        <v>#N/A</v>
      </c>
      <c r="Z13" s="101" t="e">
        <f>Y13/X13</f>
        <v>#N/A</v>
      </c>
    </row>
    <row r="14" spans="2:28" ht="15.6">
      <c r="B14" s="42" t="s">
        <v>197</v>
      </c>
      <c r="C14" s="45" t="e">
        <f>SUMIF('REAL DR'!J37:J1755,"JOÃO LISBOA",'REAL DR'!Q37:Q1755)</f>
        <v>#VALUE!</v>
      </c>
      <c r="D14" s="57" t="str">
        <f>IF(E14&lt;&gt;"",VLOOKUP(E14,'RESUMO DR'!$F$10:$G$20,2,FALSE),"")</f>
        <v>IMPERATRIZ</v>
      </c>
      <c r="E14" s="43" t="s">
        <v>175</v>
      </c>
      <c r="F14" s="53" t="s">
        <v>164</v>
      </c>
      <c r="G14" s="54" t="s">
        <v>198</v>
      </c>
      <c r="H14" s="55">
        <f>C33</f>
        <v>0</v>
      </c>
      <c r="I14" s="289"/>
      <c r="K14" s="100"/>
      <c r="L14" s="100">
        <v>160</v>
      </c>
      <c r="M14" s="100">
        <f>IF(L14&lt;&gt;"",VLOOKUP(L14,'Catálogo SAP'!$A$1:$F$245,2,FALSE),"-")</f>
        <v>160</v>
      </c>
      <c r="N14" s="100" t="str">
        <f>IF(L14&lt;&gt;"",VLOOKUP(L14,'Catálogo SAP'!A:F,3,FALSE),"")</f>
        <v>S.VP-01441</v>
      </c>
      <c r="O14" s="100" t="e">
        <f>IF(M14&lt;&gt;"",VLOOKUP(M14,'Catálogo SAP'!C:F,3,FALSE),"")</f>
        <v>#N/A</v>
      </c>
      <c r="P14" s="100" t="e">
        <f>IF(N14&lt;&gt;"",VLOOKUP(N14,'Catálogo SAP'!D:F,3,FALSE),"")</f>
        <v>#N/A</v>
      </c>
      <c r="Q14" s="137">
        <v>2</v>
      </c>
      <c r="R14" s="137">
        <v>9</v>
      </c>
      <c r="S14" s="100">
        <v>22</v>
      </c>
      <c r="T14" s="138">
        <v>18</v>
      </c>
      <c r="U14" s="100">
        <v>176</v>
      </c>
      <c r="V14" s="156" t="e">
        <f>P14*Q14*U14</f>
        <v>#N/A</v>
      </c>
      <c r="W14" s="136" t="e">
        <f>(Q14*R14)*P14</f>
        <v>#N/A</v>
      </c>
      <c r="X14" s="136" t="e">
        <f>S14*W14</f>
        <v>#N/A</v>
      </c>
      <c r="Y14" s="140" t="e">
        <f t="shared" si="2"/>
        <v>#N/A</v>
      </c>
      <c r="Z14" s="101" t="e">
        <f t="shared" ref="Z14:Z25" si="3">Y14/X14</f>
        <v>#N/A</v>
      </c>
    </row>
    <row r="15" spans="2:28" ht="16.2" thickBot="1">
      <c r="B15" s="42" t="s">
        <v>199</v>
      </c>
      <c r="C15" s="45">
        <f>SUMIF('REAL DR'!J37:J1756,"AÇAILÂNDIA",'REAL DR'!Q37:Q1756)</f>
        <v>0</v>
      </c>
      <c r="D15" s="57" t="str">
        <f>IF(E15&lt;&gt;"",VLOOKUP(E15,'RESUMO DR'!$F$10:$G$20,2,FALSE),"")</f>
        <v>IMPERATRIZ</v>
      </c>
      <c r="E15" s="43" t="s">
        <v>175</v>
      </c>
      <c r="F15" s="298" t="s">
        <v>200</v>
      </c>
      <c r="G15" s="299"/>
      <c r="H15" s="56" t="e">
        <f>SUM(H10:H14)</f>
        <v>#VALUE!</v>
      </c>
      <c r="I15" s="290"/>
      <c r="K15" s="100"/>
      <c r="L15" s="100">
        <v>170</v>
      </c>
      <c r="M15" s="100">
        <f>IF(L15&lt;&gt;"",VLOOKUP(L15,'Catálogo SAP'!$A$1:$F$245,2,FALSE),"-")</f>
        <v>170</v>
      </c>
      <c r="N15" s="100" t="str">
        <f>IF(L15&lt;&gt;"",VLOOKUP(L15,'Catálogo SAP'!A:F,3,FALSE),"")</f>
        <v>S.VP-01442</v>
      </c>
      <c r="O15" s="100" t="e">
        <f>IF(M15&lt;&gt;"",VLOOKUP(M15,'Catálogo SAP'!C:F,3,FALSE),"")</f>
        <v>#N/A</v>
      </c>
      <c r="P15" s="100" t="e">
        <f>IF(N15&lt;&gt;"",VLOOKUP(N15,'Catálogo SAP'!D:F,3,FALSE),"")</f>
        <v>#N/A</v>
      </c>
      <c r="Q15" s="137"/>
      <c r="R15" s="137"/>
      <c r="S15" s="100"/>
      <c r="T15" s="139"/>
      <c r="U15" s="100"/>
      <c r="V15" s="100"/>
      <c r="W15" s="136" t="e">
        <f t="shared" si="0"/>
        <v>#N/A</v>
      </c>
      <c r="X15" s="136" t="e">
        <f t="shared" si="1"/>
        <v>#N/A</v>
      </c>
      <c r="Y15" s="140" t="e">
        <f t="shared" si="2"/>
        <v>#N/A</v>
      </c>
      <c r="Z15" s="101" t="e">
        <f t="shared" si="3"/>
        <v>#N/A</v>
      </c>
    </row>
    <row r="16" spans="2:28" ht="15" thickBot="1">
      <c r="B16" s="42" t="s">
        <v>201</v>
      </c>
      <c r="C16" s="45" t="e">
        <f>SUMIF('REAL DR'!J37:J1857,"S.F. BREJÃO",'REAL DR'!Q37:Q1857)</f>
        <v>#VALUE!</v>
      </c>
      <c r="D16" s="57" t="str">
        <f>IF(E16&lt;&gt;"",VLOOKUP(E16,'RESUMO DR'!$F$10:$G$20,2,FALSE),"")</f>
        <v>IMPERATRIZ</v>
      </c>
      <c r="E16" s="43" t="s">
        <v>175</v>
      </c>
      <c r="K16" s="100"/>
      <c r="L16" s="100">
        <v>200</v>
      </c>
      <c r="M16" s="100">
        <f>IF(L16&lt;&gt;"",VLOOKUP(L16,'Catálogo SAP'!$A$1:$F$245,2,FALSE),"-")</f>
        <v>200</v>
      </c>
      <c r="N16" s="100" t="str">
        <f>IF(L16&lt;&gt;"",VLOOKUP(L16,'Catálogo SAP'!A:F,3,FALSE),"")</f>
        <v>S.VP-01445</v>
      </c>
      <c r="O16" s="100" t="e">
        <f>IF(M16&lt;&gt;"",VLOOKUP(M16,'Catálogo SAP'!C:F,3,FALSE),"")</f>
        <v>#N/A</v>
      </c>
      <c r="P16" s="175" t="e">
        <f>IF(N16&lt;&gt;"",VLOOKUP(N16,'Catálogo SAP'!D:F,3,FALSE),"")</f>
        <v>#N/A</v>
      </c>
      <c r="Q16" s="137">
        <v>4</v>
      </c>
      <c r="R16" s="137">
        <v>9</v>
      </c>
      <c r="S16" s="100">
        <v>22</v>
      </c>
      <c r="T16" s="138">
        <v>19</v>
      </c>
      <c r="U16" s="100">
        <v>176</v>
      </c>
      <c r="V16" s="136" t="e">
        <f>U16*P16*Q16</f>
        <v>#N/A</v>
      </c>
      <c r="W16" s="136" t="e">
        <f>(Q16*R16)*P16</f>
        <v>#N/A</v>
      </c>
      <c r="X16" s="136" t="e">
        <f>S16*W16</f>
        <v>#N/A</v>
      </c>
      <c r="Y16" s="140" t="e">
        <f t="shared" si="2"/>
        <v>#N/A</v>
      </c>
      <c r="Z16" s="101" t="e">
        <f t="shared" si="3"/>
        <v>#N/A</v>
      </c>
    </row>
    <row r="17" spans="2:28" ht="15.6">
      <c r="B17" s="42" t="s">
        <v>202</v>
      </c>
      <c r="C17" s="45" t="e">
        <f>SUMIF('REAL DR'!J37:J1755,"EDSON LOBÃO",'REAL DR'!Q37:Q1755)</f>
        <v>#VALUE!</v>
      </c>
      <c r="D17" s="57" t="str">
        <f>IF(E17&lt;&gt;"",VLOOKUP(E17,'RESUMO DR'!$F$10:$G$20,2,FALSE),"")</f>
        <v>IMPERATRIZ</v>
      </c>
      <c r="E17" s="43" t="s">
        <v>175</v>
      </c>
      <c r="F17" s="303"/>
      <c r="G17" s="304"/>
      <c r="H17" s="305"/>
      <c r="K17" s="100"/>
      <c r="L17" s="100">
        <v>210</v>
      </c>
      <c r="M17" s="100">
        <f>IF(L17&lt;&gt;"",VLOOKUP(L17,'Catálogo SAP'!$A$1:$F$245,2,FALSE),"-")</f>
        <v>210</v>
      </c>
      <c r="N17" s="100" t="str">
        <f>IF(L17&lt;&gt;"",VLOOKUP(L17,'Catálogo SAP'!A:F,3,FALSE),"")</f>
        <v>S.VP-01446</v>
      </c>
      <c r="O17" s="100" t="e">
        <f>IF(M17&lt;&gt;"",VLOOKUP(M17,'Catálogo SAP'!C:F,3,FALSE),"")</f>
        <v>#N/A</v>
      </c>
      <c r="P17" s="100" t="e">
        <f>IF(N17&lt;&gt;"",VLOOKUP(N17,'Catálogo SAP'!D:F,3,FALSE),"")</f>
        <v>#N/A</v>
      </c>
      <c r="Q17" s="137"/>
      <c r="R17" s="137"/>
      <c r="S17" s="100"/>
      <c r="T17" s="139"/>
      <c r="U17" s="100"/>
      <c r="V17" s="100"/>
      <c r="W17" s="136" t="e">
        <f t="shared" si="0"/>
        <v>#N/A</v>
      </c>
      <c r="X17" s="136" t="e">
        <f t="shared" si="1"/>
        <v>#N/A</v>
      </c>
      <c r="Y17" s="140" t="e">
        <f t="shared" si="2"/>
        <v>#N/A</v>
      </c>
      <c r="Z17" s="101" t="e">
        <f t="shared" si="3"/>
        <v>#N/A</v>
      </c>
    </row>
    <row r="18" spans="2:28" ht="15.6">
      <c r="B18" s="42" t="s">
        <v>203</v>
      </c>
      <c r="C18" s="45" t="e">
        <f>SUMIF('REAL DR'!J37:J2077,"Palmeirante",'REAL DR'!Q37:Q2077)</f>
        <v>#VALUE!</v>
      </c>
      <c r="D18" s="57" t="str">
        <f>IF(E18&lt;&gt;"",VLOOKUP(E18,'RESUMO DR'!$F$10:$G$22,2,FALSE),"")</f>
        <v>ARAGUAINA</v>
      </c>
      <c r="E18" s="43" t="s">
        <v>180</v>
      </c>
      <c r="F18" s="188"/>
      <c r="G18" s="189"/>
      <c r="H18" s="190"/>
      <c r="K18" s="100"/>
      <c r="L18" s="100">
        <v>280</v>
      </c>
      <c r="M18" s="100">
        <f>IF(L18&lt;&gt;"",VLOOKUP(L18,'Catálogo SAP'!$A$1:$F$245,2,FALSE),"-")</f>
        <v>280</v>
      </c>
      <c r="N18" s="100" t="str">
        <f>IF(L18&lt;&gt;"",VLOOKUP(L18,'Catálogo SAP'!A:F,3,FALSE),"")</f>
        <v>S.VP-01453</v>
      </c>
      <c r="O18" s="100" t="e">
        <f>IF(M18&lt;&gt;"",VLOOKUP(M18,'Catálogo SAP'!C:F,3,FALSE),"")</f>
        <v>#N/A</v>
      </c>
      <c r="P18" s="100" t="e">
        <f>IF(N18&lt;&gt;"",VLOOKUP(N18,'Catálogo SAP'!D:F,3,FALSE),"")</f>
        <v>#N/A</v>
      </c>
      <c r="Q18" s="137">
        <v>1</v>
      </c>
      <c r="R18" s="137">
        <v>9</v>
      </c>
      <c r="S18" s="100">
        <v>22</v>
      </c>
      <c r="T18" s="138">
        <v>19</v>
      </c>
      <c r="U18" s="100">
        <v>176</v>
      </c>
      <c r="V18" s="136" t="e">
        <f>P18*Q18*U18</f>
        <v>#N/A</v>
      </c>
      <c r="W18" s="136" t="e">
        <f>(Q18*R18)*P18</f>
        <v>#N/A</v>
      </c>
      <c r="X18" s="136" t="e">
        <f>S18*W18</f>
        <v>#N/A</v>
      </c>
      <c r="Y18" s="140" t="e">
        <f t="shared" si="2"/>
        <v>#N/A</v>
      </c>
      <c r="Z18" s="101" t="e">
        <f t="shared" si="3"/>
        <v>#N/A</v>
      </c>
    </row>
    <row r="19" spans="2:28" ht="15.6">
      <c r="B19" s="42" t="s">
        <v>204</v>
      </c>
      <c r="C19" s="45" t="e">
        <f>SUMIF('REAL DR'!J37:J1757,"Tupiratins",'REAL DR'!Q37:Q1757)</f>
        <v>#VALUE!</v>
      </c>
      <c r="D19" s="57" t="str">
        <f>IF(E19&lt;&gt;"",VLOOKUP(E19,'RESUMO DR'!$F$10:$G$22,2,FALSE),"")</f>
        <v>PALMAS</v>
      </c>
      <c r="E19" s="43" t="s">
        <v>192</v>
      </c>
      <c r="F19" s="188"/>
      <c r="G19" s="189"/>
      <c r="H19" s="190"/>
      <c r="K19" s="100"/>
      <c r="L19" s="100">
        <v>290</v>
      </c>
      <c r="M19" s="100">
        <f>IF(L19&lt;&gt;"",VLOOKUP(L19,'Catálogo SAP'!$A$1:$F$245,2,FALSE),"-")</f>
        <v>290</v>
      </c>
      <c r="N19" s="100" t="str">
        <f>IF(L19&lt;&gt;"",VLOOKUP(L19,'Catálogo SAP'!A:F,3,FALSE),"")</f>
        <v>S.VP-01454</v>
      </c>
      <c r="O19" s="100" t="e">
        <f>IF(M19&lt;&gt;"",VLOOKUP(M19,'Catálogo SAP'!C:F,3,FALSE),"")</f>
        <v>#N/A</v>
      </c>
      <c r="P19" s="100" t="e">
        <f>IF(N19&lt;&gt;"",VLOOKUP(N19,'Catálogo SAP'!D:F,3,FALSE),"")</f>
        <v>#N/A</v>
      </c>
      <c r="Q19" s="137"/>
      <c r="R19" s="137"/>
      <c r="S19" s="100"/>
      <c r="T19" s="139"/>
      <c r="U19" s="100"/>
      <c r="V19" s="100"/>
      <c r="W19" s="136" t="e">
        <f t="shared" si="0"/>
        <v>#N/A</v>
      </c>
      <c r="X19" s="136" t="e">
        <f t="shared" si="1"/>
        <v>#N/A</v>
      </c>
      <c r="Y19" s="140" t="e">
        <f t="shared" si="2"/>
        <v>#N/A</v>
      </c>
      <c r="Z19" s="101" t="e">
        <f t="shared" si="3"/>
        <v>#N/A</v>
      </c>
    </row>
    <row r="20" spans="2:28" ht="15.6">
      <c r="B20" s="42" t="s">
        <v>205</v>
      </c>
      <c r="C20" s="45" t="e">
        <f>SUMIF('REAL DR'!J37:J1729,"Guaraí",'REAL DR'!Q37:Q1729)</f>
        <v>#VALUE!</v>
      </c>
      <c r="D20" s="57" t="str">
        <f>IF(E20&lt;&gt;"",VLOOKUP(E20,'RESUMO DR'!$F$10:$G$22,2,FALSE),"")</f>
        <v>PALMAS</v>
      </c>
      <c r="E20" s="43" t="s">
        <v>192</v>
      </c>
      <c r="F20" s="188"/>
      <c r="G20" s="189"/>
      <c r="H20" s="190"/>
      <c r="I20" s="48"/>
      <c r="K20" s="100"/>
      <c r="L20" s="100">
        <v>240</v>
      </c>
      <c r="M20" s="100">
        <f>IF(L20&lt;&gt;"",VLOOKUP(L20,'Catálogo SAP'!$A$1:$F$245,2,FALSE),"-")</f>
        <v>240</v>
      </c>
      <c r="N20" s="100" t="str">
        <f>IF(L20&lt;&gt;"",VLOOKUP(L20,'Catálogo SAP'!A:F,3,FALSE),"")</f>
        <v>S.VP-01449</v>
      </c>
      <c r="O20" s="100" t="e">
        <f>IF(M20&lt;&gt;"",VLOOKUP(M20,'Catálogo SAP'!C:F,3,FALSE),"")</f>
        <v>#N/A</v>
      </c>
      <c r="P20" s="100" t="e">
        <f>IF(N20&lt;&gt;"",VLOOKUP(N20,'Catálogo SAP'!D:F,3,FALSE),"")</f>
        <v>#N/A</v>
      </c>
      <c r="Q20" s="137"/>
      <c r="R20" s="137">
        <v>9</v>
      </c>
      <c r="S20" s="100"/>
      <c r="T20" s="138"/>
      <c r="U20" s="100"/>
      <c r="V20" s="100"/>
      <c r="W20" s="136" t="e">
        <f t="shared" si="0"/>
        <v>#N/A</v>
      </c>
      <c r="X20" s="136" t="e">
        <f t="shared" si="1"/>
        <v>#N/A</v>
      </c>
      <c r="Y20" s="140" t="e">
        <f t="shared" si="2"/>
        <v>#N/A</v>
      </c>
      <c r="Z20" s="101" t="e">
        <f t="shared" si="3"/>
        <v>#N/A</v>
      </c>
    </row>
    <row r="21" spans="2:28" ht="15.6">
      <c r="B21" s="42" t="s">
        <v>206</v>
      </c>
      <c r="C21" s="45" t="e">
        <f>SUMIF('REAL DR'!J37:J1730,"Tupirama",'REAL DR'!Q37:Q1730)</f>
        <v>#VALUE!</v>
      </c>
      <c r="D21" s="57" t="str">
        <f>IF(E21&lt;&gt;"",VLOOKUP(E21,'RESUMO DR'!$F$10:$G$22,2,FALSE),"")</f>
        <v>PALMAS</v>
      </c>
      <c r="E21" s="43" t="s">
        <v>192</v>
      </c>
      <c r="F21" s="188"/>
      <c r="G21" s="189"/>
      <c r="H21" s="190"/>
      <c r="I21" s="48"/>
      <c r="K21" s="100"/>
      <c r="L21" s="100">
        <v>250</v>
      </c>
      <c r="M21" s="100">
        <f>IF(L21&lt;&gt;"",VLOOKUP(L21,'Catálogo SAP'!$A$1:$F$245,2,FALSE),"-")</f>
        <v>250</v>
      </c>
      <c r="N21" s="100" t="str">
        <f>IF(L21&lt;&gt;"",VLOOKUP(L21,'Catálogo SAP'!A:F,3,FALSE),"")</f>
        <v>S.VP-01450</v>
      </c>
      <c r="O21" s="100" t="e">
        <f>IF(M21&lt;&gt;"",VLOOKUP(M21,'Catálogo SAP'!C:F,3,FALSE),"")</f>
        <v>#N/A</v>
      </c>
      <c r="P21" s="100" t="e">
        <f>IF(N21&lt;&gt;"",VLOOKUP(N21,'Catálogo SAP'!D:F,3,FALSE),"")</f>
        <v>#N/A</v>
      </c>
      <c r="Q21" s="137">
        <v>2</v>
      </c>
      <c r="R21" s="137">
        <v>9</v>
      </c>
      <c r="S21" s="100">
        <v>22</v>
      </c>
      <c r="T21" s="139">
        <v>22</v>
      </c>
      <c r="U21" s="100">
        <f>176+36</f>
        <v>212</v>
      </c>
      <c r="V21" s="136" t="e">
        <f>U21*Q21*P21</f>
        <v>#N/A</v>
      </c>
      <c r="W21" s="136" t="e">
        <f>(Q21*R21)*P21</f>
        <v>#N/A</v>
      </c>
      <c r="X21" s="136" t="e">
        <f>S21*W21</f>
        <v>#N/A</v>
      </c>
      <c r="Y21" s="140" t="e">
        <f t="shared" si="2"/>
        <v>#N/A</v>
      </c>
      <c r="Z21" s="101" t="e">
        <f t="shared" si="3"/>
        <v>#N/A</v>
      </c>
    </row>
    <row r="22" spans="2:28" ht="15.6">
      <c r="B22" s="42" t="s">
        <v>207</v>
      </c>
      <c r="C22" s="45">
        <f>SUMIF('REAL DR'!J37:J1731,"Rio dos Bois",'REAL DR'!Q37:Q1731)</f>
        <v>0</v>
      </c>
      <c r="D22" s="57" t="str">
        <f>IF(E22&lt;&gt;"",VLOOKUP(E22,'RESUMO DR'!$F$10:$G$22,2,FALSE),"")</f>
        <v>PALMAS</v>
      </c>
      <c r="E22" s="43" t="s">
        <v>192</v>
      </c>
      <c r="F22" s="188"/>
      <c r="G22" s="191"/>
      <c r="H22" s="190"/>
      <c r="I22" s="164"/>
      <c r="J22" s="99"/>
      <c r="K22" s="100"/>
      <c r="L22" s="100">
        <v>400</v>
      </c>
      <c r="M22" s="100">
        <f>IF(L22&lt;&gt;"",VLOOKUP(L22,'Catálogo SAP'!$A$1:$F$245,2,FALSE),"-")</f>
        <v>400</v>
      </c>
      <c r="N22" s="100" t="str">
        <f>IF(L22&lt;&gt;"",VLOOKUP(L22,'Catálogo SAP'!A:F,3,FALSE),"")</f>
        <v>S.VP-01461</v>
      </c>
      <c r="O22" s="100" t="e">
        <f>IF(M22&lt;&gt;"",VLOOKUP(M22,'Catálogo SAP'!C:F,3,FALSE),"")</f>
        <v>#N/A</v>
      </c>
      <c r="P22" s="100" t="e">
        <f>IF(N22&lt;&gt;"",VLOOKUP(N22,'Catálogo SAP'!D:F,3,FALSE),"")</f>
        <v>#N/A</v>
      </c>
      <c r="Q22" s="137">
        <v>1</v>
      </c>
      <c r="R22" s="137">
        <v>9</v>
      </c>
      <c r="S22" s="100">
        <v>22</v>
      </c>
      <c r="T22" s="138">
        <v>10</v>
      </c>
      <c r="U22" s="100">
        <v>120</v>
      </c>
      <c r="V22" s="136" t="e">
        <f>U22*Q22*P22</f>
        <v>#N/A</v>
      </c>
      <c r="W22" s="136" t="e">
        <f t="shared" si="0"/>
        <v>#N/A</v>
      </c>
      <c r="X22" s="136" t="e">
        <f>S22*W22</f>
        <v>#N/A</v>
      </c>
      <c r="Y22" s="140" t="e">
        <f>T22*W22</f>
        <v>#N/A</v>
      </c>
      <c r="Z22" s="101" t="e">
        <f t="shared" si="3"/>
        <v>#N/A</v>
      </c>
    </row>
    <row r="23" spans="2:28" ht="16.2" thickBot="1">
      <c r="B23" s="42" t="s">
        <v>208</v>
      </c>
      <c r="C23" s="45">
        <f>SUMIF('REAL DR'!J37:J1755,"Miracema",'REAL DR'!Q37:Q1755)</f>
        <v>0</v>
      </c>
      <c r="D23" s="57" t="str">
        <f>IF(E23&lt;&gt;"",VLOOKUP(E23,'RESUMO DR'!$F$10:$G$22,2,FALSE),"")</f>
        <v>PALMAS</v>
      </c>
      <c r="E23" s="43" t="s">
        <v>192</v>
      </c>
      <c r="F23" s="192"/>
      <c r="G23" s="193"/>
      <c r="H23" s="194"/>
      <c r="I23" s="48"/>
      <c r="K23" s="100"/>
      <c r="L23" s="100">
        <v>410</v>
      </c>
      <c r="M23" s="100">
        <f>IF(L23&lt;&gt;"",VLOOKUP(L23,'Catálogo SAP'!$A$1:$F$245,2,FALSE),"-")</f>
        <v>410</v>
      </c>
      <c r="N23" s="100" t="str">
        <f>IF(L23&lt;&gt;"",VLOOKUP(L23,'Catálogo SAP'!A:F,3,FALSE),"")</f>
        <v>S.VP-01462</v>
      </c>
      <c r="O23" s="100" t="e">
        <f>IF(M23&lt;&gt;"",VLOOKUP(M23,'Catálogo SAP'!C:F,3,FALSE),"")</f>
        <v>#N/A</v>
      </c>
      <c r="P23" s="100" t="e">
        <f>IF(N23&lt;&gt;"",VLOOKUP(N23,'Catálogo SAP'!D:F,3,FALSE),"")</f>
        <v>#N/A</v>
      </c>
      <c r="Q23" s="137">
        <v>1</v>
      </c>
      <c r="R23" s="137">
        <v>9</v>
      </c>
      <c r="S23" s="100"/>
      <c r="T23" s="139"/>
      <c r="U23" s="100">
        <v>176</v>
      </c>
      <c r="V23" s="136" t="e">
        <f>U23*P23*Q23</f>
        <v>#N/A</v>
      </c>
      <c r="W23" s="136" t="e">
        <f t="shared" si="0"/>
        <v>#N/A</v>
      </c>
      <c r="X23" s="136" t="e">
        <f t="shared" si="1"/>
        <v>#N/A</v>
      </c>
      <c r="Y23" s="140" t="e">
        <f t="shared" si="2"/>
        <v>#N/A</v>
      </c>
      <c r="Z23" s="101" t="e">
        <f t="shared" si="3"/>
        <v>#N/A</v>
      </c>
    </row>
    <row r="24" spans="2:28">
      <c r="B24" s="42" t="s">
        <v>209</v>
      </c>
      <c r="C24" s="45">
        <f>SUMIF('REAL DR'!J37:J1755,"Porto Nacional",'REAL DR'!Q37:Q1755)</f>
        <v>0</v>
      </c>
      <c r="D24" s="57" t="str">
        <f>IF(E24&lt;&gt;"",VLOOKUP(E24,'RESUMO DR'!$F$10:$G$22,2,FALSE),"")</f>
        <v>PALMAS</v>
      </c>
      <c r="E24" s="43" t="s">
        <v>192</v>
      </c>
      <c r="G24" s="99"/>
      <c r="I24" s="48"/>
      <c r="J24" s="99"/>
      <c r="K24" s="100"/>
      <c r="L24" s="100">
        <v>520</v>
      </c>
      <c r="M24" s="100">
        <f>IF(L24&lt;&gt;"",VLOOKUP(L24,'Catálogo SAP'!$A$1:$F$245,2,FALSE),"-")</f>
        <v>520</v>
      </c>
      <c r="N24" s="100" t="str">
        <f>IF(L24&lt;&gt;"",VLOOKUP(L24,'Catálogo SAP'!A:F,3,FALSE),"")</f>
        <v>S.VP-01469</v>
      </c>
      <c r="O24" s="100" t="e">
        <f>IF(M24&lt;&gt;"",VLOOKUP(M24,'Catálogo SAP'!C:F,3,FALSE),"")</f>
        <v>#N/A</v>
      </c>
      <c r="P24" s="100" t="e">
        <f>IF(N24&lt;&gt;"",VLOOKUP(N24,'Catálogo SAP'!D:F,3,FALSE),"")</f>
        <v>#N/A</v>
      </c>
      <c r="Q24" s="137">
        <v>1</v>
      </c>
      <c r="R24" s="137">
        <v>9</v>
      </c>
      <c r="S24" s="100">
        <v>22</v>
      </c>
      <c r="T24" s="138">
        <v>19</v>
      </c>
      <c r="U24" s="100">
        <f>120</f>
        <v>120</v>
      </c>
      <c r="V24" s="136" t="e">
        <f>U24*P24*Q24</f>
        <v>#N/A</v>
      </c>
      <c r="W24" s="136" t="e">
        <f>(Q24*R24)*P24</f>
        <v>#N/A</v>
      </c>
      <c r="X24" s="136" t="e">
        <f>S24*W24</f>
        <v>#N/A</v>
      </c>
      <c r="Y24" s="140" t="e">
        <f>T24*W24</f>
        <v>#N/A</v>
      </c>
      <c r="Z24" s="101" t="e">
        <f t="shared" si="3"/>
        <v>#N/A</v>
      </c>
    </row>
    <row r="25" spans="2:28">
      <c r="B25" s="42" t="s">
        <v>210</v>
      </c>
      <c r="C25" s="45">
        <f>SUMIF('REAL DR'!J37:J1757,"ESTREITO",'REAL DR'!Q37:Q1757)</f>
        <v>0</v>
      </c>
      <c r="D25" s="57" t="str">
        <f>IF(E25&lt;&gt;"",VLOOKUP(E25,'RESUMO DR'!$F$10:$G$22,2,FALSE),"")</f>
        <v>ARAGUAINA</v>
      </c>
      <c r="E25" s="43" t="s">
        <v>180</v>
      </c>
      <c r="G25" s="99"/>
      <c r="I25" s="48"/>
      <c r="K25" s="100"/>
      <c r="L25" s="100">
        <v>530</v>
      </c>
      <c r="M25" s="100">
        <f>IF(L25&lt;&gt;"",VLOOKUP(L25,'Catálogo SAP'!$A$1:$F$245,2,FALSE),"-")</f>
        <v>530</v>
      </c>
      <c r="N25" s="100" t="str">
        <f>IF(L25&lt;&gt;"",VLOOKUP(L25,'Catálogo SAP'!A:F,3,FALSE),"")</f>
        <v>S.VP-01470</v>
      </c>
      <c r="O25" s="100" t="e">
        <f>IF(M25&lt;&gt;"",VLOOKUP(M25,'Catálogo SAP'!C:F,3,FALSE),"")</f>
        <v>#N/A</v>
      </c>
      <c r="P25" s="100" t="e">
        <f>IF(N25&lt;&gt;"",VLOOKUP(N25,'Catálogo SAP'!D:F,3,FALSE),"")</f>
        <v>#N/A</v>
      </c>
      <c r="Q25" s="137"/>
      <c r="R25" s="137"/>
      <c r="S25" s="100"/>
      <c r="T25" s="139"/>
      <c r="U25" s="100"/>
      <c r="V25" s="100"/>
      <c r="W25" s="136" t="e">
        <f t="shared" si="0"/>
        <v>#N/A</v>
      </c>
      <c r="X25" s="136" t="e">
        <f t="shared" si="1"/>
        <v>#N/A</v>
      </c>
      <c r="Y25" s="140" t="e">
        <f t="shared" si="2"/>
        <v>#N/A</v>
      </c>
      <c r="Z25" s="101" t="e">
        <f t="shared" si="3"/>
        <v>#N/A</v>
      </c>
    </row>
    <row r="26" spans="2:28">
      <c r="B26" s="42" t="s">
        <v>211</v>
      </c>
      <c r="C26" s="45" t="e">
        <f>SUMIF('REAL DR'!J37:J1756,"AGUIARNÓPOLIS",'REAL DR'!Q37:Q1756)</f>
        <v>#VALUE!</v>
      </c>
      <c r="D26" s="57" t="str">
        <f>IF(E26&lt;&gt;"",VLOOKUP(E26,'RESUMO DR'!$F$10:$G$22,2,FALSE),"")</f>
        <v>ARAGUAINA</v>
      </c>
      <c r="E26" s="43" t="s">
        <v>180</v>
      </c>
      <c r="G26" s="48"/>
      <c r="H26" s="48" t="s">
        <v>212</v>
      </c>
      <c r="I26" s="48"/>
      <c r="J26" s="99">
        <v>553312.96</v>
      </c>
      <c r="L26" s="100">
        <v>220</v>
      </c>
      <c r="M26" s="100">
        <f>IF(L26&lt;&gt;"",VLOOKUP(L26,'Catálogo SAP'!$A$1:$F$245,2,FALSE),"-")</f>
        <v>220</v>
      </c>
      <c r="N26" s="100" t="str">
        <f>IF(L26&lt;&gt;"",VLOOKUP(L26,'Catálogo SAP'!A:F,3,FALSE),"")</f>
        <v>S.VP-01447</v>
      </c>
      <c r="O26" s="100" t="e">
        <f>IF(M26&lt;&gt;"",VLOOKUP(M26,'Catálogo SAP'!C:F,3,FALSE),"")</f>
        <v>#N/A</v>
      </c>
      <c r="P26" s="100" t="e">
        <f>IF(N26&lt;&gt;"",VLOOKUP(N26,'Catálogo SAP'!D:F,3,FALSE),"")</f>
        <v>#N/A</v>
      </c>
      <c r="Q26" s="137">
        <v>0</v>
      </c>
      <c r="R26" s="137">
        <v>1</v>
      </c>
      <c r="S26" s="100"/>
      <c r="T26" s="139"/>
      <c r="U26" s="100"/>
      <c r="V26" s="136" t="e">
        <f>U26*P26</f>
        <v>#N/A</v>
      </c>
      <c r="W26" s="136" t="e">
        <f t="shared" si="0"/>
        <v>#N/A</v>
      </c>
      <c r="X26" s="136" t="e">
        <f>S26*W26</f>
        <v>#N/A</v>
      </c>
      <c r="Y26" s="140" t="e">
        <f>T26*W26</f>
        <v>#N/A</v>
      </c>
      <c r="Z26" s="101" t="e">
        <f>Y26/X26</f>
        <v>#N/A</v>
      </c>
    </row>
    <row r="27" spans="2:28">
      <c r="B27" s="42" t="s">
        <v>213</v>
      </c>
      <c r="C27" s="45">
        <f>SUMIF('REAL DR'!J37:J1757,"PALMEIRAS DO TOCANTINS",'REAL DR'!Q37:Q1757)</f>
        <v>0</v>
      </c>
      <c r="D27" s="57" t="str">
        <f>IF(E27&lt;&gt;"",VLOOKUP(E27,'RESUMO DR'!$F$10:$G$22,2,FALSE),"")</f>
        <v>ARAGUAINA</v>
      </c>
      <c r="E27" s="43" t="s">
        <v>180</v>
      </c>
      <c r="G27" s="99"/>
      <c r="I27" s="48"/>
      <c r="L27" s="100">
        <v>580</v>
      </c>
      <c r="M27" s="100">
        <f>IF(L27&lt;&gt;"",VLOOKUP(L27,'Catálogo SAP'!$A$1:$F$245,2,FALSE),"-")</f>
        <v>580</v>
      </c>
      <c r="N27" s="100" t="str">
        <f>IF(L27&lt;&gt;"",VLOOKUP(L27,'Catálogo SAP'!A:F,3,FALSE),"")</f>
        <v>S.VP-01475</v>
      </c>
      <c r="O27" s="100" t="e">
        <f>IF(M27&lt;&gt;"",VLOOKUP(M27,'Catálogo SAP'!C:F,3,FALSE),"")</f>
        <v>#N/A</v>
      </c>
      <c r="P27" s="100" t="e">
        <f>IF(N27&lt;&gt;"",VLOOKUP(N27,'Catálogo SAP'!D:F,3,FALSE),"")</f>
        <v>#N/A</v>
      </c>
      <c r="Q27" s="137">
        <v>1</v>
      </c>
      <c r="R27" s="137">
        <v>1</v>
      </c>
      <c r="S27" s="100"/>
      <c r="T27" s="88">
        <v>1</v>
      </c>
      <c r="U27" s="100">
        <v>1</v>
      </c>
      <c r="V27" s="136" t="e">
        <f>Q27*P27</f>
        <v>#N/A</v>
      </c>
      <c r="W27" s="136" t="e">
        <f>(Q27*R27)*P27</f>
        <v>#N/A</v>
      </c>
      <c r="X27" s="136" t="e">
        <f>S27*W27</f>
        <v>#N/A</v>
      </c>
      <c r="Y27" s="141" t="e">
        <f>T27*W27</f>
        <v>#N/A</v>
      </c>
      <c r="Z27" s="101" t="e">
        <f>Y27/X27</f>
        <v>#N/A</v>
      </c>
      <c r="AA27" s="148"/>
    </row>
    <row r="28" spans="2:28">
      <c r="B28" s="42"/>
      <c r="C28" s="45"/>
      <c r="D28" s="57"/>
      <c r="E28" s="43"/>
      <c r="G28" s="99"/>
      <c r="I28" s="48"/>
      <c r="L28" s="100"/>
      <c r="M28" s="174" t="s">
        <v>214</v>
      </c>
      <c r="N28" s="100" t="s">
        <v>215</v>
      </c>
      <c r="O28" s="100" t="s">
        <v>7</v>
      </c>
      <c r="P28" s="135">
        <v>2440.4299999999998</v>
      </c>
      <c r="Q28" s="137">
        <v>1</v>
      </c>
      <c r="R28" s="137"/>
      <c r="S28" s="100"/>
      <c r="T28" s="88"/>
      <c r="U28" s="100">
        <v>1</v>
      </c>
      <c r="V28" s="136">
        <f>U28*P28</f>
        <v>2440.4299999999998</v>
      </c>
      <c r="W28" s="136"/>
      <c r="X28" s="136"/>
      <c r="Y28" s="99"/>
      <c r="Z28" s="101"/>
      <c r="AA28" s="148"/>
    </row>
    <row r="29" spans="2:28">
      <c r="B29" s="42" t="s">
        <v>216</v>
      </c>
      <c r="C29" s="45">
        <f>SUMIF('REAL DR'!J37:J1758,"DARCINÓPOLIS",'REAL DR'!Q37:Q1758)</f>
        <v>0</v>
      </c>
      <c r="D29" s="57" t="str">
        <f>IF(E29&lt;&gt;"",VLOOKUP(E29,'RESUMO DR'!$F$10:$G$22,2,FALSE),"")</f>
        <v>ARAGUAINA</v>
      </c>
      <c r="E29" s="43" t="s">
        <v>180</v>
      </c>
      <c r="I29" s="48"/>
      <c r="M29" s="174" t="s">
        <v>217</v>
      </c>
      <c r="N29" s="100" t="s">
        <v>218</v>
      </c>
      <c r="O29" s="2" t="s">
        <v>219</v>
      </c>
      <c r="P29" s="48">
        <v>241.06</v>
      </c>
      <c r="Q29" s="137">
        <v>1</v>
      </c>
      <c r="R29" s="150"/>
      <c r="S29" s="100">
        <v>10</v>
      </c>
      <c r="T29" s="88"/>
      <c r="U29" s="175">
        <v>90</v>
      </c>
      <c r="V29" s="136">
        <f>U29*P29</f>
        <v>21695.4</v>
      </c>
      <c r="W29" s="104"/>
      <c r="X29" s="136" t="e">
        <f>SUM(X12:X27)</f>
        <v>#N/A</v>
      </c>
      <c r="Y29" s="99" t="e">
        <f>SUM(Y12:Y27)</f>
        <v>#N/A</v>
      </c>
      <c r="Z29" s="2" t="s">
        <v>220</v>
      </c>
      <c r="AA29" s="2" t="s">
        <v>221</v>
      </c>
      <c r="AB29" s="100" t="s">
        <v>222</v>
      </c>
    </row>
    <row r="30" spans="2:28">
      <c r="B30" s="42" t="s">
        <v>223</v>
      </c>
      <c r="C30" s="45" t="e">
        <f>SUMIF('REAL DR'!J37:J1355,"BABAÇULÂNDIA",'REAL DR'!Q37:Q1355)</f>
        <v>#VALUE!</v>
      </c>
      <c r="D30" s="57" t="str">
        <f>IF(E30&lt;&gt;"",VLOOKUP(E30,'RESUMO DR'!$F$10:$G$22,2,FALSE),"")</f>
        <v>ARAGUAINA</v>
      </c>
      <c r="E30" s="43" t="s">
        <v>180</v>
      </c>
      <c r="I30" s="48"/>
      <c r="M30" s="174" t="s">
        <v>224</v>
      </c>
      <c r="N30" s="100" t="s">
        <v>225</v>
      </c>
      <c r="O30" s="2" t="s">
        <v>226</v>
      </c>
      <c r="P30" s="48">
        <v>190.52</v>
      </c>
      <c r="Q30" s="137"/>
      <c r="R30" s="149"/>
      <c r="S30" s="99"/>
      <c r="T30" s="88"/>
      <c r="V30" s="48"/>
      <c r="W30" s="104"/>
      <c r="X30" s="99"/>
      <c r="Y30" s="101"/>
      <c r="Z30" s="101" t="e">
        <f>Y29/X29</f>
        <v>#N/A</v>
      </c>
      <c r="AA30" s="148" t="e">
        <f>1-Z30</f>
        <v>#N/A</v>
      </c>
      <c r="AB30" s="99" t="e">
        <f>X29-W29</f>
        <v>#N/A</v>
      </c>
    </row>
    <row r="31" spans="2:28">
      <c r="B31" s="42" t="s">
        <v>140</v>
      </c>
      <c r="C31" s="45" t="e">
        <f>SUMIF('REAL DR'!J37:J1865,"ARAGUAÍNA",'REAL DR'!Q37:Q1865)</f>
        <v>#VALUE!</v>
      </c>
      <c r="D31" s="57" t="str">
        <f>IF(E31&lt;&gt;"",VLOOKUP(E31,'RESUMO DR'!$F$10:$G$22,2,FALSE),"")</f>
        <v>ARAGUAINA</v>
      </c>
      <c r="E31" s="43" t="s">
        <v>180</v>
      </c>
      <c r="I31" s="48"/>
      <c r="J31" s="99"/>
      <c r="P31" s="48"/>
      <c r="Q31" s="48"/>
      <c r="S31" s="99"/>
      <c r="V31" s="48"/>
      <c r="W31" s="136"/>
      <c r="X31" s="99"/>
      <c r="Y31" s="165" t="e">
        <f>Y29+60000</f>
        <v>#N/A</v>
      </c>
      <c r="Z31" s="166">
        <v>45145</v>
      </c>
      <c r="AA31" s="148"/>
    </row>
    <row r="32" spans="2:28">
      <c r="B32" s="42" t="s">
        <v>227</v>
      </c>
      <c r="C32" s="45">
        <f>SUMIF('REAL DR'!J37:J1357,"PT Porto Franco",'REAL DR'!Q37:Q1357)</f>
        <v>0</v>
      </c>
      <c r="D32" s="57" t="str">
        <f>IF(E32&lt;&gt;"",VLOOKUP(E32,'RESUMO DR'!$F$10:$G$22,2,FALSE),"")</f>
        <v>IMPERATRIZ</v>
      </c>
      <c r="E32" s="43" t="s">
        <v>175</v>
      </c>
      <c r="I32" s="48"/>
      <c r="P32" s="48"/>
      <c r="Q32" s="48"/>
      <c r="S32" s="99"/>
      <c r="V32" s="99"/>
      <c r="W32" s="136"/>
      <c r="X32" s="99"/>
      <c r="Y32" s="165" t="e">
        <f>Y31*0.82</f>
        <v>#N/A</v>
      </c>
      <c r="Z32" s="166">
        <v>45145</v>
      </c>
      <c r="AA32" s="148"/>
    </row>
    <row r="33" spans="2:27">
      <c r="B33" s="42" t="s">
        <v>196</v>
      </c>
      <c r="C33" s="45">
        <f>SUMIF('REAL DR'!J37:J1358,"ENG.VLI",'REAL DR'!Q37:Q1358)</f>
        <v>0</v>
      </c>
      <c r="D33" s="57" t="str">
        <f>IF(E33&lt;&gt;"",VLOOKUP(E33,'RESUMO DR'!$F$10:$G$22,2,FALSE),"")</f>
        <v>ENG. VLI</v>
      </c>
      <c r="E33" s="43" t="s">
        <v>195</v>
      </c>
      <c r="I33" s="48"/>
      <c r="J33" s="48"/>
      <c r="P33" s="48"/>
      <c r="Q33" s="48"/>
      <c r="S33" s="99"/>
      <c r="V33" s="99"/>
      <c r="W33" s="159"/>
      <c r="Y33" s="99"/>
      <c r="Z33" s="101"/>
      <c r="AA33" s="148"/>
    </row>
    <row r="34" spans="2:27" ht="15" thickBot="1">
      <c r="B34" s="42"/>
      <c r="C34" s="183"/>
      <c r="D34" s="184" t="str">
        <f>IF(E34&lt;&gt;"",VLOOKUP(E34,'RESUMO DR'!$F$10:$G$22,2,FALSE),"")</f>
        <v/>
      </c>
      <c r="E34" s="43"/>
      <c r="I34" s="48"/>
      <c r="J34" s="99"/>
      <c r="P34" s="48"/>
      <c r="Q34" s="48"/>
      <c r="S34" s="99"/>
      <c r="V34" s="176"/>
      <c r="X34" s="48"/>
      <c r="Y34" s="99">
        <f>775749.92</f>
        <v>775749.92</v>
      </c>
    </row>
    <row r="35" spans="2:27" ht="18" customHeight="1" thickBot="1">
      <c r="B35" s="187" t="s">
        <v>228</v>
      </c>
      <c r="C35" s="185" t="e">
        <f>SUM(C9:C34)</f>
        <v>#VALUE!</v>
      </c>
      <c r="D35" s="185"/>
      <c r="E35" s="186"/>
      <c r="F35" s="178"/>
      <c r="I35" s="48"/>
      <c r="P35" s="48"/>
      <c r="Q35" s="48"/>
      <c r="S35" s="99"/>
      <c r="V35" s="99"/>
      <c r="X35" s="99"/>
      <c r="Y35" s="99">
        <f>Y34*0.82</f>
        <v>636114.93440000003</v>
      </c>
    </row>
    <row r="36" spans="2:27">
      <c r="B36" s="34"/>
      <c r="C36" s="217"/>
      <c r="D36" s="217"/>
      <c r="I36" s="48"/>
      <c r="K36" s="288" t="s">
        <v>229</v>
      </c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Y36" s="99">
        <f>Y35-Y34</f>
        <v>-139634.98560000001</v>
      </c>
    </row>
    <row r="37" spans="2:27" ht="18">
      <c r="B37" s="87" t="s">
        <v>230</v>
      </c>
      <c r="C37" s="258" t="s">
        <v>231</v>
      </c>
      <c r="I37" s="48"/>
      <c r="K37" s="90" t="s">
        <v>232</v>
      </c>
      <c r="L37" s="90"/>
      <c r="M37" s="90" t="s">
        <v>219</v>
      </c>
      <c r="N37" s="90" t="s">
        <v>226</v>
      </c>
      <c r="O37" s="287" t="s">
        <v>233</v>
      </c>
      <c r="P37" s="287"/>
      <c r="Q37" s="90"/>
      <c r="R37" s="287" t="s">
        <v>234</v>
      </c>
      <c r="S37" s="287"/>
      <c r="T37" s="91" t="s">
        <v>235</v>
      </c>
      <c r="W37" s="100" t="s">
        <v>236</v>
      </c>
    </row>
    <row r="38" spans="2:27" ht="18">
      <c r="B38" s="28"/>
      <c r="C38" s="33"/>
      <c r="D38" s="33"/>
      <c r="I38" s="131"/>
      <c r="K38" s="90" t="s">
        <v>237</v>
      </c>
      <c r="L38" s="90">
        <v>1</v>
      </c>
      <c r="M38" s="92">
        <v>251.96</v>
      </c>
      <c r="N38" s="92">
        <v>191.73</v>
      </c>
      <c r="O38" s="90">
        <v>16</v>
      </c>
      <c r="P38" s="90">
        <v>9</v>
      </c>
      <c r="Q38" s="90"/>
      <c r="R38" s="90">
        <v>4</v>
      </c>
      <c r="S38" s="90">
        <v>8</v>
      </c>
      <c r="T38" s="93">
        <f t="shared" ref="T38:T43" si="4">M38*W38</f>
        <v>44344.959999999999</v>
      </c>
      <c r="U38" s="99"/>
      <c r="V38" s="99"/>
      <c r="W38" s="100">
        <f t="shared" ref="W38:W43" si="5">((O38*P38)+(R38*S38))*L38</f>
        <v>176</v>
      </c>
    </row>
    <row r="39" spans="2:27" ht="18">
      <c r="B39" s="28"/>
      <c r="C39" s="23"/>
      <c r="D39" s="23"/>
      <c r="I39" s="35"/>
      <c r="K39" s="90" t="s">
        <v>238</v>
      </c>
      <c r="L39" s="90">
        <v>2</v>
      </c>
      <c r="M39" s="92">
        <v>149.44999999999999</v>
      </c>
      <c r="N39" s="92">
        <v>133.62</v>
      </c>
      <c r="O39" s="90">
        <v>16</v>
      </c>
      <c r="P39" s="90">
        <v>9</v>
      </c>
      <c r="Q39" s="90"/>
      <c r="R39" s="90">
        <v>4</v>
      </c>
      <c r="S39" s="90">
        <v>8</v>
      </c>
      <c r="T39" s="93">
        <f t="shared" si="4"/>
        <v>52606.399999999994</v>
      </c>
      <c r="U39" s="99"/>
      <c r="V39" s="99"/>
      <c r="W39" s="100">
        <f t="shared" si="5"/>
        <v>352</v>
      </c>
    </row>
    <row r="40" spans="2:27" ht="18">
      <c r="B40" s="28"/>
      <c r="C40" s="23"/>
      <c r="D40" s="23"/>
      <c r="I40" s="35"/>
      <c r="K40" s="90" t="s">
        <v>239</v>
      </c>
      <c r="L40" s="90">
        <v>4</v>
      </c>
      <c r="M40" s="92">
        <v>181.92</v>
      </c>
      <c r="N40" s="92">
        <v>146.21</v>
      </c>
      <c r="O40" s="90">
        <v>16</v>
      </c>
      <c r="P40" s="90">
        <v>9</v>
      </c>
      <c r="Q40" s="90"/>
      <c r="R40" s="90">
        <v>4</v>
      </c>
      <c r="S40" s="90">
        <v>8</v>
      </c>
      <c r="T40" s="93">
        <f t="shared" si="4"/>
        <v>128071.67999999999</v>
      </c>
      <c r="U40" s="99"/>
      <c r="V40" s="99"/>
      <c r="W40" s="100">
        <f t="shared" si="5"/>
        <v>704</v>
      </c>
    </row>
    <row r="41" spans="2:27" ht="18">
      <c r="B41" s="29"/>
      <c r="C41" s="23"/>
      <c r="D41" s="23"/>
      <c r="I41" s="35"/>
      <c r="J41" s="130" t="s">
        <v>240</v>
      </c>
      <c r="K41" s="90" t="s">
        <v>241</v>
      </c>
      <c r="L41" s="90">
        <v>1</v>
      </c>
      <c r="M41" s="92">
        <v>263.20999999999998</v>
      </c>
      <c r="N41" s="92">
        <v>169.59</v>
      </c>
      <c r="O41" s="90">
        <v>16</v>
      </c>
      <c r="P41" s="90">
        <v>9</v>
      </c>
      <c r="Q41" s="90"/>
      <c r="R41" s="90">
        <v>4</v>
      </c>
      <c r="S41" s="90">
        <v>8</v>
      </c>
      <c r="T41" s="93">
        <f t="shared" si="4"/>
        <v>46324.959999999999</v>
      </c>
      <c r="U41" s="99"/>
      <c r="V41" s="99"/>
      <c r="W41" s="100">
        <f t="shared" si="5"/>
        <v>176</v>
      </c>
    </row>
    <row r="42" spans="2:27" ht="18">
      <c r="B42" s="28"/>
      <c r="K42" s="90" t="s">
        <v>242</v>
      </c>
      <c r="L42" s="90">
        <v>1</v>
      </c>
      <c r="M42" s="92">
        <v>251.96</v>
      </c>
      <c r="N42" s="92">
        <v>191.73</v>
      </c>
      <c r="O42" s="90">
        <v>16</v>
      </c>
      <c r="P42" s="90">
        <v>9</v>
      </c>
      <c r="Q42" s="90"/>
      <c r="R42" s="90">
        <v>4</v>
      </c>
      <c r="S42" s="90">
        <v>8</v>
      </c>
      <c r="T42" s="93">
        <f t="shared" si="4"/>
        <v>44344.959999999999</v>
      </c>
      <c r="U42" s="99"/>
      <c r="V42" s="99"/>
      <c r="W42" s="100">
        <f t="shared" si="5"/>
        <v>176</v>
      </c>
    </row>
    <row r="43" spans="2:27">
      <c r="K43" s="90" t="s">
        <v>243</v>
      </c>
      <c r="L43" s="90">
        <v>1</v>
      </c>
      <c r="M43" s="92">
        <v>286.87</v>
      </c>
      <c r="N43" s="92">
        <v>232.1</v>
      </c>
      <c r="O43" s="90">
        <v>16</v>
      </c>
      <c r="P43" s="90">
        <v>9</v>
      </c>
      <c r="Q43" s="90"/>
      <c r="R43" s="90">
        <v>4</v>
      </c>
      <c r="S43" s="90">
        <v>8</v>
      </c>
      <c r="T43" s="93">
        <f t="shared" si="4"/>
        <v>50489.120000000003</v>
      </c>
      <c r="U43" s="99"/>
      <c r="V43" s="99"/>
      <c r="W43" s="100">
        <f t="shared" si="5"/>
        <v>176</v>
      </c>
    </row>
    <row r="44" spans="2:27" ht="15" thickBot="1">
      <c r="K44" s="90" t="s">
        <v>164</v>
      </c>
      <c r="L44" s="90">
        <v>2</v>
      </c>
      <c r="M44" s="92">
        <v>17093.68</v>
      </c>
      <c r="N44" s="92"/>
      <c r="O44" s="90">
        <v>16</v>
      </c>
      <c r="P44" s="90">
        <v>9</v>
      </c>
      <c r="Q44" s="90"/>
      <c r="R44" s="90">
        <v>4</v>
      </c>
      <c r="S44" s="90">
        <v>8</v>
      </c>
      <c r="T44" s="94">
        <f>L44*M44</f>
        <v>34187.360000000001</v>
      </c>
      <c r="U44" s="99"/>
      <c r="V44" s="99"/>
    </row>
    <row r="45" spans="2:27" ht="15" thickBot="1">
      <c r="M45" s="2" t="s">
        <v>244</v>
      </c>
      <c r="O45" s="100">
        <f>O38+R38</f>
        <v>20</v>
      </c>
      <c r="T45" s="95">
        <f>SUM(T38:T44)</f>
        <v>400369.44</v>
      </c>
      <c r="U45" s="99"/>
      <c r="V45" s="99"/>
      <c r="W45" s="105">
        <v>1</v>
      </c>
    </row>
    <row r="46" spans="2:27" ht="15" thickBot="1">
      <c r="P46" s="86" t="s">
        <v>245</v>
      </c>
      <c r="Q46" s="86"/>
      <c r="R46" s="89">
        <v>0.1</v>
      </c>
      <c r="S46" s="48">
        <f>T45*R46</f>
        <v>40036.944000000003</v>
      </c>
      <c r="T46" s="96">
        <f>T45-S46</f>
        <v>360332.49599999998</v>
      </c>
      <c r="U46" s="155"/>
      <c r="V46" s="155"/>
      <c r="W46" s="104">
        <f>T46/T45</f>
        <v>0.89999999999999991</v>
      </c>
    </row>
    <row r="47" spans="2:27">
      <c r="P47" s="2" t="s">
        <v>246</v>
      </c>
      <c r="T47" s="99" t="e">
        <f>H15</f>
        <v>#VALUE!</v>
      </c>
      <c r="U47" s="99"/>
      <c r="V47" s="99"/>
      <c r="W47" s="104" t="e">
        <f>T47/T45</f>
        <v>#VALUE!</v>
      </c>
    </row>
    <row r="48" spans="2:27">
      <c r="K48" s="288" t="s">
        <v>247</v>
      </c>
      <c r="L48" s="288"/>
      <c r="M48" s="288"/>
      <c r="N48" s="288"/>
      <c r="O48" s="288"/>
      <c r="P48" s="288"/>
      <c r="Q48" s="288"/>
      <c r="R48" s="288"/>
      <c r="S48" s="288"/>
      <c r="T48" s="288"/>
      <c r="U48" s="288"/>
      <c r="V48" s="288"/>
      <c r="W48" s="288"/>
    </row>
    <row r="49" spans="11:23">
      <c r="K49" s="90" t="s">
        <v>232</v>
      </c>
      <c r="L49" s="90" t="s">
        <v>248</v>
      </c>
      <c r="M49" s="90" t="s">
        <v>219</v>
      </c>
      <c r="N49" s="90" t="s">
        <v>226</v>
      </c>
      <c r="O49" s="287" t="s">
        <v>233</v>
      </c>
      <c r="P49" s="287"/>
      <c r="Q49" s="90"/>
      <c r="R49" s="287" t="s">
        <v>234</v>
      </c>
      <c r="S49" s="287"/>
      <c r="T49" s="91" t="s">
        <v>235</v>
      </c>
      <c r="W49" s="100" t="s">
        <v>249</v>
      </c>
    </row>
    <row r="50" spans="11:23">
      <c r="K50" s="90" t="s">
        <v>156</v>
      </c>
      <c r="L50" s="90"/>
      <c r="M50" s="92">
        <v>181.92</v>
      </c>
      <c r="N50" s="92">
        <v>129.38999999999999</v>
      </c>
      <c r="O50" s="90">
        <v>17</v>
      </c>
      <c r="P50" s="90">
        <v>9</v>
      </c>
      <c r="Q50" s="90"/>
      <c r="R50" s="90">
        <v>5</v>
      </c>
      <c r="S50" s="90">
        <v>8</v>
      </c>
      <c r="T50" s="93">
        <f t="shared" ref="T50:T62" si="6">M50*W50</f>
        <v>0</v>
      </c>
      <c r="U50" s="99"/>
      <c r="V50" s="99"/>
      <c r="W50" s="100">
        <f t="shared" ref="W50:W62" si="7">((O50*P50)+(R50*S50))*L50</f>
        <v>0</v>
      </c>
    </row>
    <row r="51" spans="11:23">
      <c r="K51" s="90" t="s">
        <v>159</v>
      </c>
      <c r="L51" s="90"/>
      <c r="M51" s="92">
        <v>181.92</v>
      </c>
      <c r="N51" s="92">
        <v>129.38999999999999</v>
      </c>
      <c r="O51" s="90">
        <v>17</v>
      </c>
      <c r="P51" s="90">
        <v>9</v>
      </c>
      <c r="Q51" s="90"/>
      <c r="R51" s="90">
        <v>5</v>
      </c>
      <c r="S51" s="90">
        <v>8</v>
      </c>
      <c r="T51" s="93">
        <f t="shared" si="6"/>
        <v>0</v>
      </c>
      <c r="U51" s="99"/>
      <c r="V51" s="99"/>
      <c r="W51" s="100">
        <f t="shared" si="7"/>
        <v>0</v>
      </c>
    </row>
    <row r="52" spans="11:23">
      <c r="K52" s="90" t="s">
        <v>168</v>
      </c>
      <c r="L52" s="90">
        <v>1</v>
      </c>
      <c r="M52" s="92">
        <v>181.92</v>
      </c>
      <c r="N52" s="92">
        <v>129.38999999999999</v>
      </c>
      <c r="O52" s="90">
        <v>17</v>
      </c>
      <c r="P52" s="90">
        <v>9</v>
      </c>
      <c r="Q52" s="90"/>
      <c r="R52" s="90">
        <v>5</v>
      </c>
      <c r="S52" s="90">
        <v>8</v>
      </c>
      <c r="T52" s="93">
        <f t="shared" si="6"/>
        <v>35110.559999999998</v>
      </c>
      <c r="U52" s="99"/>
      <c r="V52" s="99"/>
      <c r="W52" s="100">
        <f t="shared" si="7"/>
        <v>193</v>
      </c>
    </row>
    <row r="53" spans="11:23">
      <c r="K53" s="90" t="s">
        <v>250</v>
      </c>
      <c r="L53" s="90">
        <v>1</v>
      </c>
      <c r="M53" s="92">
        <v>181.92</v>
      </c>
      <c r="N53" s="92">
        <v>129.38999999999999</v>
      </c>
      <c r="O53" s="90">
        <v>17</v>
      </c>
      <c r="P53" s="90">
        <v>9</v>
      </c>
      <c r="Q53" s="90"/>
      <c r="R53" s="90">
        <v>5</v>
      </c>
      <c r="S53" s="90">
        <v>8</v>
      </c>
      <c r="T53" s="93">
        <f t="shared" si="6"/>
        <v>35110.559999999998</v>
      </c>
      <c r="U53" s="99"/>
      <c r="V53" s="99"/>
      <c r="W53" s="100">
        <f t="shared" si="7"/>
        <v>193</v>
      </c>
    </row>
    <row r="54" spans="11:23">
      <c r="K54" s="90" t="s">
        <v>251</v>
      </c>
      <c r="L54" s="90">
        <v>1</v>
      </c>
      <c r="M54" s="92">
        <v>181.92</v>
      </c>
      <c r="N54" s="92">
        <v>129.38999999999999</v>
      </c>
      <c r="O54" s="90">
        <v>17</v>
      </c>
      <c r="P54" s="90">
        <v>9</v>
      </c>
      <c r="Q54" s="90"/>
      <c r="R54" s="90">
        <v>5</v>
      </c>
      <c r="S54" s="90">
        <v>8</v>
      </c>
      <c r="T54" s="93">
        <f t="shared" si="6"/>
        <v>35110.559999999998</v>
      </c>
      <c r="U54" s="99"/>
      <c r="V54" s="99"/>
      <c r="W54" s="100">
        <f t="shared" si="7"/>
        <v>193</v>
      </c>
    </row>
    <row r="55" spans="11:23">
      <c r="K55" s="90" t="s">
        <v>121</v>
      </c>
      <c r="L55" s="90">
        <v>1</v>
      </c>
      <c r="M55" s="92">
        <v>149.44999999999999</v>
      </c>
      <c r="N55" s="92">
        <v>133.62</v>
      </c>
      <c r="O55" s="90">
        <v>17</v>
      </c>
      <c r="P55" s="90">
        <v>9</v>
      </c>
      <c r="Q55" s="90"/>
      <c r="R55" s="90">
        <v>5</v>
      </c>
      <c r="S55" s="90">
        <v>8</v>
      </c>
      <c r="T55" s="93">
        <f t="shared" si="6"/>
        <v>28843.85</v>
      </c>
      <c r="U55" s="99"/>
      <c r="V55" s="99"/>
      <c r="W55" s="100">
        <f t="shared" si="7"/>
        <v>193</v>
      </c>
    </row>
    <row r="56" spans="11:23">
      <c r="K56" s="90" t="s">
        <v>122</v>
      </c>
      <c r="L56" s="90">
        <v>1</v>
      </c>
      <c r="M56" s="92">
        <v>149.44999999999999</v>
      </c>
      <c r="N56" s="92">
        <v>133.62</v>
      </c>
      <c r="O56" s="90">
        <v>17</v>
      </c>
      <c r="P56" s="90">
        <v>9</v>
      </c>
      <c r="Q56" s="90"/>
      <c r="R56" s="90">
        <v>5</v>
      </c>
      <c r="S56" s="90">
        <v>8</v>
      </c>
      <c r="T56" s="93">
        <f t="shared" si="6"/>
        <v>28843.85</v>
      </c>
      <c r="U56" s="99"/>
      <c r="V56" s="99"/>
      <c r="W56" s="100">
        <f t="shared" si="7"/>
        <v>193</v>
      </c>
    </row>
    <row r="57" spans="11:23">
      <c r="K57" s="90" t="s">
        <v>167</v>
      </c>
      <c r="L57" s="90">
        <v>1</v>
      </c>
      <c r="M57" s="92">
        <v>251.96</v>
      </c>
      <c r="N57" s="92">
        <v>191.73</v>
      </c>
      <c r="O57" s="90">
        <v>17</v>
      </c>
      <c r="P57" s="90">
        <v>9</v>
      </c>
      <c r="Q57" s="90"/>
      <c r="R57" s="90">
        <v>5</v>
      </c>
      <c r="S57" s="90">
        <v>8</v>
      </c>
      <c r="T57" s="93">
        <f t="shared" si="6"/>
        <v>48628.28</v>
      </c>
      <c r="U57" s="99"/>
      <c r="V57" s="99"/>
      <c r="W57" s="100">
        <f t="shared" si="7"/>
        <v>193</v>
      </c>
    </row>
    <row r="58" spans="11:23">
      <c r="K58" s="90" t="s">
        <v>130</v>
      </c>
      <c r="L58" s="90">
        <v>1</v>
      </c>
      <c r="M58" s="92">
        <v>251.96</v>
      </c>
      <c r="N58" s="92">
        <v>191.73</v>
      </c>
      <c r="O58" s="90">
        <v>17</v>
      </c>
      <c r="P58" s="90">
        <v>9</v>
      </c>
      <c r="Q58" s="90"/>
      <c r="R58" s="90">
        <v>5</v>
      </c>
      <c r="S58" s="90">
        <v>8</v>
      </c>
      <c r="T58" s="93">
        <f t="shared" si="6"/>
        <v>48628.28</v>
      </c>
      <c r="U58" s="99"/>
      <c r="V58" s="99"/>
      <c r="W58" s="100">
        <f t="shared" si="7"/>
        <v>193</v>
      </c>
    </row>
    <row r="59" spans="11:23">
      <c r="K59" s="90" t="s">
        <v>133</v>
      </c>
      <c r="L59" s="90"/>
      <c r="M59" s="92">
        <v>286.87</v>
      </c>
      <c r="N59" s="92">
        <v>232.1</v>
      </c>
      <c r="O59" s="90">
        <v>17</v>
      </c>
      <c r="P59" s="90">
        <v>9</v>
      </c>
      <c r="Q59" s="90"/>
      <c r="R59" s="90">
        <v>5</v>
      </c>
      <c r="S59" s="90">
        <v>8</v>
      </c>
      <c r="T59" s="93">
        <f t="shared" si="6"/>
        <v>0</v>
      </c>
      <c r="U59" s="99"/>
      <c r="V59" s="99"/>
      <c r="W59" s="100">
        <f t="shared" si="7"/>
        <v>0</v>
      </c>
    </row>
    <row r="60" spans="11:23">
      <c r="K60" s="90" t="s">
        <v>252</v>
      </c>
      <c r="L60" s="90">
        <v>1</v>
      </c>
      <c r="M60" s="92">
        <v>263.20999999999998</v>
      </c>
      <c r="N60" s="92">
        <v>169.59</v>
      </c>
      <c r="O60" s="90">
        <v>17</v>
      </c>
      <c r="P60" s="90">
        <v>9</v>
      </c>
      <c r="Q60" s="90"/>
      <c r="R60" s="90">
        <v>5</v>
      </c>
      <c r="S60" s="90">
        <v>8</v>
      </c>
      <c r="T60" s="93">
        <f t="shared" si="6"/>
        <v>50799.53</v>
      </c>
      <c r="U60" s="99"/>
      <c r="V60" s="99"/>
      <c r="W60" s="100">
        <f t="shared" si="7"/>
        <v>193</v>
      </c>
    </row>
    <row r="61" spans="11:23">
      <c r="K61" s="90" t="s">
        <v>131</v>
      </c>
      <c r="L61" s="90">
        <v>1</v>
      </c>
      <c r="M61" s="92">
        <v>222.97</v>
      </c>
      <c r="N61" s="92">
        <v>169.67</v>
      </c>
      <c r="O61" s="90">
        <v>17</v>
      </c>
      <c r="P61" s="90">
        <v>9</v>
      </c>
      <c r="Q61" s="90"/>
      <c r="R61" s="90">
        <v>5</v>
      </c>
      <c r="S61" s="90">
        <v>8</v>
      </c>
      <c r="T61" s="93">
        <f t="shared" si="6"/>
        <v>43033.21</v>
      </c>
      <c r="U61" s="99"/>
      <c r="V61" s="99"/>
      <c r="W61" s="100">
        <f t="shared" si="7"/>
        <v>193</v>
      </c>
    </row>
    <row r="62" spans="11:23">
      <c r="K62" s="90" t="s">
        <v>253</v>
      </c>
      <c r="L62" s="90"/>
      <c r="M62" s="92">
        <v>222.97</v>
      </c>
      <c r="N62" s="92">
        <v>169.67</v>
      </c>
      <c r="O62" s="90">
        <v>17</v>
      </c>
      <c r="P62" s="90">
        <v>9</v>
      </c>
      <c r="Q62" s="90"/>
      <c r="R62" s="90">
        <v>5</v>
      </c>
      <c r="S62" s="90">
        <v>8</v>
      </c>
      <c r="T62" s="93">
        <f t="shared" si="6"/>
        <v>0</v>
      </c>
      <c r="U62" s="99"/>
      <c r="V62" s="99"/>
      <c r="W62" s="100">
        <f t="shared" si="7"/>
        <v>0</v>
      </c>
    </row>
    <row r="63" spans="11:23" ht="15" thickBot="1">
      <c r="K63" s="90" t="s">
        <v>164</v>
      </c>
      <c r="L63" s="90">
        <v>2</v>
      </c>
      <c r="M63" s="92">
        <v>17093.68</v>
      </c>
      <c r="N63" s="92"/>
      <c r="O63" s="90">
        <v>15</v>
      </c>
      <c r="P63" s="90">
        <v>9</v>
      </c>
      <c r="Q63" s="90"/>
      <c r="R63" s="90">
        <v>4</v>
      </c>
      <c r="S63" s="90">
        <v>8</v>
      </c>
      <c r="T63" s="94">
        <f>M63*L63</f>
        <v>34187.360000000001</v>
      </c>
      <c r="U63" s="99"/>
      <c r="V63" s="99"/>
    </row>
    <row r="64" spans="11:23" ht="15" thickBot="1">
      <c r="T64" s="95">
        <f>SUM(T50:T63)</f>
        <v>388296.04</v>
      </c>
      <c r="U64" s="99"/>
      <c r="V64" s="99"/>
      <c r="W64" s="105">
        <v>1</v>
      </c>
    </row>
    <row r="65" spans="11:23" ht="15" thickBot="1">
      <c r="P65" s="86" t="s">
        <v>245</v>
      </c>
      <c r="Q65" s="86"/>
      <c r="R65" s="89">
        <v>0.1</v>
      </c>
      <c r="S65" s="48">
        <f>T64*R65</f>
        <v>38829.603999999999</v>
      </c>
      <c r="T65" s="96">
        <f>T64-S65</f>
        <v>349466.43599999999</v>
      </c>
      <c r="U65" s="155"/>
      <c r="V65" s="155"/>
      <c r="W65" s="104">
        <f>T65/T64</f>
        <v>0.9</v>
      </c>
    </row>
    <row r="66" spans="11:23">
      <c r="P66" s="2" t="s">
        <v>246</v>
      </c>
      <c r="T66" s="99" t="e">
        <f>H15</f>
        <v>#VALUE!</v>
      </c>
      <c r="U66" s="99"/>
      <c r="V66" s="99"/>
      <c r="W66" s="104" t="e">
        <f>T66/T64</f>
        <v>#VALUE!</v>
      </c>
    </row>
    <row r="67" spans="11:23">
      <c r="K67" s="288" t="s">
        <v>254</v>
      </c>
      <c r="L67" s="288"/>
      <c r="M67" s="288"/>
      <c r="N67" s="288"/>
      <c r="O67" s="288"/>
      <c r="P67" s="288"/>
      <c r="Q67" s="288"/>
      <c r="R67" s="288"/>
      <c r="S67" s="288"/>
      <c r="T67" s="288"/>
      <c r="U67" s="288"/>
      <c r="V67" s="288"/>
      <c r="W67" s="288"/>
    </row>
    <row r="68" spans="11:23">
      <c r="K68" s="90" t="s">
        <v>232</v>
      </c>
      <c r="L68" s="90" t="s">
        <v>248</v>
      </c>
      <c r="M68" s="90" t="s">
        <v>219</v>
      </c>
      <c r="N68" s="90" t="s">
        <v>226</v>
      </c>
      <c r="O68" s="287" t="s">
        <v>233</v>
      </c>
      <c r="P68" s="287"/>
      <c r="Q68" s="90"/>
      <c r="R68" s="287" t="s">
        <v>234</v>
      </c>
      <c r="S68" s="287"/>
      <c r="T68" s="91" t="s">
        <v>235</v>
      </c>
      <c r="W68" s="100" t="s">
        <v>249</v>
      </c>
    </row>
    <row r="69" spans="11:23">
      <c r="K69" s="90" t="s">
        <v>156</v>
      </c>
      <c r="L69" s="90"/>
      <c r="M69" s="92">
        <v>181.92</v>
      </c>
      <c r="N69" s="92">
        <v>129.38999999999999</v>
      </c>
      <c r="O69" s="90">
        <v>17</v>
      </c>
      <c r="P69" s="90">
        <v>9</v>
      </c>
      <c r="Q69" s="90"/>
      <c r="R69" s="90">
        <v>5</v>
      </c>
      <c r="S69" s="90">
        <v>8</v>
      </c>
      <c r="T69" s="93">
        <f t="shared" ref="T69:T81" si="8">M69*W69</f>
        <v>0</v>
      </c>
      <c r="U69" s="99"/>
      <c r="V69" s="99"/>
      <c r="W69" s="100">
        <f t="shared" ref="W69:W81" si="9">((O69*P69)+(R69*S69))*L69</f>
        <v>0</v>
      </c>
    </row>
    <row r="70" spans="11:23">
      <c r="K70" s="90" t="s">
        <v>159</v>
      </c>
      <c r="L70" s="90">
        <v>1</v>
      </c>
      <c r="M70" s="92">
        <v>181.92</v>
      </c>
      <c r="N70" s="92">
        <v>129.38999999999999</v>
      </c>
      <c r="O70" s="90">
        <v>17</v>
      </c>
      <c r="P70" s="90">
        <v>9</v>
      </c>
      <c r="Q70" s="90"/>
      <c r="R70" s="90">
        <v>5</v>
      </c>
      <c r="S70" s="90">
        <v>8</v>
      </c>
      <c r="T70" s="93">
        <f t="shared" si="8"/>
        <v>35110.559999999998</v>
      </c>
      <c r="U70" s="99"/>
      <c r="V70" s="99"/>
      <c r="W70" s="100">
        <f t="shared" si="9"/>
        <v>193</v>
      </c>
    </row>
    <row r="71" spans="11:23">
      <c r="K71" s="90" t="s">
        <v>168</v>
      </c>
      <c r="L71" s="90">
        <v>1</v>
      </c>
      <c r="M71" s="92">
        <v>181.92</v>
      </c>
      <c r="N71" s="92">
        <v>129.38999999999999</v>
      </c>
      <c r="O71" s="90">
        <v>17</v>
      </c>
      <c r="P71" s="90">
        <v>9</v>
      </c>
      <c r="Q71" s="90"/>
      <c r="R71" s="90">
        <v>5</v>
      </c>
      <c r="S71" s="90">
        <v>8</v>
      </c>
      <c r="T71" s="93">
        <f t="shared" si="8"/>
        <v>35110.559999999998</v>
      </c>
      <c r="U71" s="99"/>
      <c r="V71" s="99"/>
      <c r="W71" s="100">
        <f t="shared" si="9"/>
        <v>193</v>
      </c>
    </row>
    <row r="72" spans="11:23">
      <c r="K72" s="90" t="s">
        <v>250</v>
      </c>
      <c r="L72" s="90">
        <v>1</v>
      </c>
      <c r="M72" s="92">
        <v>181.92</v>
      </c>
      <c r="N72" s="92">
        <v>129.38999999999999</v>
      </c>
      <c r="O72" s="90">
        <v>17</v>
      </c>
      <c r="P72" s="90">
        <v>9</v>
      </c>
      <c r="Q72" s="90"/>
      <c r="R72" s="90">
        <v>5</v>
      </c>
      <c r="S72" s="90">
        <v>8</v>
      </c>
      <c r="T72" s="93">
        <f t="shared" si="8"/>
        <v>35110.559999999998</v>
      </c>
      <c r="U72" s="99"/>
      <c r="V72" s="99"/>
      <c r="W72" s="100">
        <f t="shared" si="9"/>
        <v>193</v>
      </c>
    </row>
    <row r="73" spans="11:23">
      <c r="K73" s="90" t="s">
        <v>251</v>
      </c>
      <c r="L73" s="90"/>
      <c r="M73" s="92">
        <v>181.92</v>
      </c>
      <c r="N73" s="92">
        <v>129.38999999999999</v>
      </c>
      <c r="O73" s="90">
        <v>17</v>
      </c>
      <c r="P73" s="90">
        <v>9</v>
      </c>
      <c r="Q73" s="90"/>
      <c r="R73" s="90">
        <v>5</v>
      </c>
      <c r="S73" s="90">
        <v>8</v>
      </c>
      <c r="T73" s="93">
        <f t="shared" si="8"/>
        <v>0</v>
      </c>
      <c r="U73" s="99"/>
      <c r="V73" s="99"/>
      <c r="W73" s="100">
        <f t="shared" si="9"/>
        <v>0</v>
      </c>
    </row>
    <row r="74" spans="11:23">
      <c r="K74" s="90" t="s">
        <v>121</v>
      </c>
      <c r="L74" s="90">
        <v>1</v>
      </c>
      <c r="M74" s="92">
        <v>149.44999999999999</v>
      </c>
      <c r="N74" s="92">
        <v>133.62</v>
      </c>
      <c r="O74" s="90">
        <v>17</v>
      </c>
      <c r="P74" s="90">
        <v>9</v>
      </c>
      <c r="Q74" s="90"/>
      <c r="R74" s="90">
        <v>5</v>
      </c>
      <c r="S74" s="90">
        <v>8</v>
      </c>
      <c r="T74" s="93">
        <f t="shared" si="8"/>
        <v>28843.85</v>
      </c>
      <c r="U74" s="99"/>
      <c r="V74" s="99"/>
      <c r="W74" s="100">
        <f t="shared" si="9"/>
        <v>193</v>
      </c>
    </row>
    <row r="75" spans="11:23">
      <c r="K75" s="90" t="s">
        <v>122</v>
      </c>
      <c r="L75" s="90">
        <v>1</v>
      </c>
      <c r="M75" s="92">
        <v>149.44999999999999</v>
      </c>
      <c r="N75" s="92">
        <v>133.62</v>
      </c>
      <c r="O75" s="90">
        <v>17</v>
      </c>
      <c r="P75" s="90">
        <v>9</v>
      </c>
      <c r="Q75" s="90"/>
      <c r="R75" s="90">
        <v>5</v>
      </c>
      <c r="S75" s="90">
        <v>8</v>
      </c>
      <c r="T75" s="93">
        <f t="shared" si="8"/>
        <v>28843.85</v>
      </c>
      <c r="U75" s="99"/>
      <c r="V75" s="99"/>
      <c r="W75" s="100">
        <f t="shared" si="9"/>
        <v>193</v>
      </c>
    </row>
    <row r="76" spans="11:23">
      <c r="K76" s="90" t="s">
        <v>167</v>
      </c>
      <c r="L76" s="90">
        <v>1</v>
      </c>
      <c r="M76" s="92">
        <v>251.96</v>
      </c>
      <c r="N76" s="92">
        <v>191.73</v>
      </c>
      <c r="O76" s="90">
        <v>17</v>
      </c>
      <c r="P76" s="90">
        <v>9</v>
      </c>
      <c r="Q76" s="90"/>
      <c r="R76" s="90">
        <v>5</v>
      </c>
      <c r="S76" s="90">
        <v>8</v>
      </c>
      <c r="T76" s="93">
        <f t="shared" si="8"/>
        <v>48628.28</v>
      </c>
      <c r="U76" s="99"/>
      <c r="V76" s="99"/>
      <c r="W76" s="100">
        <f t="shared" si="9"/>
        <v>193</v>
      </c>
    </row>
    <row r="77" spans="11:23">
      <c r="K77" s="90" t="s">
        <v>130</v>
      </c>
      <c r="L77" s="90">
        <v>1</v>
      </c>
      <c r="M77" s="92">
        <v>251.96</v>
      </c>
      <c r="N77" s="92">
        <v>191.73</v>
      </c>
      <c r="O77" s="90">
        <v>17</v>
      </c>
      <c r="P77" s="90">
        <v>9</v>
      </c>
      <c r="Q77" s="90"/>
      <c r="R77" s="90">
        <v>5</v>
      </c>
      <c r="S77" s="90">
        <v>8</v>
      </c>
      <c r="T77" s="93">
        <f t="shared" si="8"/>
        <v>48628.28</v>
      </c>
      <c r="U77" s="99"/>
      <c r="V77" s="99"/>
      <c r="W77" s="100">
        <f t="shared" si="9"/>
        <v>193</v>
      </c>
    </row>
    <row r="78" spans="11:23">
      <c r="K78" s="90" t="s">
        <v>133</v>
      </c>
      <c r="L78" s="90"/>
      <c r="M78" s="92">
        <v>286.87</v>
      </c>
      <c r="N78" s="92">
        <v>232.1</v>
      </c>
      <c r="O78" s="90">
        <v>17</v>
      </c>
      <c r="P78" s="90">
        <v>9</v>
      </c>
      <c r="Q78" s="90"/>
      <c r="R78" s="90">
        <v>5</v>
      </c>
      <c r="S78" s="90">
        <v>8</v>
      </c>
      <c r="T78" s="93">
        <f t="shared" si="8"/>
        <v>0</v>
      </c>
      <c r="U78" s="99"/>
      <c r="V78" s="99"/>
      <c r="W78" s="100">
        <f t="shared" si="9"/>
        <v>0</v>
      </c>
    </row>
    <row r="79" spans="11:23">
      <c r="K79" s="90" t="s">
        <v>252</v>
      </c>
      <c r="L79" s="90">
        <v>1</v>
      </c>
      <c r="M79" s="92">
        <v>263.20999999999998</v>
      </c>
      <c r="N79" s="92">
        <v>169.59</v>
      </c>
      <c r="O79" s="90">
        <v>8</v>
      </c>
      <c r="P79" s="90">
        <v>9</v>
      </c>
      <c r="Q79" s="90"/>
      <c r="R79" s="90">
        <v>2</v>
      </c>
      <c r="S79" s="90">
        <v>8</v>
      </c>
      <c r="T79" s="93">
        <f t="shared" si="8"/>
        <v>23162.48</v>
      </c>
      <c r="U79" s="99"/>
      <c r="V79" s="99"/>
      <c r="W79" s="100">
        <f t="shared" si="9"/>
        <v>88</v>
      </c>
    </row>
    <row r="80" spans="11:23">
      <c r="K80" s="90" t="s">
        <v>131</v>
      </c>
      <c r="L80" s="90">
        <v>1</v>
      </c>
      <c r="M80" s="92">
        <v>222.97</v>
      </c>
      <c r="N80" s="92">
        <v>169.67</v>
      </c>
      <c r="O80" s="90">
        <v>17</v>
      </c>
      <c r="P80" s="90">
        <v>9</v>
      </c>
      <c r="Q80" s="90"/>
      <c r="R80" s="90">
        <v>5</v>
      </c>
      <c r="S80" s="90">
        <v>8</v>
      </c>
      <c r="T80" s="93">
        <f t="shared" si="8"/>
        <v>43033.21</v>
      </c>
      <c r="U80" s="99"/>
      <c r="V80" s="99"/>
      <c r="W80" s="100">
        <f t="shared" si="9"/>
        <v>193</v>
      </c>
    </row>
    <row r="81" spans="11:23">
      <c r="K81" s="90" t="s">
        <v>253</v>
      </c>
      <c r="L81" s="90"/>
      <c r="M81" s="92">
        <v>222.97</v>
      </c>
      <c r="N81" s="92">
        <v>169.67</v>
      </c>
      <c r="O81" s="90">
        <v>17</v>
      </c>
      <c r="P81" s="90">
        <v>9</v>
      </c>
      <c r="Q81" s="90"/>
      <c r="R81" s="90">
        <v>5</v>
      </c>
      <c r="S81" s="90">
        <v>8</v>
      </c>
      <c r="T81" s="93">
        <f t="shared" si="8"/>
        <v>0</v>
      </c>
      <c r="U81" s="99"/>
      <c r="V81" s="99"/>
      <c r="W81" s="100">
        <f t="shared" si="9"/>
        <v>0</v>
      </c>
    </row>
    <row r="82" spans="11:23" ht="15" thickBot="1">
      <c r="K82" s="90" t="s">
        <v>164</v>
      </c>
      <c r="L82" s="90">
        <v>2</v>
      </c>
      <c r="M82" s="92">
        <v>17093.68</v>
      </c>
      <c r="N82" s="92"/>
      <c r="O82" s="90">
        <v>15</v>
      </c>
      <c r="P82" s="90">
        <v>9</v>
      </c>
      <c r="Q82" s="90"/>
      <c r="R82" s="90">
        <v>4</v>
      </c>
      <c r="S82" s="90">
        <v>8</v>
      </c>
      <c r="T82" s="94">
        <f>M82*L82</f>
        <v>34187.360000000001</v>
      </c>
      <c r="U82" s="99"/>
      <c r="V82" s="99"/>
    </row>
    <row r="83" spans="11:23" ht="15" thickBot="1">
      <c r="T83" s="95">
        <f>SUM(T69:T82)</f>
        <v>360658.99</v>
      </c>
      <c r="U83" s="99"/>
      <c r="V83" s="99"/>
      <c r="W83" s="105">
        <v>1</v>
      </c>
    </row>
    <row r="84" spans="11:23" ht="15" thickBot="1">
      <c r="P84" s="86" t="s">
        <v>245</v>
      </c>
      <c r="Q84" s="86"/>
      <c r="R84" s="89">
        <v>0.1</v>
      </c>
      <c r="S84" s="48">
        <f>T83*R84</f>
        <v>36065.898999999998</v>
      </c>
      <c r="T84" s="96">
        <f>T83-S84</f>
        <v>324593.09100000001</v>
      </c>
      <c r="U84" s="155"/>
      <c r="V84" s="155"/>
      <c r="W84" s="104">
        <f>T84/T83</f>
        <v>0.9</v>
      </c>
    </row>
    <row r="85" spans="11:23">
      <c r="P85" s="2" t="s">
        <v>246</v>
      </c>
      <c r="T85" s="99" t="e">
        <f>H15</f>
        <v>#VALUE!</v>
      </c>
      <c r="U85" s="99"/>
      <c r="V85" s="99"/>
      <c r="W85" s="104" t="e">
        <f>T85/T83</f>
        <v>#VALUE!</v>
      </c>
    </row>
  </sheetData>
  <autoFilter ref="B8:E41" xr:uid="{00000000-0001-0000-0200-000000000000}"/>
  <sortState xmlns:xlrd2="http://schemas.microsoft.com/office/spreadsheetml/2017/richdata2" ref="B9:C17">
    <sortCondition descending="1" ref="C9:C17"/>
  </sortState>
  <mergeCells count="18">
    <mergeCell ref="I14:I15"/>
    <mergeCell ref="K48:W48"/>
    <mergeCell ref="B4:H5"/>
    <mergeCell ref="B6:E6"/>
    <mergeCell ref="B7:E7"/>
    <mergeCell ref="F15:G15"/>
    <mergeCell ref="F9:H9"/>
    <mergeCell ref="F17:H17"/>
    <mergeCell ref="O68:P68"/>
    <mergeCell ref="R68:S68"/>
    <mergeCell ref="K36:W36"/>
    <mergeCell ref="R37:S37"/>
    <mergeCell ref="O37:P37"/>
    <mergeCell ref="K1:L1"/>
    <mergeCell ref="M1:N1"/>
    <mergeCell ref="O49:P49"/>
    <mergeCell ref="R49:S49"/>
    <mergeCell ref="K67:W67"/>
  </mergeCells>
  <phoneticPr fontId="19" type="noConversion"/>
  <pageMargins left="1.6929133858267718" right="0.51181102362204722" top="1.5748031496062993" bottom="0.78740157480314965" header="0.31496062992125984" footer="0.31496062992125984"/>
  <pageSetup paperSize="9" scale="3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CDBA-A1DA-4E29-B5AD-35EF9F1257D9}">
  <sheetPr codeName="Planilha6"/>
  <dimension ref="A1:M31"/>
  <sheetViews>
    <sheetView view="pageBreakPreview" topLeftCell="A2" zoomScale="90" zoomScaleNormal="100" zoomScaleSheetLayoutView="90" workbookViewId="0">
      <selection activeCell="M4" sqref="M4"/>
    </sheetView>
  </sheetViews>
  <sheetFormatPr defaultRowHeight="13.2"/>
  <cols>
    <col min="4" max="4" width="9.88671875" bestFit="1" customWidth="1"/>
    <col min="5" max="7" width="9.6640625" bestFit="1" customWidth="1"/>
    <col min="10" max="10" width="15" bestFit="1" customWidth="1"/>
    <col min="11" max="11" width="16.6640625" bestFit="1" customWidth="1"/>
    <col min="12" max="12" width="20.6640625" bestFit="1" customWidth="1"/>
    <col min="13" max="13" width="18.33203125" customWidth="1"/>
  </cols>
  <sheetData>
    <row r="1" spans="1:13" ht="22.5" customHeight="1">
      <c r="A1" s="312" t="s">
        <v>61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4"/>
    </row>
    <row r="2" spans="1:13" ht="26.4">
      <c r="A2" s="306" t="s">
        <v>62</v>
      </c>
      <c r="B2" s="307"/>
      <c r="C2" s="308"/>
      <c r="D2" s="308"/>
      <c r="E2" s="308"/>
      <c r="F2" s="308"/>
      <c r="G2" s="31" t="s">
        <v>63</v>
      </c>
      <c r="H2" s="27"/>
      <c r="I2" s="30" t="s">
        <v>64</v>
      </c>
      <c r="J2" s="308"/>
      <c r="K2" s="308"/>
      <c r="L2" s="308"/>
      <c r="M2" s="308"/>
    </row>
    <row r="3" spans="1:13" ht="6.75" customHeight="1">
      <c r="A3" s="309"/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1"/>
    </row>
    <row r="4" spans="1:13" ht="26.4">
      <c r="A4" s="30" t="s">
        <v>65</v>
      </c>
      <c r="B4" s="306" t="s">
        <v>66</v>
      </c>
      <c r="C4" s="306"/>
      <c r="D4" s="30" t="s">
        <v>67</v>
      </c>
      <c r="E4" s="30" t="s">
        <v>68</v>
      </c>
      <c r="F4" s="30" t="s">
        <v>69</v>
      </c>
      <c r="G4" s="30" t="s">
        <v>70</v>
      </c>
      <c r="H4" s="30" t="s">
        <v>71</v>
      </c>
      <c r="I4" s="30" t="s">
        <v>72</v>
      </c>
      <c r="J4" s="30" t="s">
        <v>73</v>
      </c>
      <c r="K4" s="30" t="s">
        <v>74</v>
      </c>
      <c r="L4" s="30" t="s">
        <v>75</v>
      </c>
      <c r="M4" s="32" t="s">
        <v>76</v>
      </c>
    </row>
    <row r="5" spans="1:13" ht="20.100000000000001" customHeight="1">
      <c r="A5" s="27"/>
      <c r="B5" s="308"/>
      <c r="C5" s="308"/>
      <c r="D5" s="27"/>
      <c r="E5" s="27"/>
      <c r="F5" s="27"/>
      <c r="G5" s="27"/>
      <c r="H5" s="27"/>
      <c r="I5" s="27"/>
      <c r="J5" s="27"/>
      <c r="K5" s="27"/>
      <c r="L5" s="27"/>
      <c r="M5" s="27"/>
    </row>
    <row r="6" spans="1:13" ht="20.100000000000001" customHeight="1">
      <c r="A6" s="27"/>
      <c r="B6" s="308"/>
      <c r="C6" s="308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ht="20.100000000000001" customHeight="1">
      <c r="A7" s="27"/>
      <c r="B7" s="308"/>
      <c r="C7" s="308"/>
      <c r="D7" s="27"/>
      <c r="E7" s="27"/>
      <c r="F7" s="27"/>
      <c r="G7" s="27"/>
      <c r="H7" s="27"/>
      <c r="I7" s="27"/>
      <c r="J7" s="27"/>
      <c r="K7" s="27"/>
      <c r="L7" s="27"/>
      <c r="M7" s="27"/>
    </row>
    <row r="8" spans="1:13" ht="20.100000000000001" customHeight="1">
      <c r="A8" s="27"/>
      <c r="B8" s="308"/>
      <c r="C8" s="308"/>
      <c r="D8" s="27"/>
      <c r="E8" s="27"/>
      <c r="F8" s="27"/>
      <c r="G8" s="27"/>
      <c r="H8" s="27"/>
      <c r="I8" s="27"/>
      <c r="J8" s="27"/>
      <c r="K8" s="27"/>
      <c r="L8" s="27"/>
      <c r="M8" s="27"/>
    </row>
    <row r="9" spans="1:13" ht="20.100000000000001" customHeight="1">
      <c r="A9" s="27"/>
      <c r="B9" s="308"/>
      <c r="C9" s="308"/>
      <c r="D9" s="27"/>
      <c r="E9" s="27"/>
      <c r="F9" s="27"/>
      <c r="G9" s="27"/>
      <c r="H9" s="27"/>
      <c r="I9" s="27"/>
      <c r="J9" s="27"/>
      <c r="K9" s="27"/>
      <c r="L9" s="27"/>
      <c r="M9" s="27"/>
    </row>
    <row r="10" spans="1:13" ht="20.100000000000001" customHeight="1">
      <c r="A10" s="27"/>
      <c r="B10" s="308"/>
      <c r="C10" s="308"/>
      <c r="D10" s="27"/>
      <c r="E10" s="27"/>
      <c r="F10" s="27"/>
      <c r="G10" s="27"/>
      <c r="H10" s="27"/>
      <c r="I10" s="27"/>
      <c r="J10" s="27"/>
      <c r="K10" s="27"/>
      <c r="L10" s="27"/>
      <c r="M10" s="27"/>
    </row>
    <row r="11" spans="1:13" ht="20.100000000000001" customHeight="1">
      <c r="A11" s="27"/>
      <c r="B11" s="308"/>
      <c r="C11" s="308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pans="1:13" ht="20.100000000000001" customHeight="1">
      <c r="A12" s="27"/>
      <c r="B12" s="308"/>
      <c r="C12" s="308"/>
      <c r="D12" s="27"/>
      <c r="E12" s="27"/>
      <c r="F12" s="27"/>
      <c r="G12" s="27"/>
      <c r="H12" s="27"/>
      <c r="I12" s="27"/>
      <c r="J12" s="27"/>
      <c r="K12" s="27"/>
      <c r="L12" s="27"/>
      <c r="M12" s="27"/>
    </row>
    <row r="13" spans="1:13" ht="20.100000000000001" customHeight="1">
      <c r="A13" s="27"/>
      <c r="B13" s="308"/>
      <c r="C13" s="308"/>
      <c r="D13" s="27"/>
      <c r="E13" s="27"/>
      <c r="F13" s="27"/>
      <c r="G13" s="27"/>
      <c r="H13" s="27"/>
      <c r="I13" s="27"/>
      <c r="J13" s="27"/>
      <c r="K13" s="27"/>
      <c r="L13" s="27"/>
      <c r="M13" s="27"/>
    </row>
    <row r="14" spans="1:13" ht="20.100000000000001" customHeight="1">
      <c r="A14" s="27"/>
      <c r="B14" s="308"/>
      <c r="C14" s="308"/>
      <c r="D14" s="27"/>
      <c r="E14" s="27"/>
      <c r="F14" s="27"/>
      <c r="G14" s="27"/>
      <c r="H14" s="27"/>
      <c r="I14" s="27"/>
      <c r="J14" s="27"/>
      <c r="K14" s="27"/>
      <c r="L14" s="27"/>
      <c r="M14" s="27"/>
    </row>
    <row r="15" spans="1:13" ht="20.100000000000001" customHeight="1">
      <c r="A15" s="27"/>
      <c r="B15" s="308"/>
      <c r="C15" s="308"/>
      <c r="D15" s="27"/>
      <c r="E15" s="27"/>
      <c r="F15" s="27"/>
      <c r="G15" s="27"/>
      <c r="H15" s="27"/>
      <c r="I15" s="27"/>
      <c r="J15" s="27"/>
      <c r="K15" s="27"/>
      <c r="L15" s="27"/>
      <c r="M15" s="27"/>
    </row>
    <row r="16" spans="1:13" ht="20.100000000000001" customHeight="1">
      <c r="A16" s="27"/>
      <c r="B16" s="308"/>
      <c r="C16" s="308"/>
      <c r="D16" s="27"/>
      <c r="E16" s="27"/>
      <c r="F16" s="27"/>
      <c r="G16" s="27"/>
      <c r="H16" s="27"/>
      <c r="I16" s="27"/>
      <c r="J16" s="27"/>
      <c r="K16" s="27"/>
      <c r="L16" s="27"/>
      <c r="M16" s="27"/>
    </row>
    <row r="17" spans="1:13" ht="20.100000000000001" customHeight="1">
      <c r="A17" s="27"/>
      <c r="B17" s="308"/>
      <c r="C17" s="308"/>
      <c r="D17" s="27"/>
      <c r="E17" s="27"/>
      <c r="F17" s="27"/>
      <c r="G17" s="27"/>
      <c r="H17" s="27"/>
      <c r="I17" s="27"/>
      <c r="J17" s="27"/>
      <c r="K17" s="27"/>
      <c r="L17" s="27"/>
      <c r="M17" s="27"/>
    </row>
    <row r="18" spans="1:13" ht="20.100000000000001" customHeight="1">
      <c r="A18" s="27"/>
      <c r="B18" s="308"/>
      <c r="C18" s="308"/>
      <c r="D18" s="27"/>
      <c r="E18" s="27"/>
      <c r="F18" s="27"/>
      <c r="G18" s="27"/>
      <c r="H18" s="27"/>
      <c r="I18" s="27"/>
      <c r="J18" s="27"/>
      <c r="K18" s="27"/>
      <c r="L18" s="27"/>
      <c r="M18" s="27"/>
    </row>
    <row r="19" spans="1:13" ht="20.100000000000001" customHeight="1">
      <c r="A19" s="27"/>
      <c r="B19" s="308"/>
      <c r="C19" s="308"/>
      <c r="D19" s="27"/>
      <c r="E19" s="27"/>
      <c r="F19" s="27"/>
      <c r="G19" s="27"/>
      <c r="H19" s="27"/>
      <c r="I19" s="27"/>
      <c r="J19" s="27"/>
      <c r="K19" s="27"/>
      <c r="L19" s="27"/>
      <c r="M19" s="27"/>
    </row>
    <row r="20" spans="1:13" ht="20.100000000000001" customHeight="1">
      <c r="A20" s="27"/>
      <c r="B20" s="308"/>
      <c r="C20" s="308"/>
      <c r="D20" s="27"/>
      <c r="E20" s="27"/>
      <c r="F20" s="27"/>
      <c r="G20" s="27"/>
      <c r="H20" s="27"/>
      <c r="I20" s="27"/>
      <c r="J20" s="27"/>
      <c r="K20" s="27"/>
      <c r="L20" s="27"/>
      <c r="M20" s="27"/>
    </row>
    <row r="21" spans="1:13" ht="20.100000000000001" customHeight="1">
      <c r="A21" s="27"/>
      <c r="B21" s="308"/>
      <c r="C21" s="308"/>
      <c r="D21" s="27"/>
      <c r="E21" s="27"/>
      <c r="F21" s="27"/>
      <c r="G21" s="27"/>
      <c r="H21" s="27"/>
      <c r="I21" s="27"/>
      <c r="J21" s="27"/>
      <c r="K21" s="27"/>
      <c r="L21" s="27"/>
      <c r="M21" s="27"/>
    </row>
    <row r="22" spans="1:13" ht="20.100000000000001" customHeight="1">
      <c r="A22" s="27"/>
      <c r="B22" s="308"/>
      <c r="C22" s="308"/>
      <c r="D22" s="27"/>
      <c r="E22" s="27"/>
      <c r="F22" s="27"/>
      <c r="G22" s="27"/>
      <c r="H22" s="27"/>
      <c r="I22" s="27"/>
      <c r="J22" s="27"/>
      <c r="K22" s="27"/>
      <c r="L22" s="27"/>
      <c r="M22" s="27"/>
    </row>
    <row r="23" spans="1:13" ht="20.100000000000001" customHeight="1">
      <c r="A23" s="27"/>
      <c r="B23" s="308"/>
      <c r="C23" s="308"/>
      <c r="D23" s="27"/>
      <c r="E23" s="27"/>
      <c r="F23" s="27"/>
      <c r="G23" s="27"/>
      <c r="H23" s="27"/>
      <c r="I23" s="27"/>
      <c r="J23" s="27"/>
      <c r="K23" s="27"/>
      <c r="L23" s="27"/>
      <c r="M23" s="27"/>
    </row>
    <row r="24" spans="1:13" ht="20.100000000000001" customHeight="1">
      <c r="A24" s="27"/>
      <c r="B24" s="308"/>
      <c r="C24" s="308"/>
      <c r="D24" s="27"/>
      <c r="E24" s="27"/>
      <c r="F24" s="27"/>
      <c r="G24" s="27"/>
      <c r="H24" s="27"/>
      <c r="I24" s="27"/>
      <c r="J24" s="27"/>
      <c r="K24" s="27"/>
      <c r="L24" s="27"/>
      <c r="M24" s="27"/>
    </row>
    <row r="25" spans="1:13" ht="20.100000000000001" customHeight="1">
      <c r="A25" s="27"/>
      <c r="B25" s="308"/>
      <c r="C25" s="308"/>
      <c r="D25" s="27"/>
      <c r="E25" s="27"/>
      <c r="F25" s="27"/>
      <c r="G25" s="27"/>
      <c r="H25" s="27"/>
      <c r="I25" s="27"/>
      <c r="J25" s="27"/>
      <c r="K25" s="27"/>
      <c r="L25" s="27"/>
      <c r="M25" s="27"/>
    </row>
    <row r="26" spans="1:13" ht="20.100000000000001" customHeight="1">
      <c r="A26" s="27"/>
      <c r="B26" s="308"/>
      <c r="C26" s="308"/>
      <c r="D26" s="27"/>
      <c r="E26" s="27"/>
      <c r="F26" s="27"/>
      <c r="G26" s="27"/>
      <c r="H26" s="27"/>
      <c r="I26" s="27"/>
      <c r="J26" s="27"/>
      <c r="K26" s="27"/>
      <c r="L26" s="27"/>
      <c r="M26" s="27"/>
    </row>
    <row r="27" spans="1:13" ht="20.100000000000001" customHeight="1">
      <c r="A27" s="27"/>
      <c r="B27" s="308"/>
      <c r="C27" s="308"/>
      <c r="D27" s="27"/>
      <c r="E27" s="27"/>
      <c r="F27" s="27"/>
      <c r="G27" s="27"/>
      <c r="H27" s="27"/>
      <c r="I27" s="27"/>
      <c r="J27" s="27"/>
      <c r="K27" s="27"/>
      <c r="L27" s="27"/>
      <c r="M27" s="27"/>
    </row>
    <row r="28" spans="1:13" ht="20.100000000000001" customHeight="1">
      <c r="A28" s="27"/>
      <c r="B28" s="308"/>
      <c r="C28" s="308"/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spans="1:13" ht="20.100000000000001" customHeight="1">
      <c r="A29" s="27"/>
      <c r="B29" s="308"/>
      <c r="C29" s="308"/>
      <c r="D29" s="27"/>
      <c r="E29" s="27"/>
      <c r="F29" s="27"/>
      <c r="G29" s="27"/>
      <c r="H29" s="27"/>
      <c r="I29" s="27"/>
      <c r="J29" s="27"/>
      <c r="K29" s="27"/>
      <c r="L29" s="27"/>
      <c r="M29" s="27"/>
    </row>
    <row r="30" spans="1:13" ht="20.100000000000001" customHeight="1">
      <c r="A30" s="27"/>
      <c r="B30" s="308"/>
      <c r="C30" s="308"/>
      <c r="D30" s="27"/>
      <c r="E30" s="27"/>
      <c r="F30" s="27"/>
      <c r="G30" s="27"/>
      <c r="H30" s="27"/>
      <c r="I30" s="27"/>
      <c r="J30" s="27"/>
      <c r="K30" s="27"/>
      <c r="L30" s="27"/>
      <c r="M30" s="27"/>
    </row>
    <row r="31" spans="1:13" ht="20.100000000000001" customHeight="1">
      <c r="A31" s="27"/>
      <c r="B31" s="308"/>
      <c r="C31" s="308"/>
      <c r="D31" s="27"/>
      <c r="E31" s="27"/>
      <c r="F31" s="27"/>
      <c r="G31" s="27"/>
      <c r="H31" s="27"/>
      <c r="I31" s="27"/>
      <c r="J31" s="27"/>
      <c r="K31" s="27"/>
      <c r="L31" s="27"/>
      <c r="M31" s="27"/>
    </row>
  </sheetData>
  <mergeCells count="33">
    <mergeCell ref="B31:C31"/>
    <mergeCell ref="J2:M2"/>
    <mergeCell ref="A3:M3"/>
    <mergeCell ref="A1:M1"/>
    <mergeCell ref="B25:C25"/>
    <mergeCell ref="B26:C26"/>
    <mergeCell ref="B27:C27"/>
    <mergeCell ref="B28:C28"/>
    <mergeCell ref="B29:C29"/>
    <mergeCell ref="B30:C30"/>
    <mergeCell ref="B20:C20"/>
    <mergeCell ref="B19:C19"/>
    <mergeCell ref="B21:C21"/>
    <mergeCell ref="B22:C22"/>
    <mergeCell ref="B23:C23"/>
    <mergeCell ref="B24:C24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2:B2"/>
    <mergeCell ref="C2:F2"/>
    <mergeCell ref="B4:C4"/>
    <mergeCell ref="B5:C5"/>
    <mergeCell ref="B6:C6"/>
  </mergeCells>
  <pageMargins left="0.51181102362204722" right="0.51181102362204722" top="0.78740157480314965" bottom="0.78740157480314965" header="0.31496062992125984" footer="0.31496062992125984"/>
  <pageSetup paperSize="9" scale="85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3A23-412C-4754-8F9F-C49374AA146D}">
  <sheetPr codeName="Planilha2"/>
  <dimension ref="A1:E155"/>
  <sheetViews>
    <sheetView view="pageBreakPreview" zoomScale="110" zoomScaleNormal="100" zoomScaleSheetLayoutView="110" workbookViewId="0">
      <selection activeCell="G140" sqref="G140"/>
    </sheetView>
  </sheetViews>
  <sheetFormatPr defaultRowHeight="13.2"/>
  <cols>
    <col min="1" max="1" width="15.6640625" customWidth="1"/>
    <col min="2" max="2" width="24.5546875" customWidth="1"/>
    <col min="3" max="3" width="21.6640625" customWidth="1"/>
    <col min="4" max="4" width="17" customWidth="1"/>
    <col min="5" max="5" width="28" customWidth="1"/>
  </cols>
  <sheetData>
    <row r="1" spans="1:5" ht="54" customHeight="1">
      <c r="A1" s="320" t="s">
        <v>77</v>
      </c>
      <c r="B1" s="320"/>
      <c r="C1" s="320"/>
      <c r="D1" s="320"/>
      <c r="E1" s="320"/>
    </row>
    <row r="2" spans="1:5">
      <c r="A2" s="6" t="s">
        <v>78</v>
      </c>
      <c r="B2" s="6" t="s">
        <v>79</v>
      </c>
      <c r="C2" s="6" t="s">
        <v>80</v>
      </c>
      <c r="D2" s="6" t="s">
        <v>81</v>
      </c>
      <c r="E2" s="6" t="s">
        <v>82</v>
      </c>
    </row>
    <row r="3" spans="1:5" ht="13.8">
      <c r="A3" s="12">
        <v>1728</v>
      </c>
      <c r="B3" s="18">
        <f>'[1]Medição '!D2</f>
        <v>43851</v>
      </c>
      <c r="C3" s="13" t="s">
        <v>83</v>
      </c>
      <c r="D3" s="19">
        <v>120</v>
      </c>
      <c r="E3" s="14" t="s">
        <v>84</v>
      </c>
    </row>
    <row r="4" spans="1:5" ht="13.8">
      <c r="A4" s="12">
        <v>1728</v>
      </c>
      <c r="B4" s="18">
        <f>'[1]Medição '!D3</f>
        <v>43851</v>
      </c>
      <c r="C4" s="13" t="s">
        <v>83</v>
      </c>
      <c r="D4" s="19">
        <v>130</v>
      </c>
      <c r="E4" s="14" t="s">
        <v>85</v>
      </c>
    </row>
    <row r="5" spans="1:5" ht="13.8">
      <c r="A5" s="12">
        <v>1727</v>
      </c>
      <c r="B5" s="18">
        <f>'[1]Medição '!D4</f>
        <v>43851</v>
      </c>
      <c r="C5" s="13" t="s">
        <v>86</v>
      </c>
      <c r="D5" s="19">
        <v>200</v>
      </c>
      <c r="E5" s="14" t="s">
        <v>2</v>
      </c>
    </row>
    <row r="6" spans="1:5" ht="13.8">
      <c r="A6" s="12">
        <v>1727</v>
      </c>
      <c r="B6" s="18">
        <f>'[1]Medição '!D5</f>
        <v>43851</v>
      </c>
      <c r="C6" s="13" t="s">
        <v>86</v>
      </c>
      <c r="D6" s="19">
        <v>210</v>
      </c>
      <c r="E6" s="14" t="s">
        <v>4</v>
      </c>
    </row>
    <row r="7" spans="1:5" ht="13.8">
      <c r="A7" s="12">
        <v>1727</v>
      </c>
      <c r="B7" s="18">
        <f>'[1]Medição '!D6</f>
        <v>43851</v>
      </c>
      <c r="C7" s="13" t="s">
        <v>86</v>
      </c>
      <c r="D7" s="19">
        <v>170</v>
      </c>
      <c r="E7" s="14" t="s">
        <v>6</v>
      </c>
    </row>
    <row r="8" spans="1:5" ht="13.8">
      <c r="A8" s="12">
        <v>1727</v>
      </c>
      <c r="B8" s="18">
        <f>'[1]Medição '!D7</f>
        <v>43851</v>
      </c>
      <c r="C8" s="13" t="s">
        <v>86</v>
      </c>
      <c r="D8" s="19">
        <v>290</v>
      </c>
      <c r="E8" s="14" t="s">
        <v>87</v>
      </c>
    </row>
    <row r="9" spans="1:5" ht="13.8">
      <c r="A9" s="12">
        <v>1729</v>
      </c>
      <c r="B9" s="18">
        <f>'[1]Medição '!D8</f>
        <v>43852</v>
      </c>
      <c r="C9" s="13" t="s">
        <v>83</v>
      </c>
      <c r="D9" s="19">
        <v>120</v>
      </c>
      <c r="E9" s="14" t="s">
        <v>84</v>
      </c>
    </row>
    <row r="10" spans="1:5" ht="13.8">
      <c r="A10" s="12">
        <v>1729</v>
      </c>
      <c r="B10" s="18">
        <f>'[1]Medição '!D9</f>
        <v>43852</v>
      </c>
      <c r="C10" s="13" t="s">
        <v>83</v>
      </c>
      <c r="D10" s="19">
        <v>130</v>
      </c>
      <c r="E10" s="14" t="s">
        <v>85</v>
      </c>
    </row>
    <row r="11" spans="1:5" ht="13.8">
      <c r="A11" s="12">
        <v>1730</v>
      </c>
      <c r="B11" s="18">
        <f>'[1]Medição '!D10</f>
        <v>43852</v>
      </c>
      <c r="C11" s="13" t="s">
        <v>86</v>
      </c>
      <c r="D11" s="19">
        <v>200</v>
      </c>
      <c r="E11" s="14" t="s">
        <v>2</v>
      </c>
    </row>
    <row r="12" spans="1:5" ht="13.8">
      <c r="A12" s="12">
        <v>1730</v>
      </c>
      <c r="B12" s="18">
        <f>'[1]Medição '!D11</f>
        <v>43852</v>
      </c>
      <c r="C12" s="13" t="s">
        <v>86</v>
      </c>
      <c r="D12" s="19">
        <v>210</v>
      </c>
      <c r="E12" s="14" t="s">
        <v>4</v>
      </c>
    </row>
    <row r="13" spans="1:5" ht="13.8">
      <c r="A13" s="12">
        <v>1730</v>
      </c>
      <c r="B13" s="18">
        <f>'[1]Medição '!D12</f>
        <v>43852</v>
      </c>
      <c r="C13" s="13" t="s">
        <v>86</v>
      </c>
      <c r="D13" s="19">
        <v>170</v>
      </c>
      <c r="E13" s="14" t="s">
        <v>6</v>
      </c>
    </row>
    <row r="14" spans="1:5" ht="13.8">
      <c r="A14" s="12">
        <v>1730</v>
      </c>
      <c r="B14" s="18">
        <f>'[1]Medição '!D13</f>
        <v>43852</v>
      </c>
      <c r="C14" s="13" t="s">
        <v>86</v>
      </c>
      <c r="D14" s="19">
        <v>290</v>
      </c>
      <c r="E14" s="14" t="s">
        <v>87</v>
      </c>
    </row>
    <row r="15" spans="1:5" ht="13.8">
      <c r="A15" s="12">
        <v>1732</v>
      </c>
      <c r="B15" s="18">
        <f>'[1]Medição '!D14</f>
        <v>43853</v>
      </c>
      <c r="C15" s="13" t="s">
        <v>83</v>
      </c>
      <c r="D15" s="19">
        <v>120</v>
      </c>
      <c r="E15" s="14" t="s">
        <v>84</v>
      </c>
    </row>
    <row r="16" spans="1:5" ht="13.8">
      <c r="A16" s="12">
        <v>1732</v>
      </c>
      <c r="B16" s="18">
        <f>'[1]Medição '!D15</f>
        <v>43853</v>
      </c>
      <c r="C16" s="13" t="s">
        <v>83</v>
      </c>
      <c r="D16" s="19">
        <v>130</v>
      </c>
      <c r="E16" s="14" t="s">
        <v>85</v>
      </c>
    </row>
    <row r="17" spans="1:5" ht="13.8">
      <c r="A17" s="12">
        <v>1731</v>
      </c>
      <c r="B17" s="18">
        <f>'[1]Medição '!D16</f>
        <v>43853</v>
      </c>
      <c r="C17" s="13" t="s">
        <v>86</v>
      </c>
      <c r="D17" s="19">
        <v>210</v>
      </c>
      <c r="E17" s="14" t="s">
        <v>4</v>
      </c>
    </row>
    <row r="18" spans="1:5" ht="13.8">
      <c r="A18" s="12">
        <v>1731</v>
      </c>
      <c r="B18" s="18">
        <f>'[1]Medição '!D17</f>
        <v>43853</v>
      </c>
      <c r="C18" s="13" t="s">
        <v>86</v>
      </c>
      <c r="D18" s="19">
        <v>170</v>
      </c>
      <c r="E18" s="14" t="s">
        <v>6</v>
      </c>
    </row>
    <row r="19" spans="1:5" ht="13.8">
      <c r="A19" s="12">
        <v>1731</v>
      </c>
      <c r="B19" s="18">
        <f>'[1]Medição '!D18</f>
        <v>43853</v>
      </c>
      <c r="C19" s="13" t="s">
        <v>86</v>
      </c>
      <c r="D19" s="19">
        <v>290</v>
      </c>
      <c r="E19" s="14" t="s">
        <v>87</v>
      </c>
    </row>
    <row r="20" spans="1:5" ht="13.8">
      <c r="A20" s="12">
        <v>1734</v>
      </c>
      <c r="B20" s="18">
        <f>'[1]Medição '!D19</f>
        <v>43854</v>
      </c>
      <c r="C20" s="13" t="s">
        <v>83</v>
      </c>
      <c r="D20" s="19">
        <v>120</v>
      </c>
      <c r="E20" s="14" t="s">
        <v>84</v>
      </c>
    </row>
    <row r="21" spans="1:5" ht="13.8">
      <c r="A21" s="12">
        <v>1734</v>
      </c>
      <c r="B21" s="18">
        <f>'[1]Medição '!D20</f>
        <v>43854</v>
      </c>
      <c r="C21" s="13" t="s">
        <v>83</v>
      </c>
      <c r="D21" s="19">
        <v>130</v>
      </c>
      <c r="E21" s="14" t="s">
        <v>85</v>
      </c>
    </row>
    <row r="22" spans="1:5" ht="13.8">
      <c r="A22" s="12">
        <v>1733</v>
      </c>
      <c r="B22" s="18">
        <f>'[1]Medição '!D21</f>
        <v>43854</v>
      </c>
      <c r="C22" s="13" t="s">
        <v>86</v>
      </c>
      <c r="D22" s="19">
        <v>170</v>
      </c>
      <c r="E22" s="14" t="s">
        <v>6</v>
      </c>
    </row>
    <row r="23" spans="1:5" ht="13.8">
      <c r="A23" s="12">
        <v>1733</v>
      </c>
      <c r="B23" s="18">
        <f>'[1]Medição '!D22</f>
        <v>43854</v>
      </c>
      <c r="C23" s="13" t="s">
        <v>86</v>
      </c>
      <c r="D23" s="19">
        <v>210</v>
      </c>
      <c r="E23" s="14" t="s">
        <v>4</v>
      </c>
    </row>
    <row r="24" spans="1:5" ht="13.8">
      <c r="A24" s="12">
        <v>1733</v>
      </c>
      <c r="B24" s="18">
        <f>'[1]Medição '!D23</f>
        <v>43854</v>
      </c>
      <c r="C24" s="13" t="s">
        <v>86</v>
      </c>
      <c r="D24" s="19">
        <v>290</v>
      </c>
      <c r="E24" s="14" t="s">
        <v>87</v>
      </c>
    </row>
    <row r="25" spans="1:5" ht="13.8">
      <c r="A25" s="12">
        <v>1735</v>
      </c>
      <c r="B25" s="18">
        <f>'[1]Medição '!D24</f>
        <v>43857</v>
      </c>
      <c r="C25" s="13" t="s">
        <v>86</v>
      </c>
      <c r="D25" s="19">
        <v>170</v>
      </c>
      <c r="E25" s="14" t="s">
        <v>6</v>
      </c>
    </row>
    <row r="26" spans="1:5" ht="13.8">
      <c r="A26" s="12">
        <v>1735</v>
      </c>
      <c r="B26" s="18">
        <f>'[1]Medição '!D25</f>
        <v>43857</v>
      </c>
      <c r="C26" s="13" t="s">
        <v>86</v>
      </c>
      <c r="D26" s="19">
        <v>210</v>
      </c>
      <c r="E26" s="14" t="s">
        <v>4</v>
      </c>
    </row>
    <row r="27" spans="1:5" ht="13.8">
      <c r="A27" s="12">
        <v>1735</v>
      </c>
      <c r="B27" s="18">
        <f>'[1]Medição '!D26</f>
        <v>43857</v>
      </c>
      <c r="C27" s="13" t="s">
        <v>86</v>
      </c>
      <c r="D27" s="19">
        <v>290</v>
      </c>
      <c r="E27" s="14" t="s">
        <v>87</v>
      </c>
    </row>
    <row r="28" spans="1:5" ht="13.8">
      <c r="A28" s="12">
        <v>1737</v>
      </c>
      <c r="B28" s="18">
        <f>'[1]Medição '!D27</f>
        <v>43858</v>
      </c>
      <c r="C28" s="13" t="s">
        <v>88</v>
      </c>
      <c r="D28" s="19">
        <v>170</v>
      </c>
      <c r="E28" s="14" t="s">
        <v>6</v>
      </c>
    </row>
    <row r="29" spans="1:5" ht="13.8">
      <c r="A29" s="12">
        <v>1737</v>
      </c>
      <c r="B29" s="18">
        <f>'[1]Medição '!D28</f>
        <v>43858</v>
      </c>
      <c r="C29" s="13" t="s">
        <v>88</v>
      </c>
      <c r="D29" s="19">
        <v>200</v>
      </c>
      <c r="E29" s="14" t="s">
        <v>2</v>
      </c>
    </row>
    <row r="30" spans="1:5" ht="13.8">
      <c r="A30" s="12">
        <v>1737</v>
      </c>
      <c r="B30" s="18">
        <f>'[1]Medição '!D29</f>
        <v>43858</v>
      </c>
      <c r="C30" s="13" t="s">
        <v>88</v>
      </c>
      <c r="D30" s="19">
        <v>210</v>
      </c>
      <c r="E30" s="14" t="s">
        <v>4</v>
      </c>
    </row>
    <row r="31" spans="1:5" ht="13.8">
      <c r="A31" s="12">
        <v>1737</v>
      </c>
      <c r="B31" s="18">
        <f>'[1]Medição '!D30</f>
        <v>43858</v>
      </c>
      <c r="C31" s="13" t="s">
        <v>88</v>
      </c>
      <c r="D31" s="19">
        <v>290</v>
      </c>
      <c r="E31" s="14" t="s">
        <v>87</v>
      </c>
    </row>
    <row r="32" spans="1:5" ht="13.8">
      <c r="A32" s="12">
        <v>1737</v>
      </c>
      <c r="B32" s="18">
        <f>'[1]Medição '!D31</f>
        <v>43858</v>
      </c>
      <c r="C32" s="13" t="s">
        <v>88</v>
      </c>
      <c r="D32" s="19">
        <v>400</v>
      </c>
      <c r="E32" s="14" t="s">
        <v>89</v>
      </c>
    </row>
    <row r="33" spans="1:5" ht="13.8">
      <c r="A33" s="12">
        <v>1739</v>
      </c>
      <c r="B33" s="18">
        <f>'[1]Medição '!D32</f>
        <v>43859</v>
      </c>
      <c r="C33" s="13" t="s">
        <v>88</v>
      </c>
      <c r="D33" s="19">
        <v>170</v>
      </c>
      <c r="E33" s="14" t="s">
        <v>6</v>
      </c>
    </row>
    <row r="34" spans="1:5" ht="13.8">
      <c r="A34" s="12">
        <v>1739</v>
      </c>
      <c r="B34" s="18">
        <f>'[1]Medição '!D33</f>
        <v>43859</v>
      </c>
      <c r="C34" s="13" t="s">
        <v>88</v>
      </c>
      <c r="D34" s="19">
        <v>200</v>
      </c>
      <c r="E34" s="14" t="s">
        <v>2</v>
      </c>
    </row>
    <row r="35" spans="1:5" ht="13.8">
      <c r="A35" s="12">
        <v>1739</v>
      </c>
      <c r="B35" s="18">
        <f>'[1]Medição '!D34</f>
        <v>43859</v>
      </c>
      <c r="C35" s="13" t="s">
        <v>88</v>
      </c>
      <c r="D35" s="19">
        <v>210</v>
      </c>
      <c r="E35" s="14" t="s">
        <v>4</v>
      </c>
    </row>
    <row r="36" spans="1:5" ht="13.8">
      <c r="A36" s="12">
        <v>1739</v>
      </c>
      <c r="B36" s="18">
        <f>'[1]Medição '!D35</f>
        <v>43859</v>
      </c>
      <c r="C36" s="13" t="s">
        <v>88</v>
      </c>
      <c r="D36" s="19">
        <v>290</v>
      </c>
      <c r="E36" s="14" t="s">
        <v>87</v>
      </c>
    </row>
    <row r="37" spans="1:5" ht="13.8">
      <c r="A37" s="12">
        <v>1741</v>
      </c>
      <c r="B37" s="18">
        <f>'[1]Medição '!D36</f>
        <v>43860</v>
      </c>
      <c r="C37" s="13" t="s">
        <v>88</v>
      </c>
      <c r="D37" s="19">
        <v>160</v>
      </c>
      <c r="E37" s="14" t="s">
        <v>5</v>
      </c>
    </row>
    <row r="38" spans="1:5" ht="13.8">
      <c r="A38" s="12">
        <v>1741</v>
      </c>
      <c r="B38" s="18">
        <f>'[1]Medição '!D37</f>
        <v>43860</v>
      </c>
      <c r="C38" s="13" t="s">
        <v>88</v>
      </c>
      <c r="D38" s="19">
        <v>200</v>
      </c>
      <c r="E38" s="14" t="s">
        <v>2</v>
      </c>
    </row>
    <row r="39" spans="1:5" ht="13.8">
      <c r="A39" s="12">
        <v>1741</v>
      </c>
      <c r="B39" s="18">
        <f>'[1]Medição '!D38</f>
        <v>43860</v>
      </c>
      <c r="C39" s="13" t="s">
        <v>88</v>
      </c>
      <c r="D39" s="19">
        <v>280</v>
      </c>
      <c r="E39" s="14" t="s">
        <v>90</v>
      </c>
    </row>
    <row r="40" spans="1:5" ht="13.8">
      <c r="A40" s="12">
        <v>1743</v>
      </c>
      <c r="B40" s="18">
        <f>'[1]Medição '!D39</f>
        <v>43861</v>
      </c>
      <c r="C40" s="13" t="s">
        <v>88</v>
      </c>
      <c r="D40" s="19">
        <v>170</v>
      </c>
      <c r="E40" s="14" t="s">
        <v>6</v>
      </c>
    </row>
    <row r="41" spans="1:5" ht="13.8">
      <c r="A41" s="12">
        <v>1743</v>
      </c>
      <c r="B41" s="18">
        <f>'[1]Medição '!D40</f>
        <v>43861</v>
      </c>
      <c r="C41" s="13" t="s">
        <v>88</v>
      </c>
      <c r="D41" s="19">
        <v>200</v>
      </c>
      <c r="E41" s="14" t="s">
        <v>2</v>
      </c>
    </row>
    <row r="42" spans="1:5" ht="13.8">
      <c r="A42" s="12">
        <v>1743</v>
      </c>
      <c r="B42" s="18">
        <f>'[1]Medição '!D41</f>
        <v>43861</v>
      </c>
      <c r="C42" s="13" t="s">
        <v>88</v>
      </c>
      <c r="D42" s="19">
        <v>210</v>
      </c>
      <c r="E42" s="14" t="s">
        <v>4</v>
      </c>
    </row>
    <row r="43" spans="1:5" ht="13.8">
      <c r="A43" s="12">
        <v>1743</v>
      </c>
      <c r="B43" s="18">
        <f>'[1]Medição '!D42</f>
        <v>43861</v>
      </c>
      <c r="C43" s="13" t="s">
        <v>88</v>
      </c>
      <c r="D43" s="19">
        <v>290</v>
      </c>
      <c r="E43" s="14" t="s">
        <v>87</v>
      </c>
    </row>
    <row r="44" spans="1:5" ht="13.8">
      <c r="A44" s="12">
        <v>1736</v>
      </c>
      <c r="B44" s="18">
        <f>'[1]Medição '!D43</f>
        <v>43857</v>
      </c>
      <c r="C44" s="13" t="s">
        <v>83</v>
      </c>
      <c r="D44" s="19">
        <v>120</v>
      </c>
      <c r="E44" s="14" t="s">
        <v>84</v>
      </c>
    </row>
    <row r="45" spans="1:5" ht="13.8">
      <c r="A45" s="12">
        <v>1736</v>
      </c>
      <c r="B45" s="18">
        <f>'[1]Medição '!D44</f>
        <v>43857</v>
      </c>
      <c r="C45" s="13" t="s">
        <v>83</v>
      </c>
      <c r="D45" s="19">
        <v>130</v>
      </c>
      <c r="E45" s="14" t="s">
        <v>85</v>
      </c>
    </row>
    <row r="46" spans="1:5" ht="13.8">
      <c r="A46" s="12">
        <v>1738</v>
      </c>
      <c r="B46" s="18">
        <f>'[1]Medição '!D45</f>
        <v>43858</v>
      </c>
      <c r="C46" s="13" t="s">
        <v>83</v>
      </c>
      <c r="D46" s="19">
        <v>120</v>
      </c>
      <c r="E46" s="14" t="s">
        <v>84</v>
      </c>
    </row>
    <row r="47" spans="1:5" ht="13.8">
      <c r="A47" s="12">
        <v>1738</v>
      </c>
      <c r="B47" s="18">
        <f>'[1]Medição '!D46</f>
        <v>43858</v>
      </c>
      <c r="C47" s="13" t="s">
        <v>83</v>
      </c>
      <c r="D47" s="19">
        <v>130</v>
      </c>
      <c r="E47" s="14" t="s">
        <v>85</v>
      </c>
    </row>
    <row r="48" spans="1:5" ht="13.8">
      <c r="A48" s="12">
        <v>1740</v>
      </c>
      <c r="B48" s="18">
        <f>'[1]Medição '!D47</f>
        <v>43859</v>
      </c>
      <c r="C48" s="13" t="s">
        <v>83</v>
      </c>
      <c r="D48" s="19">
        <v>120</v>
      </c>
      <c r="E48" s="14" t="s">
        <v>84</v>
      </c>
    </row>
    <row r="49" spans="1:5" ht="13.8">
      <c r="A49" s="12">
        <v>1740</v>
      </c>
      <c r="B49" s="18">
        <f>'[1]Medição '!D48</f>
        <v>43859</v>
      </c>
      <c r="C49" s="13" t="s">
        <v>83</v>
      </c>
      <c r="D49" s="19">
        <v>130</v>
      </c>
      <c r="E49" s="14" t="s">
        <v>85</v>
      </c>
    </row>
    <row r="50" spans="1:5" ht="13.8">
      <c r="A50" s="12">
        <v>1742</v>
      </c>
      <c r="B50" s="18">
        <f>'[1]Medição '!D49</f>
        <v>43860</v>
      </c>
      <c r="C50" s="13" t="s">
        <v>83</v>
      </c>
      <c r="D50" s="19">
        <v>120</v>
      </c>
      <c r="E50" s="14" t="s">
        <v>84</v>
      </c>
    </row>
    <row r="51" spans="1:5" ht="13.8">
      <c r="A51" s="12">
        <v>1742</v>
      </c>
      <c r="B51" s="18">
        <f>'[1]Medição '!D50</f>
        <v>43860</v>
      </c>
      <c r="C51" s="13" t="s">
        <v>83</v>
      </c>
      <c r="D51" s="19">
        <v>130</v>
      </c>
      <c r="E51" s="14" t="s">
        <v>85</v>
      </c>
    </row>
    <row r="52" spans="1:5" ht="13.8">
      <c r="A52" s="12">
        <v>1744</v>
      </c>
      <c r="B52" s="18">
        <f>'[1]Medição '!D51</f>
        <v>43861</v>
      </c>
      <c r="C52" s="13" t="s">
        <v>83</v>
      </c>
      <c r="D52" s="19">
        <v>120</v>
      </c>
      <c r="E52" s="14" t="s">
        <v>84</v>
      </c>
    </row>
    <row r="53" spans="1:5" ht="13.8">
      <c r="A53" s="12">
        <v>1746</v>
      </c>
      <c r="B53" s="18">
        <f>'[1]Medição '!D52</f>
        <v>43864</v>
      </c>
      <c r="C53" s="13" t="s">
        <v>83</v>
      </c>
      <c r="D53" s="19">
        <v>120</v>
      </c>
      <c r="E53" s="14" t="s">
        <v>84</v>
      </c>
    </row>
    <row r="54" spans="1:5" ht="13.8">
      <c r="A54" s="12">
        <v>1746</v>
      </c>
      <c r="B54" s="18">
        <f>'[1]Medição '!D53</f>
        <v>43864</v>
      </c>
      <c r="C54" s="13" t="s">
        <v>83</v>
      </c>
      <c r="D54" s="19">
        <v>130</v>
      </c>
      <c r="E54" s="14" t="s">
        <v>85</v>
      </c>
    </row>
    <row r="55" spans="1:5" ht="13.8">
      <c r="A55" s="12">
        <v>1748</v>
      </c>
      <c r="B55" s="18">
        <f>'[1]Medição '!D54</f>
        <v>43865</v>
      </c>
      <c r="C55" s="13" t="s">
        <v>83</v>
      </c>
      <c r="D55" s="19">
        <v>120</v>
      </c>
      <c r="E55" s="14" t="s">
        <v>84</v>
      </c>
    </row>
    <row r="56" spans="1:5" ht="13.8">
      <c r="A56" s="12">
        <v>1748</v>
      </c>
      <c r="B56" s="18">
        <f>'[1]Medição '!D55</f>
        <v>43865</v>
      </c>
      <c r="C56" s="13" t="s">
        <v>83</v>
      </c>
      <c r="D56" s="19">
        <v>130</v>
      </c>
      <c r="E56" s="14" t="s">
        <v>85</v>
      </c>
    </row>
    <row r="57" spans="1:5" ht="13.8">
      <c r="A57" s="12">
        <v>1751</v>
      </c>
      <c r="B57" s="18">
        <f>'[1]Medição '!D56</f>
        <v>43866</v>
      </c>
      <c r="C57" s="13" t="s">
        <v>83</v>
      </c>
      <c r="D57" s="19">
        <v>120</v>
      </c>
      <c r="E57" s="14" t="s">
        <v>84</v>
      </c>
    </row>
    <row r="58" spans="1:5" ht="13.8">
      <c r="A58" s="12">
        <v>1751</v>
      </c>
      <c r="B58" s="18">
        <f>'[1]Medição '!D57</f>
        <v>43866</v>
      </c>
      <c r="C58" s="13" t="s">
        <v>83</v>
      </c>
      <c r="D58" s="19">
        <v>130</v>
      </c>
      <c r="E58" s="14" t="s">
        <v>85</v>
      </c>
    </row>
    <row r="59" spans="1:5" ht="13.8">
      <c r="A59" s="12">
        <v>1754</v>
      </c>
      <c r="B59" s="18">
        <f>'[1]Medição '!D58</f>
        <v>43867</v>
      </c>
      <c r="C59" s="13" t="s">
        <v>83</v>
      </c>
      <c r="D59" s="19">
        <v>120</v>
      </c>
      <c r="E59" s="14" t="s">
        <v>84</v>
      </c>
    </row>
    <row r="60" spans="1:5" ht="13.8">
      <c r="A60" s="12">
        <v>1754</v>
      </c>
      <c r="B60" s="18">
        <f>'[1]Medição '!D59</f>
        <v>43867</v>
      </c>
      <c r="C60" s="13" t="s">
        <v>83</v>
      </c>
      <c r="D60" s="19">
        <v>130</v>
      </c>
      <c r="E60" s="14" t="s">
        <v>85</v>
      </c>
    </row>
    <row r="61" spans="1:5" ht="13.8">
      <c r="A61" s="12">
        <v>1755</v>
      </c>
      <c r="B61" s="18">
        <f>'[1]Medição '!D60</f>
        <v>43868</v>
      </c>
      <c r="C61" s="13" t="s">
        <v>83</v>
      </c>
      <c r="D61" s="19">
        <v>120</v>
      </c>
      <c r="E61" s="14" t="s">
        <v>84</v>
      </c>
    </row>
    <row r="62" spans="1:5" ht="13.8">
      <c r="A62" s="12">
        <v>1745</v>
      </c>
      <c r="B62" s="18">
        <f>'[1]Medição '!D61</f>
        <v>43864</v>
      </c>
      <c r="C62" s="13" t="s">
        <v>88</v>
      </c>
      <c r="D62" s="19">
        <v>160</v>
      </c>
      <c r="E62" s="14" t="s">
        <v>5</v>
      </c>
    </row>
    <row r="63" spans="1:5" ht="13.8">
      <c r="A63" s="12">
        <v>1745</v>
      </c>
      <c r="B63" s="18">
        <f>'[1]Medição '!D62</f>
        <v>43864</v>
      </c>
      <c r="C63" s="13" t="s">
        <v>88</v>
      </c>
      <c r="D63" s="19">
        <v>200</v>
      </c>
      <c r="E63" s="14" t="s">
        <v>2</v>
      </c>
    </row>
    <row r="64" spans="1:5" ht="13.8">
      <c r="A64" s="12">
        <v>1745</v>
      </c>
      <c r="B64" s="18">
        <f>'[1]Medição '!D63</f>
        <v>43864</v>
      </c>
      <c r="C64" s="13" t="s">
        <v>88</v>
      </c>
      <c r="D64" s="19">
        <v>280</v>
      </c>
      <c r="E64" s="14" t="s">
        <v>90</v>
      </c>
    </row>
    <row r="65" spans="1:5" ht="13.8">
      <c r="A65" s="12">
        <v>1747</v>
      </c>
      <c r="B65" s="18">
        <f>'[1]Medição '!D64</f>
        <v>43865</v>
      </c>
      <c r="C65" s="13" t="s">
        <v>88</v>
      </c>
      <c r="D65" s="19">
        <v>160</v>
      </c>
      <c r="E65" s="14" t="s">
        <v>5</v>
      </c>
    </row>
    <row r="66" spans="1:5" ht="13.8">
      <c r="A66" s="12">
        <v>1747</v>
      </c>
      <c r="B66" s="18">
        <f>'[1]Medição '!D65</f>
        <v>43865</v>
      </c>
      <c r="C66" s="13" t="s">
        <v>88</v>
      </c>
      <c r="D66" s="19">
        <v>170</v>
      </c>
      <c r="E66" s="14" t="s">
        <v>6</v>
      </c>
    </row>
    <row r="67" spans="1:5" ht="13.8">
      <c r="A67" s="12">
        <v>1747</v>
      </c>
      <c r="B67" s="18">
        <f>'[1]Medição '!D66</f>
        <v>43865</v>
      </c>
      <c r="C67" s="13" t="s">
        <v>88</v>
      </c>
      <c r="D67" s="19">
        <v>200</v>
      </c>
      <c r="E67" s="14" t="s">
        <v>2</v>
      </c>
    </row>
    <row r="68" spans="1:5" ht="13.8">
      <c r="A68" s="12">
        <v>1747</v>
      </c>
      <c r="B68" s="18">
        <f>'[1]Medição '!D67</f>
        <v>43865</v>
      </c>
      <c r="C68" s="13" t="s">
        <v>88</v>
      </c>
      <c r="D68" s="19">
        <v>210</v>
      </c>
      <c r="E68" s="14" t="s">
        <v>4</v>
      </c>
    </row>
    <row r="69" spans="1:5" ht="13.8">
      <c r="A69" s="12">
        <v>1749</v>
      </c>
      <c r="B69" s="18">
        <f>'[1]Medição '!D68</f>
        <v>43865</v>
      </c>
      <c r="C69" s="13" t="s">
        <v>91</v>
      </c>
      <c r="D69" s="19">
        <v>400</v>
      </c>
      <c r="E69" s="14" t="s">
        <v>89</v>
      </c>
    </row>
    <row r="70" spans="1:5" ht="13.8">
      <c r="A70" s="12">
        <v>1752</v>
      </c>
      <c r="B70" s="18">
        <f>'[1]Medição '!D69</f>
        <v>43866</v>
      </c>
      <c r="C70" s="13" t="s">
        <v>91</v>
      </c>
      <c r="D70" s="19">
        <v>160</v>
      </c>
      <c r="E70" s="14" t="s">
        <v>5</v>
      </c>
    </row>
    <row r="71" spans="1:5" ht="13.8">
      <c r="A71" s="12">
        <v>1752</v>
      </c>
      <c r="B71" s="18">
        <f>'[1]Medição '!D70</f>
        <v>43866</v>
      </c>
      <c r="C71" s="13" t="s">
        <v>91</v>
      </c>
      <c r="D71" s="19">
        <v>170</v>
      </c>
      <c r="E71" s="14" t="s">
        <v>6</v>
      </c>
    </row>
    <row r="72" spans="1:5" ht="13.8">
      <c r="A72" s="12">
        <v>1752</v>
      </c>
      <c r="B72" s="18">
        <f>'[1]Medição '!D71</f>
        <v>43866</v>
      </c>
      <c r="C72" s="13" t="s">
        <v>91</v>
      </c>
      <c r="D72" s="19">
        <v>200</v>
      </c>
      <c r="E72" s="14" t="s">
        <v>2</v>
      </c>
    </row>
    <row r="73" spans="1:5" ht="13.8">
      <c r="A73" s="12">
        <v>1752</v>
      </c>
      <c r="B73" s="18">
        <f>'[1]Medição '!D72</f>
        <v>43866</v>
      </c>
      <c r="C73" s="13" t="s">
        <v>91</v>
      </c>
      <c r="D73" s="19">
        <v>210</v>
      </c>
      <c r="E73" s="14" t="s">
        <v>4</v>
      </c>
    </row>
    <row r="74" spans="1:5" ht="13.8">
      <c r="A74" s="12">
        <v>1752</v>
      </c>
      <c r="B74" s="18">
        <f>'[1]Medição '!D73</f>
        <v>43866</v>
      </c>
      <c r="C74" s="13" t="s">
        <v>91</v>
      </c>
      <c r="D74" s="19">
        <v>280</v>
      </c>
      <c r="E74" s="14" t="s">
        <v>90</v>
      </c>
    </row>
    <row r="75" spans="1:5" ht="13.8">
      <c r="A75" s="12">
        <v>1752</v>
      </c>
      <c r="B75" s="18">
        <f>'[1]Medição '!D74</f>
        <v>43866</v>
      </c>
      <c r="C75" s="13" t="s">
        <v>91</v>
      </c>
      <c r="D75" s="19">
        <v>290</v>
      </c>
      <c r="E75" s="14" t="s">
        <v>87</v>
      </c>
    </row>
    <row r="76" spans="1:5" ht="13.8">
      <c r="A76" s="12">
        <v>1752</v>
      </c>
      <c r="B76" s="18">
        <f>'[1]Medição '!D75</f>
        <v>43866</v>
      </c>
      <c r="C76" s="13" t="s">
        <v>91</v>
      </c>
      <c r="D76" s="19">
        <v>400</v>
      </c>
      <c r="E76" s="14" t="s">
        <v>89</v>
      </c>
    </row>
    <row r="77" spans="1:5" ht="13.8">
      <c r="A77" s="12">
        <v>1753</v>
      </c>
      <c r="B77" s="18">
        <f>'[1]Medição '!D76</f>
        <v>43867</v>
      </c>
      <c r="C77" s="13" t="s">
        <v>91</v>
      </c>
      <c r="D77" s="17">
        <v>160</v>
      </c>
      <c r="E77" s="14" t="s">
        <v>5</v>
      </c>
    </row>
    <row r="78" spans="1:5" ht="13.8">
      <c r="A78" s="12">
        <v>1753</v>
      </c>
      <c r="B78" s="18">
        <f>'[1]Medição '!D77</f>
        <v>43867</v>
      </c>
      <c r="C78" s="13" t="s">
        <v>91</v>
      </c>
      <c r="D78" s="19">
        <v>210</v>
      </c>
      <c r="E78" s="14" t="s">
        <v>4</v>
      </c>
    </row>
    <row r="79" spans="1:5" ht="13.8">
      <c r="A79" s="12">
        <v>1753</v>
      </c>
      <c r="B79" s="18">
        <f>'[1]Medição '!D78</f>
        <v>43867</v>
      </c>
      <c r="C79" s="13" t="s">
        <v>91</v>
      </c>
      <c r="D79" s="19">
        <v>280</v>
      </c>
      <c r="E79" s="14" t="s">
        <v>90</v>
      </c>
    </row>
    <row r="80" spans="1:5" ht="13.8">
      <c r="A80" s="12">
        <v>1590</v>
      </c>
      <c r="B80" s="18">
        <f>'[1]Medição '!D79</f>
        <v>43868</v>
      </c>
      <c r="C80" s="13" t="s">
        <v>91</v>
      </c>
      <c r="D80" s="19">
        <v>160</v>
      </c>
      <c r="E80" s="14" t="s">
        <v>5</v>
      </c>
    </row>
    <row r="81" spans="1:5" ht="13.8">
      <c r="A81" s="12">
        <v>1590</v>
      </c>
      <c r="B81" s="18">
        <f>'[1]Medição '!D80</f>
        <v>43868</v>
      </c>
      <c r="C81" s="13" t="s">
        <v>91</v>
      </c>
      <c r="D81" s="19">
        <v>170</v>
      </c>
      <c r="E81" s="14" t="s">
        <v>6</v>
      </c>
    </row>
    <row r="82" spans="1:5" ht="13.8">
      <c r="A82" s="12">
        <v>1590</v>
      </c>
      <c r="B82" s="18">
        <f>'[1]Medição '!D81</f>
        <v>43868</v>
      </c>
      <c r="C82" s="13" t="s">
        <v>91</v>
      </c>
      <c r="D82" s="19">
        <v>200</v>
      </c>
      <c r="E82" s="14" t="s">
        <v>2</v>
      </c>
    </row>
    <row r="83" spans="1:5" ht="13.8">
      <c r="A83" s="12">
        <v>1590</v>
      </c>
      <c r="B83" s="18">
        <f>'[1]Medição '!D82</f>
        <v>43868</v>
      </c>
      <c r="C83" s="13" t="s">
        <v>91</v>
      </c>
      <c r="D83" s="15">
        <v>210</v>
      </c>
      <c r="E83" s="14" t="s">
        <v>4</v>
      </c>
    </row>
    <row r="84" spans="1:5" ht="13.8">
      <c r="A84" s="12">
        <v>1590</v>
      </c>
      <c r="B84" s="18">
        <f>'[1]Medição '!D83</f>
        <v>43868</v>
      </c>
      <c r="C84" s="13" t="s">
        <v>91</v>
      </c>
      <c r="D84" s="19">
        <v>280</v>
      </c>
      <c r="E84" s="14" t="s">
        <v>90</v>
      </c>
    </row>
    <row r="85" spans="1:5" ht="13.8">
      <c r="A85" s="12">
        <v>1590</v>
      </c>
      <c r="B85" s="18">
        <f>'[1]Medição '!D84</f>
        <v>43868</v>
      </c>
      <c r="C85" s="13" t="s">
        <v>91</v>
      </c>
      <c r="D85" s="19">
        <v>290</v>
      </c>
      <c r="E85" s="14" t="s">
        <v>87</v>
      </c>
    </row>
    <row r="86" spans="1:5" ht="13.8">
      <c r="A86" s="12">
        <v>1590</v>
      </c>
      <c r="B86" s="18">
        <f>'[1]Medição '!D85</f>
        <v>43868</v>
      </c>
      <c r="C86" s="13" t="s">
        <v>91</v>
      </c>
      <c r="D86" s="19">
        <v>400</v>
      </c>
      <c r="E86" s="14" t="s">
        <v>89</v>
      </c>
    </row>
    <row r="87" spans="1:5" ht="13.8">
      <c r="A87" s="12">
        <v>1759</v>
      </c>
      <c r="B87" s="18">
        <f>'[1]Medição '!D86</f>
        <v>43871</v>
      </c>
      <c r="C87" s="13" t="s">
        <v>86</v>
      </c>
      <c r="D87" s="19">
        <v>170</v>
      </c>
      <c r="E87" s="14" t="s">
        <v>6</v>
      </c>
    </row>
    <row r="88" spans="1:5" ht="13.8">
      <c r="A88" s="12">
        <v>1759</v>
      </c>
      <c r="B88" s="18">
        <f>'[1]Medição '!D87</f>
        <v>43871</v>
      </c>
      <c r="C88" s="13" t="s">
        <v>86</v>
      </c>
      <c r="D88" s="19">
        <v>400</v>
      </c>
      <c r="E88" s="14" t="s">
        <v>89</v>
      </c>
    </row>
    <row r="89" spans="1:5" ht="13.8">
      <c r="A89" s="12">
        <v>1760</v>
      </c>
      <c r="B89" s="18">
        <f>'[1]Medição '!D88</f>
        <v>43871</v>
      </c>
      <c r="C89" s="13" t="s">
        <v>91</v>
      </c>
      <c r="D89" s="15">
        <v>280</v>
      </c>
      <c r="E89" s="14" t="s">
        <v>90</v>
      </c>
    </row>
    <row r="90" spans="1:5" ht="13.8">
      <c r="A90" s="12">
        <v>1758</v>
      </c>
      <c r="B90" s="18">
        <f>'[1]Medição '!D89</f>
        <v>43871</v>
      </c>
      <c r="C90" s="13" t="s">
        <v>92</v>
      </c>
      <c r="D90" s="19">
        <v>200</v>
      </c>
      <c r="E90" s="14" t="s">
        <v>2</v>
      </c>
    </row>
    <row r="91" spans="1:5" ht="13.8">
      <c r="A91" s="12">
        <v>1763</v>
      </c>
      <c r="B91" s="18">
        <f>'[1]Medição '!D90</f>
        <v>43872</v>
      </c>
      <c r="C91" s="13" t="s">
        <v>86</v>
      </c>
      <c r="D91" s="19">
        <v>160</v>
      </c>
      <c r="E91" s="14" t="s">
        <v>5</v>
      </c>
    </row>
    <row r="92" spans="1:5" ht="13.8">
      <c r="A92" s="12">
        <v>1763</v>
      </c>
      <c r="B92" s="18">
        <f>'[1]Medição '!D91</f>
        <v>43872</v>
      </c>
      <c r="C92" s="13" t="s">
        <v>86</v>
      </c>
      <c r="D92" s="15">
        <v>200</v>
      </c>
      <c r="E92" s="14" t="s">
        <v>2</v>
      </c>
    </row>
    <row r="93" spans="1:5" ht="13.8">
      <c r="A93" s="12">
        <v>1763</v>
      </c>
      <c r="B93" s="18">
        <f>'[1]Medição '!D92</f>
        <v>43872</v>
      </c>
      <c r="C93" s="13" t="s">
        <v>86</v>
      </c>
      <c r="D93" s="19">
        <v>280</v>
      </c>
      <c r="E93" s="14" t="s">
        <v>90</v>
      </c>
    </row>
    <row r="94" spans="1:5" ht="13.8">
      <c r="A94" s="12">
        <v>1763</v>
      </c>
      <c r="B94" s="18">
        <f>'[1]Medição '!D93</f>
        <v>43872</v>
      </c>
      <c r="C94" s="13" t="s">
        <v>86</v>
      </c>
      <c r="D94" s="19">
        <v>290</v>
      </c>
      <c r="E94" s="14" t="s">
        <v>87</v>
      </c>
    </row>
    <row r="95" spans="1:5" ht="13.8">
      <c r="A95" s="12">
        <v>1763</v>
      </c>
      <c r="B95" s="18">
        <f>'[1]Medição '!D94</f>
        <v>43872</v>
      </c>
      <c r="C95" s="13" t="s">
        <v>86</v>
      </c>
      <c r="D95" s="19">
        <v>400</v>
      </c>
      <c r="E95" s="14" t="s">
        <v>89</v>
      </c>
    </row>
    <row r="96" spans="1:5" ht="13.8">
      <c r="A96" s="12">
        <v>1775</v>
      </c>
      <c r="B96" s="18">
        <f>'[1]Medição '!D95</f>
        <v>43873</v>
      </c>
      <c r="C96" s="13" t="s">
        <v>86</v>
      </c>
      <c r="D96" s="19">
        <v>160</v>
      </c>
      <c r="E96" s="14" t="s">
        <v>5</v>
      </c>
    </row>
    <row r="97" spans="1:5" ht="13.8">
      <c r="A97" s="12">
        <v>1775</v>
      </c>
      <c r="B97" s="18">
        <f>'[1]Medição '!D96</f>
        <v>43873</v>
      </c>
      <c r="C97" s="13" t="s">
        <v>86</v>
      </c>
      <c r="D97" s="15">
        <v>170</v>
      </c>
      <c r="E97" s="14" t="s">
        <v>6</v>
      </c>
    </row>
    <row r="98" spans="1:5" ht="13.8">
      <c r="A98" s="12">
        <v>1775</v>
      </c>
      <c r="B98" s="18">
        <f>'[1]Medição '!D97</f>
        <v>43873</v>
      </c>
      <c r="C98" s="13" t="s">
        <v>86</v>
      </c>
      <c r="D98" s="19">
        <v>200</v>
      </c>
      <c r="E98" s="14" t="s">
        <v>2</v>
      </c>
    </row>
    <row r="99" spans="1:5" ht="13.8">
      <c r="A99" s="12">
        <v>1775</v>
      </c>
      <c r="B99" s="18">
        <f>'[1]Medição '!D98</f>
        <v>43873</v>
      </c>
      <c r="C99" s="13" t="s">
        <v>86</v>
      </c>
      <c r="D99" s="19">
        <v>210</v>
      </c>
      <c r="E99" s="14" t="s">
        <v>4</v>
      </c>
    </row>
    <row r="100" spans="1:5" ht="13.8">
      <c r="A100" s="12">
        <v>1775</v>
      </c>
      <c r="B100" s="18">
        <f>'[1]Medição '!D99</f>
        <v>43873</v>
      </c>
      <c r="C100" s="13" t="s">
        <v>86</v>
      </c>
      <c r="D100" s="16">
        <v>280</v>
      </c>
      <c r="E100" s="14" t="s">
        <v>90</v>
      </c>
    </row>
    <row r="101" spans="1:5" ht="13.8">
      <c r="A101" s="12">
        <v>1775</v>
      </c>
      <c r="B101" s="18">
        <f>'[1]Medição '!D100</f>
        <v>43873</v>
      </c>
      <c r="C101" s="13" t="s">
        <v>86</v>
      </c>
      <c r="D101" s="19">
        <v>290</v>
      </c>
      <c r="E101" s="14" t="s">
        <v>87</v>
      </c>
    </row>
    <row r="102" spans="1:5" ht="13.8">
      <c r="A102" s="12">
        <v>1769</v>
      </c>
      <c r="B102" s="18">
        <f>'[1]Medição '!D101</f>
        <v>43874</v>
      </c>
      <c r="C102" s="13" t="s">
        <v>86</v>
      </c>
      <c r="D102" s="19">
        <v>160</v>
      </c>
      <c r="E102" s="14" t="s">
        <v>5</v>
      </c>
    </row>
    <row r="103" spans="1:5" ht="13.8">
      <c r="A103" s="12">
        <v>1769</v>
      </c>
      <c r="B103" s="18">
        <f>'[1]Medição '!D102</f>
        <v>43874</v>
      </c>
      <c r="C103" s="13" t="s">
        <v>86</v>
      </c>
      <c r="D103" s="19">
        <v>170</v>
      </c>
      <c r="E103" s="14" t="s">
        <v>6</v>
      </c>
    </row>
    <row r="104" spans="1:5" ht="13.8">
      <c r="A104" s="12">
        <v>1769</v>
      </c>
      <c r="B104" s="18">
        <f>'[1]Medição '!D103</f>
        <v>43874</v>
      </c>
      <c r="C104" s="13" t="s">
        <v>86</v>
      </c>
      <c r="D104" s="15">
        <v>210</v>
      </c>
      <c r="E104" s="14" t="s">
        <v>4</v>
      </c>
    </row>
    <row r="105" spans="1:5" ht="13.8">
      <c r="A105" s="12">
        <v>1769</v>
      </c>
      <c r="B105" s="18">
        <f>'[1]Medição '!D104</f>
        <v>43874</v>
      </c>
      <c r="C105" s="13" t="s">
        <v>86</v>
      </c>
      <c r="D105" s="19">
        <v>280</v>
      </c>
      <c r="E105" s="14" t="s">
        <v>90</v>
      </c>
    </row>
    <row r="106" spans="1:5" ht="13.8">
      <c r="A106" s="12">
        <v>1769</v>
      </c>
      <c r="B106" s="18">
        <f>'[1]Medição '!D105</f>
        <v>43874</v>
      </c>
      <c r="C106" s="13" t="s">
        <v>86</v>
      </c>
      <c r="D106" s="19">
        <v>290</v>
      </c>
      <c r="E106" s="14" t="s">
        <v>87</v>
      </c>
    </row>
    <row r="107" spans="1:5" ht="13.8">
      <c r="A107" s="12">
        <v>1772</v>
      </c>
      <c r="B107" s="18">
        <f>'[1]Medição '!D106</f>
        <v>43875</v>
      </c>
      <c r="C107" s="13" t="s">
        <v>86</v>
      </c>
      <c r="D107" s="15">
        <v>160</v>
      </c>
      <c r="E107" s="14" t="s">
        <v>5</v>
      </c>
    </row>
    <row r="108" spans="1:5" ht="13.8">
      <c r="A108" s="12">
        <v>1772</v>
      </c>
      <c r="B108" s="18">
        <f>'[1]Medição '!D107</f>
        <v>43875</v>
      </c>
      <c r="C108" s="13" t="s">
        <v>86</v>
      </c>
      <c r="D108" s="19">
        <v>170</v>
      </c>
      <c r="E108" s="14" t="s">
        <v>6</v>
      </c>
    </row>
    <row r="109" spans="1:5" ht="13.8">
      <c r="A109" s="12">
        <v>1772</v>
      </c>
      <c r="B109" s="18">
        <f>'[1]Medição '!D108</f>
        <v>43875</v>
      </c>
      <c r="C109" s="13" t="s">
        <v>86</v>
      </c>
      <c r="D109" s="19">
        <v>200</v>
      </c>
      <c r="E109" s="14" t="s">
        <v>2</v>
      </c>
    </row>
    <row r="110" spans="1:5" ht="13.8">
      <c r="A110" s="12">
        <v>1772</v>
      </c>
      <c r="B110" s="18">
        <f>'[1]Medição '!D109</f>
        <v>43875</v>
      </c>
      <c r="C110" s="13" t="s">
        <v>86</v>
      </c>
      <c r="D110" s="19">
        <v>210</v>
      </c>
      <c r="E110" s="14" t="s">
        <v>4</v>
      </c>
    </row>
    <row r="111" spans="1:5" ht="13.8">
      <c r="A111" s="12">
        <v>1772</v>
      </c>
      <c r="B111" s="18">
        <f>'[1]Medição '!D110</f>
        <v>43875</v>
      </c>
      <c r="C111" s="13" t="s">
        <v>86</v>
      </c>
      <c r="D111" s="15">
        <v>280</v>
      </c>
      <c r="E111" s="14" t="s">
        <v>90</v>
      </c>
    </row>
    <row r="112" spans="1:5" ht="13.8">
      <c r="A112" s="12">
        <v>1772</v>
      </c>
      <c r="B112" s="18">
        <f>'[1]Medição '!D111</f>
        <v>43875</v>
      </c>
      <c r="C112" s="13" t="s">
        <v>86</v>
      </c>
      <c r="D112" s="19">
        <v>290</v>
      </c>
      <c r="E112" s="14" t="s">
        <v>87</v>
      </c>
    </row>
    <row r="113" spans="1:5" ht="13.8">
      <c r="A113" s="12">
        <v>1774</v>
      </c>
      <c r="B113" s="18">
        <f>'[1]Medição '!D112</f>
        <v>43875</v>
      </c>
      <c r="C113" s="13" t="s">
        <v>86</v>
      </c>
      <c r="D113" s="15">
        <v>400</v>
      </c>
      <c r="E113" s="14" t="s">
        <v>89</v>
      </c>
    </row>
    <row r="114" spans="1:5" ht="13.8">
      <c r="A114" s="12">
        <v>1757</v>
      </c>
      <c r="B114" s="18">
        <f>'[1]Medição '!D113</f>
        <v>43871</v>
      </c>
      <c r="C114" s="13" t="s">
        <v>83</v>
      </c>
      <c r="D114" s="19">
        <v>120</v>
      </c>
      <c r="E114" s="14" t="s">
        <v>84</v>
      </c>
    </row>
    <row r="115" spans="1:5" ht="13.8">
      <c r="A115" s="12">
        <v>1757</v>
      </c>
      <c r="B115" s="18">
        <f>'[1]Medição '!D114</f>
        <v>43871</v>
      </c>
      <c r="C115" s="13" t="s">
        <v>83</v>
      </c>
      <c r="D115" s="19">
        <v>130</v>
      </c>
      <c r="E115" s="14" t="s">
        <v>85</v>
      </c>
    </row>
    <row r="116" spans="1:5" ht="13.8">
      <c r="A116" s="12">
        <v>1761</v>
      </c>
      <c r="B116" s="18">
        <f>'[1]Medição '!D115</f>
        <v>43872</v>
      </c>
      <c r="C116" s="13" t="s">
        <v>83</v>
      </c>
      <c r="D116" s="19">
        <v>120</v>
      </c>
      <c r="E116" s="14" t="s">
        <v>84</v>
      </c>
    </row>
    <row r="117" spans="1:5" ht="13.8">
      <c r="A117" s="12">
        <v>1761</v>
      </c>
      <c r="B117" s="18">
        <f>'[1]Medição '!D116</f>
        <v>43872</v>
      </c>
      <c r="C117" s="13" t="s">
        <v>83</v>
      </c>
      <c r="D117" s="15">
        <v>130</v>
      </c>
      <c r="E117" s="14" t="s">
        <v>85</v>
      </c>
    </row>
    <row r="118" spans="1:5" ht="13.8">
      <c r="A118" s="12">
        <v>1764</v>
      </c>
      <c r="B118" s="18">
        <f>'[1]Medição '!D117</f>
        <v>43873</v>
      </c>
      <c r="C118" s="13" t="s">
        <v>83</v>
      </c>
      <c r="D118" s="19">
        <v>120</v>
      </c>
      <c r="E118" s="14" t="s">
        <v>84</v>
      </c>
    </row>
    <row r="119" spans="1:5" ht="13.8">
      <c r="A119" s="12">
        <v>1764</v>
      </c>
      <c r="B119" s="18">
        <f>'[1]Medição '!D118</f>
        <v>43873</v>
      </c>
      <c r="C119" s="13" t="s">
        <v>83</v>
      </c>
      <c r="D119" s="19">
        <v>130</v>
      </c>
      <c r="E119" s="14" t="s">
        <v>85</v>
      </c>
    </row>
    <row r="120" spans="1:5" ht="13.8">
      <c r="A120" s="12">
        <v>1767</v>
      </c>
      <c r="B120" s="18">
        <f>'[1]Medição '!D119</f>
        <v>43874</v>
      </c>
      <c r="C120" s="13" t="s">
        <v>83</v>
      </c>
      <c r="D120" s="15">
        <v>120</v>
      </c>
      <c r="E120" s="14" t="s">
        <v>84</v>
      </c>
    </row>
    <row r="121" spans="1:5" ht="13.8">
      <c r="A121" s="12">
        <v>1767</v>
      </c>
      <c r="B121" s="18">
        <f>'[1]Medição '!D120</f>
        <v>43874</v>
      </c>
      <c r="C121" s="13" t="s">
        <v>83</v>
      </c>
      <c r="D121" s="19">
        <v>130</v>
      </c>
      <c r="E121" s="14" t="s">
        <v>85</v>
      </c>
    </row>
    <row r="122" spans="1:5" ht="13.8">
      <c r="A122" s="12">
        <v>1771</v>
      </c>
      <c r="B122" s="18">
        <f>'[1]Medição '!D121</f>
        <v>43875</v>
      </c>
      <c r="C122" s="13" t="s">
        <v>83</v>
      </c>
      <c r="D122" s="19">
        <v>120</v>
      </c>
      <c r="E122" s="14" t="s">
        <v>84</v>
      </c>
    </row>
    <row r="123" spans="1:5" ht="13.8">
      <c r="A123" s="12">
        <v>1771</v>
      </c>
      <c r="B123" s="18">
        <f>'[1]Medição '!D122</f>
        <v>43875</v>
      </c>
      <c r="C123" s="13" t="s">
        <v>83</v>
      </c>
      <c r="D123" s="19">
        <v>130</v>
      </c>
      <c r="E123" s="14" t="s">
        <v>85</v>
      </c>
    </row>
    <row r="124" spans="1:5" ht="13.8">
      <c r="A124" s="12">
        <v>1777</v>
      </c>
      <c r="B124" s="18">
        <f>'[1]Medição '!D123</f>
        <v>43878</v>
      </c>
      <c r="C124" s="13" t="s">
        <v>88</v>
      </c>
      <c r="D124" s="15">
        <v>160</v>
      </c>
      <c r="E124" s="14" t="s">
        <v>5</v>
      </c>
    </row>
    <row r="125" spans="1:5" ht="13.8">
      <c r="A125" s="12">
        <v>1777</v>
      </c>
      <c r="B125" s="18">
        <f>'[1]Medição '!D124</f>
        <v>43878</v>
      </c>
      <c r="C125" s="13" t="s">
        <v>88</v>
      </c>
      <c r="D125" s="19">
        <v>170</v>
      </c>
      <c r="E125" s="14" t="s">
        <v>6</v>
      </c>
    </row>
    <row r="126" spans="1:5" ht="13.8">
      <c r="A126" s="12">
        <v>1777</v>
      </c>
      <c r="B126" s="18">
        <f>'[1]Medição '!D125</f>
        <v>43878</v>
      </c>
      <c r="C126" s="13" t="s">
        <v>88</v>
      </c>
      <c r="D126" s="15">
        <v>200</v>
      </c>
      <c r="E126" s="14" t="s">
        <v>2</v>
      </c>
    </row>
    <row r="127" spans="1:5" ht="13.8">
      <c r="A127" s="12">
        <v>1777</v>
      </c>
      <c r="B127" s="18">
        <f>'[1]Medição '!D126</f>
        <v>43878</v>
      </c>
      <c r="C127" s="13" t="s">
        <v>88</v>
      </c>
      <c r="D127" s="19">
        <v>210</v>
      </c>
      <c r="E127" s="14" t="s">
        <v>4</v>
      </c>
    </row>
    <row r="128" spans="1:5" ht="13.8">
      <c r="A128" s="12">
        <v>1777</v>
      </c>
      <c r="B128" s="18">
        <f>'[1]Medição '!D127</f>
        <v>43878</v>
      </c>
      <c r="C128" s="13" t="s">
        <v>88</v>
      </c>
      <c r="D128" s="19">
        <v>280</v>
      </c>
      <c r="E128" s="14" t="s">
        <v>90</v>
      </c>
    </row>
    <row r="129" spans="1:5" ht="13.8">
      <c r="A129" s="12">
        <v>1777</v>
      </c>
      <c r="B129" s="18">
        <f>'[1]Medição '!D128</f>
        <v>43878</v>
      </c>
      <c r="C129" s="13" t="s">
        <v>88</v>
      </c>
      <c r="D129" s="15">
        <v>290</v>
      </c>
      <c r="E129" s="14" t="s">
        <v>87</v>
      </c>
    </row>
    <row r="130" spans="1:5" ht="13.8">
      <c r="A130" s="12">
        <v>1777</v>
      </c>
      <c r="B130" s="18">
        <f>'[1]Medição '!D129</f>
        <v>43878</v>
      </c>
      <c r="C130" s="13" t="s">
        <v>88</v>
      </c>
      <c r="D130" s="19">
        <v>400</v>
      </c>
      <c r="E130" s="14" t="s">
        <v>89</v>
      </c>
    </row>
    <row r="131" spans="1:5" ht="13.8">
      <c r="A131" s="12">
        <v>1779</v>
      </c>
      <c r="B131" s="18">
        <f>'[1]Medição '!D130</f>
        <v>43879</v>
      </c>
      <c r="C131" s="13" t="s">
        <v>88</v>
      </c>
      <c r="D131" s="15">
        <v>160</v>
      </c>
      <c r="E131" s="14" t="s">
        <v>5</v>
      </c>
    </row>
    <row r="132" spans="1:5" ht="13.8">
      <c r="A132" s="12">
        <v>1779</v>
      </c>
      <c r="B132" s="18">
        <f>'[1]Medição '!D131</f>
        <v>43879</v>
      </c>
      <c r="C132" s="13" t="s">
        <v>88</v>
      </c>
      <c r="D132" s="19">
        <v>210</v>
      </c>
      <c r="E132" s="14" t="s">
        <v>4</v>
      </c>
    </row>
    <row r="133" spans="1:5" ht="13.8">
      <c r="A133" s="12">
        <v>1779</v>
      </c>
      <c r="B133" s="18">
        <f>'[1]Medição '!D132</f>
        <v>43879</v>
      </c>
      <c r="C133" s="13" t="s">
        <v>88</v>
      </c>
      <c r="D133" s="19">
        <v>280</v>
      </c>
      <c r="E133" s="14" t="s">
        <v>90</v>
      </c>
    </row>
    <row r="134" spans="1:5" ht="13.8">
      <c r="A134" s="12">
        <v>1783</v>
      </c>
      <c r="B134" s="18">
        <f>'[1]Medição '!D133</f>
        <v>43880</v>
      </c>
      <c r="C134" s="13" t="s">
        <v>86</v>
      </c>
      <c r="D134" s="15">
        <v>400</v>
      </c>
      <c r="E134" s="14" t="s">
        <v>89</v>
      </c>
    </row>
    <row r="135" spans="1:5" ht="13.8">
      <c r="A135" s="12">
        <v>1787</v>
      </c>
      <c r="B135" s="18">
        <f>'[1]Medição '!D134</f>
        <v>43881</v>
      </c>
      <c r="C135" s="13" t="s">
        <v>93</v>
      </c>
      <c r="D135" s="19">
        <v>160</v>
      </c>
      <c r="E135" s="14" t="s">
        <v>5</v>
      </c>
    </row>
    <row r="136" spans="1:5" ht="13.8">
      <c r="A136" s="12">
        <v>1787</v>
      </c>
      <c r="B136" s="18">
        <f>'[1]Medição '!D135</f>
        <v>43881</v>
      </c>
      <c r="C136" s="13" t="s">
        <v>93</v>
      </c>
      <c r="D136" s="19">
        <v>200</v>
      </c>
      <c r="E136" s="14" t="s">
        <v>2</v>
      </c>
    </row>
    <row r="137" spans="1:5" ht="13.8">
      <c r="A137" s="12">
        <v>1787</v>
      </c>
      <c r="B137" s="18">
        <f>'[1]Medição '!D136</f>
        <v>43881</v>
      </c>
      <c r="C137" s="13" t="s">
        <v>93</v>
      </c>
      <c r="D137" s="19">
        <v>210</v>
      </c>
      <c r="E137" s="14" t="s">
        <v>4</v>
      </c>
    </row>
    <row r="138" spans="1:5" ht="13.8">
      <c r="A138" s="12">
        <v>1788</v>
      </c>
      <c r="B138" s="18">
        <f>'[1]Medição '!D137</f>
        <v>43881</v>
      </c>
      <c r="C138" s="13" t="s">
        <v>88</v>
      </c>
      <c r="D138" s="19">
        <v>280</v>
      </c>
      <c r="E138" s="14" t="s">
        <v>90</v>
      </c>
    </row>
    <row r="139" spans="1:5" ht="13.8">
      <c r="A139" s="12">
        <v>1776</v>
      </c>
      <c r="B139" s="18">
        <f>'[1]Medição '!D138</f>
        <v>43878</v>
      </c>
      <c r="C139" s="13" t="s">
        <v>83</v>
      </c>
      <c r="D139" s="19">
        <v>120</v>
      </c>
      <c r="E139" s="14" t="s">
        <v>84</v>
      </c>
    </row>
    <row r="140" spans="1:5" ht="13.8">
      <c r="A140" s="12">
        <v>1776</v>
      </c>
      <c r="B140" s="18">
        <f>'[1]Medição '!D139</f>
        <v>43878</v>
      </c>
      <c r="C140" s="13" t="s">
        <v>83</v>
      </c>
      <c r="D140" s="19">
        <v>130</v>
      </c>
      <c r="E140" s="14" t="s">
        <v>85</v>
      </c>
    </row>
    <row r="141" spans="1:5" ht="13.8">
      <c r="A141" s="12">
        <v>1778</v>
      </c>
      <c r="B141" s="18">
        <f>'[1]Medição '!D140</f>
        <v>43879</v>
      </c>
      <c r="C141" s="13" t="s">
        <v>83</v>
      </c>
      <c r="D141" s="19">
        <v>120</v>
      </c>
      <c r="E141" s="14" t="s">
        <v>84</v>
      </c>
    </row>
    <row r="142" spans="1:5" ht="13.8">
      <c r="A142" s="12">
        <v>1778</v>
      </c>
      <c r="B142" s="18">
        <f>'[1]Medição '!D141</f>
        <v>43879</v>
      </c>
      <c r="C142" s="13" t="s">
        <v>83</v>
      </c>
      <c r="D142" s="19">
        <v>130</v>
      </c>
      <c r="E142" s="14" t="s">
        <v>85</v>
      </c>
    </row>
    <row r="143" spans="1:5" ht="13.8">
      <c r="A143" s="12">
        <v>1781</v>
      </c>
      <c r="B143" s="18">
        <f>'[1]Medição '!D142</f>
        <v>43880</v>
      </c>
      <c r="C143" s="13" t="s">
        <v>83</v>
      </c>
      <c r="D143" s="19">
        <v>120</v>
      </c>
      <c r="E143" s="14" t="s">
        <v>84</v>
      </c>
    </row>
    <row r="144" spans="1:5" ht="13.8">
      <c r="A144" s="12">
        <v>1781</v>
      </c>
      <c r="B144" s="18">
        <f>'[1]Medição '!D143</f>
        <v>43880</v>
      </c>
      <c r="C144" s="13" t="s">
        <v>83</v>
      </c>
      <c r="D144" s="19">
        <v>130</v>
      </c>
      <c r="E144" s="14" t="s">
        <v>85</v>
      </c>
    </row>
    <row r="145" spans="1:5" ht="13.8">
      <c r="A145" s="12">
        <v>1785</v>
      </c>
      <c r="B145" s="18">
        <f>'[1]Medição '!D144</f>
        <v>43881</v>
      </c>
      <c r="C145" s="13" t="s">
        <v>83</v>
      </c>
      <c r="D145" s="19">
        <v>130</v>
      </c>
      <c r="E145" s="14" t="s">
        <v>85</v>
      </c>
    </row>
    <row r="146" spans="1:5" ht="13.8">
      <c r="A146" s="12">
        <v>1591</v>
      </c>
      <c r="B146" s="18">
        <f>'[1]Medição '!D145</f>
        <v>43881</v>
      </c>
      <c r="C146" s="13" t="s">
        <v>86</v>
      </c>
      <c r="D146" s="19">
        <v>580</v>
      </c>
      <c r="E146" s="14" t="s">
        <v>94</v>
      </c>
    </row>
    <row r="147" spans="1:5" ht="13.8">
      <c r="A147" s="12">
        <v>1784</v>
      </c>
      <c r="B147" s="18">
        <f>'[1]Medição '!D146</f>
        <v>43880</v>
      </c>
      <c r="C147" s="13" t="s">
        <v>88</v>
      </c>
      <c r="D147" s="17">
        <v>170</v>
      </c>
      <c r="E147" s="14" t="s">
        <v>6</v>
      </c>
    </row>
    <row r="148" spans="1:5" ht="13.8">
      <c r="A148" s="12">
        <v>1784</v>
      </c>
      <c r="B148" s="18">
        <f>'[1]Medição '!D147</f>
        <v>43880</v>
      </c>
      <c r="C148" s="13" t="s">
        <v>88</v>
      </c>
      <c r="D148" s="19">
        <v>210</v>
      </c>
      <c r="E148" s="14" t="s">
        <v>4</v>
      </c>
    </row>
    <row r="149" spans="1:5" ht="13.8">
      <c r="A149" s="12">
        <v>1784</v>
      </c>
      <c r="B149" s="18">
        <f>'[1]Medição '!D148</f>
        <v>43880</v>
      </c>
      <c r="C149" s="13" t="s">
        <v>88</v>
      </c>
      <c r="D149" s="19">
        <v>290</v>
      </c>
      <c r="E149" s="14" t="s">
        <v>87</v>
      </c>
    </row>
    <row r="150" spans="1:5">
      <c r="B150" s="11"/>
    </row>
    <row r="151" spans="1:5">
      <c r="A151" s="315"/>
      <c r="B151" s="315"/>
      <c r="D151" s="315"/>
      <c r="E151" s="315"/>
    </row>
    <row r="152" spans="1:5">
      <c r="A152" s="316" t="s">
        <v>95</v>
      </c>
      <c r="B152" s="317"/>
      <c r="D152" s="318" t="s">
        <v>96</v>
      </c>
      <c r="E152" s="319"/>
    </row>
    <row r="153" spans="1:5">
      <c r="B153" s="11"/>
    </row>
    <row r="154" spans="1:5">
      <c r="B154" s="11"/>
    </row>
    <row r="155" spans="1:5">
      <c r="B155" s="11"/>
    </row>
  </sheetData>
  <mergeCells count="5">
    <mergeCell ref="A151:B151"/>
    <mergeCell ref="A152:B152"/>
    <mergeCell ref="D152:E152"/>
    <mergeCell ref="D151:E151"/>
    <mergeCell ref="A1:E1"/>
  </mergeCells>
  <phoneticPr fontId="19" type="noConversion"/>
  <pageMargins left="0.511811024" right="0.511811024" top="0.78740157499999996" bottom="0.78740157499999996" header="0.31496062000000002" footer="0.31496062000000002"/>
  <pageSetup paperSize="9" scale="71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5">
    <pageSetUpPr fitToPage="1"/>
  </sheetPr>
  <dimension ref="A1:AB1006"/>
  <sheetViews>
    <sheetView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R18" sqref="R18"/>
    </sheetView>
  </sheetViews>
  <sheetFormatPr defaultColWidth="9.109375" defaultRowHeight="15.6"/>
  <cols>
    <col min="1" max="1" width="7.5546875" style="39" customWidth="1"/>
    <col min="2" max="2" width="11.33203125" style="1" bestFit="1" customWidth="1"/>
    <col min="3" max="3" width="15" style="1" bestFit="1" customWidth="1"/>
    <col min="4" max="4" width="13.6640625" style="1" bestFit="1" customWidth="1"/>
    <col min="5" max="5" width="18.44140625" style="47" bestFit="1" customWidth="1"/>
    <col min="6" max="6" width="11.33203125" style="39" customWidth="1"/>
    <col min="7" max="7" width="12.33203125" style="39" customWidth="1"/>
    <col min="8" max="8" width="18.88671875" style="134" customWidth="1"/>
    <col min="9" max="9" width="16.109375" style="134" bestFit="1" customWidth="1"/>
    <col min="10" max="10" width="29.109375" style="1" customWidth="1"/>
    <col min="11" max="11" width="11.33203125" style="1" customWidth="1"/>
    <col min="12" max="12" width="65.44140625" style="1" customWidth="1"/>
    <col min="13" max="13" width="10.6640625" style="1" bestFit="1" customWidth="1"/>
    <col min="14" max="14" width="15.6640625" style="1" bestFit="1" customWidth="1"/>
    <col min="15" max="15" width="19.44140625" style="68" bestFit="1" customWidth="1"/>
    <col min="16" max="16" width="10.33203125" style="68" bestFit="1" customWidth="1"/>
    <col min="17" max="17" width="21.5546875" style="38" bestFit="1" customWidth="1"/>
    <col min="18" max="18" width="19.6640625" style="1" bestFit="1" customWidth="1"/>
    <col min="19" max="20" width="16.33203125" style="1" bestFit="1" customWidth="1"/>
    <col min="21" max="21" width="14.33203125" style="1" bestFit="1" customWidth="1"/>
    <col min="22" max="22" width="35.6640625" style="1" bestFit="1" customWidth="1"/>
    <col min="23" max="23" width="16.33203125" style="126" bestFit="1" customWidth="1"/>
    <col min="24" max="24" width="15.5546875" style="1" bestFit="1" customWidth="1"/>
    <col min="25" max="25" width="16.33203125" style="1" bestFit="1" customWidth="1"/>
    <col min="26" max="26" width="36.44140625" style="3" bestFit="1" customWidth="1"/>
    <col min="27" max="27" width="17.33203125" style="1" bestFit="1" customWidth="1"/>
    <col min="28" max="28" width="14.5546875" style="1" bestFit="1" customWidth="1"/>
    <col min="29" max="29" width="22.88671875" style="1" bestFit="1" customWidth="1"/>
    <col min="30" max="16384" width="9.109375" style="1"/>
  </cols>
  <sheetData>
    <row r="1" spans="1:26" ht="12.75" customHeight="1">
      <c r="A1" s="324" t="str">
        <f>'RESUMO DR'!B4</f>
        <v>MEDIÇÃO VLI 2015 DR ENGENHARIA 16/12/24 a 20/01/2025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62"/>
      <c r="M1" s="62"/>
      <c r="O1" s="67"/>
      <c r="P1" s="67"/>
      <c r="Q1" s="64"/>
      <c r="R1" s="38"/>
      <c r="S1" s="38"/>
      <c r="T1" s="38"/>
      <c r="U1" s="66"/>
      <c r="V1" s="38"/>
      <c r="W1" s="203"/>
      <c r="X1" s="63"/>
      <c r="Y1" s="63"/>
      <c r="Z1" s="1"/>
    </row>
    <row r="2" spans="1:26" ht="12.75" customHeight="1">
      <c r="A2" s="324"/>
      <c r="B2" s="324"/>
      <c r="C2" s="324"/>
      <c r="D2" s="324"/>
      <c r="E2" s="324"/>
      <c r="F2" s="324"/>
      <c r="G2" s="324"/>
      <c r="H2" s="324"/>
      <c r="I2" s="324"/>
      <c r="J2" s="324"/>
      <c r="K2" s="324"/>
      <c r="L2" s="62"/>
      <c r="M2" s="62"/>
      <c r="N2" s="38"/>
      <c r="O2" s="67"/>
      <c r="P2" s="67"/>
      <c r="Q2" s="65"/>
      <c r="R2" s="38"/>
      <c r="S2" s="158"/>
      <c r="T2" s="158"/>
      <c r="U2" s="66"/>
      <c r="V2" s="172"/>
      <c r="W2" s="205"/>
      <c r="X2" s="205"/>
      <c r="Y2" s="204"/>
      <c r="Z2" s="38"/>
    </row>
    <row r="3" spans="1:26" ht="36.6" customHeight="1">
      <c r="A3" s="324"/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1" t="s">
        <v>97</v>
      </c>
      <c r="M3" s="321"/>
      <c r="N3" s="322"/>
      <c r="O3" s="323"/>
      <c r="P3" s="69"/>
      <c r="Q3" s="202" t="e">
        <f>SUM(Q6:Q1004)</f>
        <v>#VALUE!</v>
      </c>
      <c r="R3" s="200"/>
      <c r="S3" s="200"/>
      <c r="T3" s="199"/>
      <c r="U3" s="201"/>
      <c r="V3" s="172"/>
      <c r="W3" s="206"/>
      <c r="X3" s="206"/>
      <c r="Y3" s="204"/>
      <c r="Z3" s="38"/>
    </row>
    <row r="4" spans="1:26" ht="23.4" customHeight="1" thickBot="1">
      <c r="A4" s="59"/>
      <c r="B4" s="60"/>
      <c r="C4" s="60"/>
      <c r="D4" s="60"/>
      <c r="E4" s="61"/>
      <c r="F4" s="60"/>
      <c r="G4" s="60"/>
      <c r="H4" s="132"/>
      <c r="I4" s="132"/>
      <c r="J4" s="60"/>
      <c r="K4" s="60"/>
      <c r="L4" s="60"/>
      <c r="M4" s="60"/>
      <c r="R4" s="38"/>
      <c r="S4" s="158"/>
      <c r="T4" s="325"/>
      <c r="U4" s="325"/>
      <c r="V4" s="325"/>
      <c r="W4" s="325"/>
      <c r="X4" s="325"/>
      <c r="Y4" s="180"/>
      <c r="Z4" s="38"/>
    </row>
    <row r="5" spans="1:26" s="47" customFormat="1" ht="30.75" customHeight="1">
      <c r="A5" s="244" t="s">
        <v>78</v>
      </c>
      <c r="B5" s="46" t="s">
        <v>98</v>
      </c>
      <c r="C5" s="46" t="s">
        <v>99</v>
      </c>
      <c r="D5" s="46" t="s">
        <v>100</v>
      </c>
      <c r="E5" s="46" t="s">
        <v>101</v>
      </c>
      <c r="F5" s="245" t="s">
        <v>102</v>
      </c>
      <c r="G5" s="245" t="s">
        <v>103</v>
      </c>
      <c r="H5" s="246" t="s">
        <v>104</v>
      </c>
      <c r="I5" s="247" t="s">
        <v>105</v>
      </c>
      <c r="J5" s="46" t="s">
        <v>106</v>
      </c>
      <c r="K5" s="46" t="s">
        <v>0</v>
      </c>
      <c r="L5" s="46" t="s">
        <v>107</v>
      </c>
      <c r="M5" s="46" t="s">
        <v>1</v>
      </c>
      <c r="N5" s="46" t="s">
        <v>108</v>
      </c>
      <c r="O5" s="248" t="s">
        <v>109</v>
      </c>
      <c r="P5" s="248" t="s">
        <v>110</v>
      </c>
      <c r="Q5" s="249" t="s">
        <v>111</v>
      </c>
      <c r="R5" s="250" t="s">
        <v>112</v>
      </c>
      <c r="S5" s="251" t="s">
        <v>113</v>
      </c>
      <c r="T5" s="252" t="s">
        <v>114</v>
      </c>
      <c r="U5" s="253" t="s">
        <v>115</v>
      </c>
      <c r="V5" s="253" t="s">
        <v>116</v>
      </c>
      <c r="W5" s="254" t="s">
        <v>117</v>
      </c>
      <c r="X5" s="255" t="s">
        <v>118</v>
      </c>
      <c r="Y5" s="256" t="s">
        <v>119</v>
      </c>
      <c r="Z5" s="257" t="s">
        <v>120</v>
      </c>
    </row>
    <row r="6" spans="1:26" ht="13.8">
      <c r="A6" s="5">
        <v>1786</v>
      </c>
      <c r="B6" s="21">
        <v>45642</v>
      </c>
      <c r="C6" s="21" t="s">
        <v>310</v>
      </c>
      <c r="D6" s="74" t="str">
        <f t="shared" ref="D6" si="0">IF(B6="","-",TEXT(B6,"ddd"))</f>
        <v>seg</v>
      </c>
      <c r="E6" s="169">
        <f>IF(K6&lt;&gt;"",VLOOKUP(K6,'Catálogo SAP'!$A$1:$F$245,2,FALSE),"-")</f>
        <v>120</v>
      </c>
      <c r="F6" s="16">
        <v>96</v>
      </c>
      <c r="G6" s="225">
        <v>102</v>
      </c>
      <c r="H6" s="22"/>
      <c r="I6" s="133">
        <v>452</v>
      </c>
      <c r="J6" s="162" t="str">
        <f t="shared" ref="J6:J37" si="1">IF(AND(I6&gt;=0.001,I6&lt;=16),"AÇAILÂNDIA","")&amp;IF(AND(I6&gt;=16.001,I6&lt;=44),"S.F. BREJÃO","")&amp;IF(AND(I6&gt;=44.001,I6&lt;=78),"JOÃO LISBOA","")&amp;IF(AND(I6&gt;=78.001,I6&lt;=96.397),"IMPERATRIZ","")&amp;IF(AND(I6&gt;=96.398,I6&lt;=122.82),"EDSON LOBÃO","")&amp;IF(AND(I6&gt;=122.821,I6&lt;=152.303),"RIBAMAR FIQUENE","")&amp;IF(AND(I6&gt;=152.304,I6&lt;=172.403),"CAMPESTRE","")&amp;IF(AND(I6&gt;=172.404,I6&lt;=195),"PORTO FRANCO","")&amp;IF(AND(I6&gt;=300,I6&lt;=300),"SAO LUIS","")&amp;IF(AND(I6&gt;=385.4,I6&lt;=465.4),"Palmeirante","")&amp;IF(AND(I6&gt;=465.401,I6&lt;=520.455),"Tupiratins","")&amp;IF(AND(I6&gt;=520.456,I6&lt;=536.741),"Guaraí","")&amp;IF(AND(I6&gt;=536.742,I6&lt;=580.293),"Tupirama","")&amp;IF(AND(I6&gt;=580.294,I6&lt;=608.637),"Rio dos Bois","")&amp;IF(AND(I6&gt;=608.638,I6&lt;=698.981),"Miracema","")&amp;IF(AND(I6&gt;=698.982,I6&lt;=735.6),"Porto Nacional","")&amp;IF(AND(I6&gt;=195.1,I6&lt;=213.603),"ESTREITO","")&amp;IF(AND(I6&gt;=213.604,I6&lt;=218.976),"AGUIARNÓPOLIS","")&amp;IF(AND(I6&gt;=218.977,I6&lt;=253.5),"PALMEIRAS DO TOCANTINS","")&amp;IF(AND(I6&gt;=253.501,I6&lt;=274.15),"DARCINÓPOLIS","")&amp;IF(AND(I6&gt;=274.151,I6&lt;=299.999),"BABAÇULÂNDIA","")&amp;IF(AND(I6&gt;=356.62,I6&lt;=385.4),"ARAGUAÍNA","")&amp;IF(AND(I6&gt;=300.001,I6&lt;=356.619),"BABAÇULÂNDIA","")&amp;IF(AND(I6&gt;=900,I6&lt;=902),"ENG. VLI","")</f>
        <v>Palmeirante</v>
      </c>
      <c r="K6" s="16">
        <v>120</v>
      </c>
      <c r="L6" s="167" t="str">
        <f>IF(K6&lt;&gt;"",VLOOKUP(K6,'Catálogo SAP'!A:F,3,FALSE),"")</f>
        <v>S.VP-01437</v>
      </c>
      <c r="M6" s="162" t="str">
        <f>IF(K6&lt;&gt;"",VLOOKUP(K6,'Catálogo SAP'!A:F,4,FALSE),"")</f>
        <v>Hr Produtiva Retroescavadeira C/Operador</v>
      </c>
      <c r="N6" s="168" t="str">
        <f>IF(K6&lt;&gt;"",VLOOKUP(K6,'Catálogo SAP'!A:F,5,FALSE),"")</f>
        <v>H</v>
      </c>
      <c r="O6" s="160">
        <v>6</v>
      </c>
      <c r="P6" s="70">
        <f t="shared" ref="P6:P69" si="2">IF(G6="","-",G6-F6)</f>
        <v>6</v>
      </c>
      <c r="Q6" s="163" t="e">
        <f>IF(K6="","-",N6*O6)</f>
        <v>#VALUE!</v>
      </c>
      <c r="R6" s="44" t="s">
        <v>192</v>
      </c>
      <c r="S6" s="58" t="s">
        <v>193</v>
      </c>
      <c r="T6" s="129"/>
      <c r="U6" s="129"/>
      <c r="V6" s="129"/>
      <c r="W6" s="128"/>
      <c r="X6" s="127"/>
      <c r="Y6" s="127"/>
      <c r="Z6" s="179"/>
    </row>
    <row r="7" spans="1:26" ht="13.8">
      <c r="A7" s="5">
        <v>1786</v>
      </c>
      <c r="B7" s="21">
        <v>45642</v>
      </c>
      <c r="C7" s="21" t="s">
        <v>310</v>
      </c>
      <c r="D7" s="74" t="str">
        <f t="shared" ref="D7:D36" si="3">IF(B7="","-",TEXT(B7,"ddd"))</f>
        <v>seg</v>
      </c>
      <c r="E7" s="169">
        <f>IF(K7&lt;&gt;"",VLOOKUP(K7,'Catálogo SAP'!$A$1:$F$245,2,FALSE),"-")</f>
        <v>130</v>
      </c>
      <c r="F7" s="225">
        <v>102</v>
      </c>
      <c r="G7" s="225">
        <v>102</v>
      </c>
      <c r="H7" s="226"/>
      <c r="I7" s="227">
        <v>452</v>
      </c>
      <c r="J7" s="162" t="str">
        <f t="shared" si="1"/>
        <v>Palmeirante</v>
      </c>
      <c r="K7" s="225">
        <v>130</v>
      </c>
      <c r="L7" s="167" t="str">
        <f>IF(K7&lt;&gt;"",VLOOKUP(K7,'Catálogo SAP'!A:F,3,FALSE),"")</f>
        <v>S.VP-01438</v>
      </c>
      <c r="M7" s="162" t="str">
        <f>IF(K7&lt;&gt;"",VLOOKUP(K7,'Catálogo SAP'!A:F,4,FALSE),"")</f>
        <v>Hr Improdutiva Retroescavadeira C/Operador</v>
      </c>
      <c r="N7" s="168" t="str">
        <f>IF(K7&lt;&gt;"",VLOOKUP(K7,'Catálogo SAP'!A:F,5,FALSE),"")</f>
        <v>H</v>
      </c>
      <c r="O7" s="231">
        <v>3</v>
      </c>
      <c r="P7" s="70">
        <f t="shared" si="2"/>
        <v>0</v>
      </c>
      <c r="Q7" s="163" t="e">
        <f t="shared" ref="Q7:Q37" si="4">IF(K7="","-",N7*O7)</f>
        <v>#VALUE!</v>
      </c>
      <c r="R7" s="44" t="s">
        <v>192</v>
      </c>
      <c r="S7" s="58" t="s">
        <v>193</v>
      </c>
      <c r="T7" s="129"/>
      <c r="U7" s="129"/>
      <c r="V7" s="129"/>
      <c r="W7" s="128"/>
      <c r="X7" s="127"/>
      <c r="Y7" s="127"/>
      <c r="Z7" s="179"/>
    </row>
    <row r="8" spans="1:26" ht="13.8">
      <c r="A8" s="5"/>
      <c r="B8" s="21">
        <v>45642</v>
      </c>
      <c r="C8" s="21" t="s">
        <v>122</v>
      </c>
      <c r="D8" s="74" t="str">
        <f t="shared" si="3"/>
        <v>seg</v>
      </c>
      <c r="E8" s="169" t="str">
        <f>IF(K8&lt;&gt;"",VLOOKUP(K8,'Catálogo SAP'!$A$1:$F$245,2,FALSE),"-")</f>
        <v>-</v>
      </c>
      <c r="F8" s="225"/>
      <c r="G8" s="225"/>
      <c r="H8" s="226"/>
      <c r="I8" s="230"/>
      <c r="J8" s="162" t="str">
        <f t="shared" si="1"/>
        <v/>
      </c>
      <c r="K8" s="225"/>
      <c r="L8" s="167" t="str">
        <f>IF(K8&lt;&gt;"",VLOOKUP(K8,'Catálogo SAP'!A:F,3,FALSE),"")</f>
        <v/>
      </c>
      <c r="M8" s="162" t="str">
        <f>IF(K8&lt;&gt;"",VLOOKUP(K8,'Catálogo SAP'!A:F,4,FALSE),"")</f>
        <v/>
      </c>
      <c r="N8" s="168" t="str">
        <f>IF(K8&lt;&gt;"",VLOOKUP(K8,'Catálogo SAP'!A:F,5,FALSE),"")</f>
        <v/>
      </c>
      <c r="O8" s="231"/>
      <c r="P8" s="70" t="str">
        <f t="shared" si="2"/>
        <v>-</v>
      </c>
      <c r="Q8" s="163" t="str">
        <f t="shared" si="4"/>
        <v>-</v>
      </c>
      <c r="R8" s="44" t="str">
        <f>IF(J8&lt;&gt;"",VLOOKUP(J8,'RESUMO DR'!$B$4:$E$253,4,FALSE),"-")</f>
        <v>-</v>
      </c>
      <c r="S8" s="58" t="str">
        <f>IF(J8&lt;&gt;"",VLOOKUP(J8,'RESUMO DR'!$B$4:$E$253,3,FALSE),"-")</f>
        <v>-</v>
      </c>
      <c r="T8" s="129"/>
      <c r="U8" s="129"/>
      <c r="V8" s="129"/>
      <c r="W8" s="128"/>
      <c r="X8" s="127"/>
      <c r="Y8" s="127"/>
      <c r="Z8" s="179"/>
    </row>
    <row r="9" spans="1:26" ht="13.8">
      <c r="A9" s="5">
        <v>1551</v>
      </c>
      <c r="B9" s="21">
        <v>45642</v>
      </c>
      <c r="C9" s="21" t="s">
        <v>121</v>
      </c>
      <c r="D9" s="74" t="str">
        <f t="shared" ref="D9:D10" si="5">IF(B9="","-",TEXT(B9,"ddd"))</f>
        <v>seg</v>
      </c>
      <c r="E9" s="169">
        <f>IF(K9&lt;&gt;"",VLOOKUP(K9,'Catálogo SAP'!$A$1:$F$245,2,FALSE),"-")</f>
        <v>120</v>
      </c>
      <c r="F9" s="225">
        <v>8655</v>
      </c>
      <c r="G9" s="225">
        <v>8661</v>
      </c>
      <c r="H9" s="226"/>
      <c r="I9" s="227">
        <v>300</v>
      </c>
      <c r="J9" s="162" t="str">
        <f t="shared" si="1"/>
        <v>SAO LUIS</v>
      </c>
      <c r="K9" s="225">
        <v>120</v>
      </c>
      <c r="L9" s="167" t="str">
        <f>IF(K9&lt;&gt;"",VLOOKUP(K9,'Catálogo SAP'!A:F,3,FALSE),"")</f>
        <v>S.VP-01437</v>
      </c>
      <c r="M9" s="162" t="str">
        <f>IF(K9&lt;&gt;"",VLOOKUP(K9,'Catálogo SAP'!A:F,4,FALSE),"")</f>
        <v>Hr Produtiva Retroescavadeira C/Operador</v>
      </c>
      <c r="N9" s="168" t="str">
        <f>IF(K9&lt;&gt;"",VLOOKUP(K9,'Catálogo SAP'!A:F,5,FALSE),"")</f>
        <v>H</v>
      </c>
      <c r="O9" s="231">
        <v>6</v>
      </c>
      <c r="P9" s="70">
        <f t="shared" si="2"/>
        <v>6</v>
      </c>
      <c r="Q9" s="163" t="e">
        <f t="shared" ref="Q9:Q11" si="6">IF(K9="","-",N9*O9)</f>
        <v>#VALUE!</v>
      </c>
      <c r="R9" s="44" t="str">
        <f>IF(J9&lt;&gt;"",VLOOKUP(J9,'RESUMO DR'!$B$4:$E$253,4,FALSE),"-")</f>
        <v>T-02</v>
      </c>
      <c r="S9" s="58" t="str">
        <f>IF(J9&lt;&gt;"",VLOOKUP(J9,'RESUMO DR'!$B$4:$E$253,3,FALSE),"-")</f>
        <v>ARAGUAINA</v>
      </c>
      <c r="T9" s="129"/>
      <c r="U9" s="129"/>
      <c r="V9" s="129"/>
      <c r="W9" s="128"/>
      <c r="X9" s="127"/>
      <c r="Y9" s="127"/>
      <c r="Z9" s="179"/>
    </row>
    <row r="10" spans="1:26" ht="13.8">
      <c r="A10" s="5">
        <v>1551</v>
      </c>
      <c r="B10" s="21">
        <v>45642</v>
      </c>
      <c r="C10" s="21" t="s">
        <v>121</v>
      </c>
      <c r="D10" s="74" t="str">
        <f t="shared" si="5"/>
        <v>seg</v>
      </c>
      <c r="E10" s="169">
        <f>IF(K10&lt;&gt;"",VLOOKUP(K10,'Catálogo SAP'!$A$1:$F$245,2,FALSE),"-")</f>
        <v>130</v>
      </c>
      <c r="F10" s="225">
        <v>8661</v>
      </c>
      <c r="G10" s="225">
        <v>8661</v>
      </c>
      <c r="H10" s="226"/>
      <c r="I10" s="227">
        <v>300</v>
      </c>
      <c r="J10" s="162" t="str">
        <f t="shared" si="1"/>
        <v>SAO LUIS</v>
      </c>
      <c r="K10" s="225">
        <v>130</v>
      </c>
      <c r="L10" s="167" t="str">
        <f>IF(K10&lt;&gt;"",VLOOKUP(K10,'Catálogo SAP'!A:F,3,FALSE),"")</f>
        <v>S.VP-01438</v>
      </c>
      <c r="M10" s="162" t="str">
        <f>IF(K10&lt;&gt;"",VLOOKUP(K10,'Catálogo SAP'!A:F,4,FALSE),"")</f>
        <v>Hr Improdutiva Retroescavadeira C/Operador</v>
      </c>
      <c r="N10" s="168" t="str">
        <f>IF(K10&lt;&gt;"",VLOOKUP(K10,'Catálogo SAP'!A:F,5,FALSE),"")</f>
        <v>H</v>
      </c>
      <c r="O10" s="231">
        <v>3</v>
      </c>
      <c r="P10" s="70">
        <f t="shared" si="2"/>
        <v>0</v>
      </c>
      <c r="Q10" s="163" t="e">
        <f t="shared" si="6"/>
        <v>#VALUE!</v>
      </c>
      <c r="R10" s="44" t="str">
        <f>IF(J10&lt;&gt;"",VLOOKUP(J10,'RESUMO DR'!$B$4:$E$253,4,FALSE),"-")</f>
        <v>T-02</v>
      </c>
      <c r="S10" s="58" t="str">
        <f>IF(J10&lt;&gt;"",VLOOKUP(J10,'RESUMO DR'!$B$4:$E$253,3,FALSE),"-")</f>
        <v>ARAGUAINA</v>
      </c>
      <c r="T10" s="129"/>
      <c r="U10" s="129"/>
      <c r="V10" s="129"/>
      <c r="W10" s="128"/>
      <c r="X10" s="127"/>
      <c r="Y10" s="127"/>
      <c r="Z10" s="179"/>
    </row>
    <row r="11" spans="1:26" ht="13.8">
      <c r="A11" s="5">
        <v>1785</v>
      </c>
      <c r="B11" s="21">
        <v>45642</v>
      </c>
      <c r="C11" s="21" t="s">
        <v>123</v>
      </c>
      <c r="D11" s="74" t="str">
        <f t="shared" si="3"/>
        <v>seg</v>
      </c>
      <c r="E11" s="169">
        <f>IF(K11&lt;&gt;"",VLOOKUP(K11,'Catálogo SAP'!$A$1:$F$245,2,FALSE),"-")</f>
        <v>120</v>
      </c>
      <c r="F11" s="225">
        <v>5783</v>
      </c>
      <c r="G11" s="225">
        <v>5792</v>
      </c>
      <c r="H11" s="226"/>
      <c r="I11" s="230">
        <v>577</v>
      </c>
      <c r="J11" s="162" t="str">
        <f t="shared" si="1"/>
        <v>Tupirama</v>
      </c>
      <c r="K11" s="225">
        <v>120</v>
      </c>
      <c r="L11" s="167" t="str">
        <f>IF(K11&lt;&gt;"",VLOOKUP(K11,'Catálogo SAP'!A:F,3,FALSE),"")</f>
        <v>S.VP-01437</v>
      </c>
      <c r="M11" s="162" t="str">
        <f>IF(K11&lt;&gt;"",VLOOKUP(K11,'Catálogo SAP'!A:F,4,FALSE),"")</f>
        <v>Hr Produtiva Retroescavadeira C/Operador</v>
      </c>
      <c r="N11" s="168" t="str">
        <f>IF(K11&lt;&gt;"",VLOOKUP(K11,'Catálogo SAP'!A:F,5,FALSE),"")</f>
        <v>H</v>
      </c>
      <c r="O11" s="231">
        <v>9</v>
      </c>
      <c r="P11" s="70">
        <f t="shared" si="2"/>
        <v>9</v>
      </c>
      <c r="Q11" s="163" t="e">
        <f t="shared" si="6"/>
        <v>#VALUE!</v>
      </c>
      <c r="R11" s="44" t="str">
        <f>IF(J11&lt;&gt;"",VLOOKUP(J11,'RESUMO DR'!$B$4:$E$253,4,FALSE),"-")</f>
        <v>T-03</v>
      </c>
      <c r="S11" s="58" t="str">
        <f>IF(J11&lt;&gt;"",VLOOKUP(J11,'RESUMO DR'!$B$4:$E$253,3,FALSE),"-")</f>
        <v>PALMAS</v>
      </c>
      <c r="T11" s="129"/>
      <c r="U11" s="129"/>
      <c r="V11" s="129"/>
      <c r="W11" s="128"/>
      <c r="X11" s="127"/>
      <c r="Y11" s="127"/>
      <c r="Z11" s="179"/>
    </row>
    <row r="12" spans="1:26" ht="13.8">
      <c r="A12" s="5"/>
      <c r="B12" s="21">
        <v>45642</v>
      </c>
      <c r="C12" s="21" t="s">
        <v>124</v>
      </c>
      <c r="D12" s="74" t="str">
        <f t="shared" si="3"/>
        <v>seg</v>
      </c>
      <c r="E12" s="169" t="str">
        <f>IF(K12&lt;&gt;"",VLOOKUP(K12,'Catálogo SAP'!$A$1:$F$245,2,FALSE),"-")</f>
        <v>-</v>
      </c>
      <c r="F12" s="225"/>
      <c r="G12" s="225"/>
      <c r="H12" s="226"/>
      <c r="I12" s="230"/>
      <c r="J12" s="162" t="str">
        <f t="shared" si="1"/>
        <v/>
      </c>
      <c r="K12" s="225"/>
      <c r="L12" s="167" t="str">
        <f>IF(K12&lt;&gt;"",VLOOKUP(K12,'Catálogo SAP'!A:F,3,FALSE),"")</f>
        <v/>
      </c>
      <c r="M12" s="162" t="str">
        <f>IF(K12&lt;&gt;"",VLOOKUP(K12,'Catálogo SAP'!A:F,4,FALSE),"")</f>
        <v/>
      </c>
      <c r="N12" s="168" t="str">
        <f>IF(K12&lt;&gt;"",VLOOKUP(K12,'Catálogo SAP'!A:F,5,FALSE),"")</f>
        <v/>
      </c>
      <c r="O12" s="231"/>
      <c r="P12" s="70" t="str">
        <f t="shared" si="2"/>
        <v>-</v>
      </c>
      <c r="Q12" s="163" t="str">
        <f t="shared" si="4"/>
        <v>-</v>
      </c>
      <c r="R12" s="44" t="str">
        <f>IF(J12&lt;&gt;"",VLOOKUP(J12,'RESUMO DR'!$B$4:$E$253,4,FALSE),"-")</f>
        <v>-</v>
      </c>
      <c r="S12" s="58" t="str">
        <f>IF(J12&lt;&gt;"",VLOOKUP(J12,'RESUMO DR'!$B$4:$E$253,3,FALSE),"-")</f>
        <v>-</v>
      </c>
      <c r="T12" s="129"/>
      <c r="U12" s="129"/>
      <c r="V12" s="129"/>
      <c r="W12" s="128"/>
      <c r="X12" s="127"/>
      <c r="Y12" s="127"/>
      <c r="Z12" s="179"/>
    </row>
    <row r="13" spans="1:26" ht="13.8">
      <c r="A13" s="5"/>
      <c r="B13" s="21">
        <v>45642</v>
      </c>
      <c r="C13" s="21" t="s">
        <v>124</v>
      </c>
      <c r="D13" s="74" t="str">
        <f t="shared" si="3"/>
        <v>seg</v>
      </c>
      <c r="E13" s="169" t="str">
        <f>IF(K13&lt;&gt;"",VLOOKUP(K13,'Catálogo SAP'!$A$1:$F$245,2,FALSE),"-")</f>
        <v>-</v>
      </c>
      <c r="F13" s="225"/>
      <c r="G13" s="225"/>
      <c r="H13" s="226"/>
      <c r="I13" s="230"/>
      <c r="J13" s="162" t="str">
        <f t="shared" si="1"/>
        <v/>
      </c>
      <c r="K13" s="225"/>
      <c r="L13" s="167" t="str">
        <f>IF(K13&lt;&gt;"",VLOOKUP(K13,'Catálogo SAP'!A:F,3,FALSE),"")</f>
        <v/>
      </c>
      <c r="M13" s="162" t="str">
        <f>IF(K13&lt;&gt;"",VLOOKUP(K13,'Catálogo SAP'!A:F,4,FALSE),"")</f>
        <v/>
      </c>
      <c r="N13" s="168" t="str">
        <f>IF(K13&lt;&gt;"",VLOOKUP(K13,'Catálogo SAP'!A:F,5,FALSE),"")</f>
        <v/>
      </c>
      <c r="O13" s="231"/>
      <c r="P13" s="70" t="str">
        <f t="shared" si="2"/>
        <v>-</v>
      </c>
      <c r="Q13" s="163" t="str">
        <f t="shared" ref="Q13:Q25" si="7">IF(K13="","-",N13*O13)</f>
        <v>-</v>
      </c>
      <c r="R13" s="44" t="str">
        <f>IF(J13&lt;&gt;"",VLOOKUP(J13,'RESUMO DR'!$B$4:$E$253,4,FALSE),"-")</f>
        <v>-</v>
      </c>
      <c r="S13" s="58" t="str">
        <f>IF(J13&lt;&gt;"",VLOOKUP(J13,'RESUMO DR'!$B$4:$E$253,3,FALSE),"-")</f>
        <v>-</v>
      </c>
      <c r="T13" s="129"/>
      <c r="U13" s="129"/>
      <c r="V13" s="129"/>
      <c r="W13" s="128"/>
      <c r="X13" s="127"/>
      <c r="Y13" s="127"/>
      <c r="Z13" s="179"/>
    </row>
    <row r="14" spans="1:26" ht="13.8">
      <c r="A14" s="5">
        <v>1781</v>
      </c>
      <c r="B14" s="21">
        <v>45642</v>
      </c>
      <c r="C14" s="222" t="s">
        <v>131</v>
      </c>
      <c r="D14" s="74" t="str">
        <f t="shared" ref="D14:D18" si="8">IF(B14="","-",TEXT(B14,"ddd"))</f>
        <v>seg</v>
      </c>
      <c r="E14" s="169">
        <f>IF(K14&lt;&gt;"",VLOOKUP(K14,'Catálogo SAP'!$A$1:$F$245,2,FALSE),"-")</f>
        <v>520</v>
      </c>
      <c r="F14" s="225">
        <v>10507</v>
      </c>
      <c r="G14" s="225">
        <v>10515</v>
      </c>
      <c r="H14" s="226"/>
      <c r="I14" s="230">
        <v>195</v>
      </c>
      <c r="J14" s="162" t="str">
        <f t="shared" si="1"/>
        <v>PORTO FRANCO</v>
      </c>
      <c r="K14" s="225">
        <v>520</v>
      </c>
      <c r="L14" s="167" t="str">
        <f>IF(K14&lt;&gt;"",VLOOKUP(K14,'Catálogo SAP'!A:F,3,FALSE),"")</f>
        <v>S.VP-01469</v>
      </c>
      <c r="M14" s="162" t="str">
        <f>IF(K14&lt;&gt;"",VLOOKUP(K14,'Catálogo SAP'!A:F,4,FALSE),"")</f>
        <v>Hora Produtiva Escavadeira Hidraulica</v>
      </c>
      <c r="N14" s="168" t="str">
        <f>IF(K14&lt;&gt;"",VLOOKUP(K14,'Catálogo SAP'!A:F,5,FALSE),"")</f>
        <v>H</v>
      </c>
      <c r="O14" s="231">
        <v>8</v>
      </c>
      <c r="P14" s="70">
        <f t="shared" si="2"/>
        <v>8</v>
      </c>
      <c r="Q14" s="163" t="e">
        <f t="shared" si="7"/>
        <v>#VALUE!</v>
      </c>
      <c r="R14" s="44" t="str">
        <f>IF(J14&lt;&gt;"",VLOOKUP(J14,'RESUMO DR'!$B$4:$E$253,4,FALSE),"-")</f>
        <v>T-01</v>
      </c>
      <c r="S14" s="58" t="str">
        <f>IF(J14&lt;&gt;"",VLOOKUP(J14,'RESUMO DR'!$B$4:$E$253,3,FALSE),"-")</f>
        <v>IMPERATRIZ</v>
      </c>
      <c r="T14" s="129"/>
      <c r="U14" s="129"/>
      <c r="V14" s="129"/>
      <c r="W14" s="128"/>
      <c r="X14" s="127"/>
      <c r="Y14" s="127"/>
      <c r="Z14" s="179"/>
    </row>
    <row r="15" spans="1:26" ht="13.8">
      <c r="A15" s="5">
        <v>1781</v>
      </c>
      <c r="B15" s="21">
        <v>45642</v>
      </c>
      <c r="C15" s="222" t="s">
        <v>131</v>
      </c>
      <c r="D15" s="74" t="str">
        <f t="shared" si="8"/>
        <v>seg</v>
      </c>
      <c r="E15" s="169">
        <f>IF(K15&lt;&gt;"",VLOOKUP(K15,'Catálogo SAP'!$A$1:$F$245,2,FALSE),"-")</f>
        <v>530</v>
      </c>
      <c r="F15" s="225">
        <v>10515</v>
      </c>
      <c r="G15" s="225">
        <v>10515</v>
      </c>
      <c r="H15" s="226"/>
      <c r="I15" s="230">
        <v>195</v>
      </c>
      <c r="J15" s="162" t="str">
        <f t="shared" si="1"/>
        <v>PORTO FRANCO</v>
      </c>
      <c r="K15" s="225">
        <v>530</v>
      </c>
      <c r="L15" s="167" t="str">
        <f>IF(K15&lt;&gt;"",VLOOKUP(K15,'Catálogo SAP'!A:F,3,FALSE),"")</f>
        <v>S.VP-01470</v>
      </c>
      <c r="M15" s="162" t="str">
        <f>IF(K15&lt;&gt;"",VLOOKUP(K15,'Catálogo SAP'!A:F,4,FALSE),"")</f>
        <v>Hora Improdutiva Escavadeira Hidraulica</v>
      </c>
      <c r="N15" s="168" t="str">
        <f>IF(K15&lt;&gt;"",VLOOKUP(K15,'Catálogo SAP'!A:F,5,FALSE),"")</f>
        <v>H</v>
      </c>
      <c r="O15" s="231">
        <v>1</v>
      </c>
      <c r="P15" s="70">
        <f t="shared" si="2"/>
        <v>0</v>
      </c>
      <c r="Q15" s="163" t="e">
        <f t="shared" si="7"/>
        <v>#VALUE!</v>
      </c>
      <c r="R15" s="44" t="str">
        <f>IF(J15&lt;&gt;"",VLOOKUP(J15,'RESUMO DR'!$B$4:$E$253,4,FALSE),"-")</f>
        <v>T-01</v>
      </c>
      <c r="S15" s="58" t="str">
        <f>IF(J15&lt;&gt;"",VLOOKUP(J15,'RESUMO DR'!$B$4:$E$253,3,FALSE),"-")</f>
        <v>IMPERATRIZ</v>
      </c>
      <c r="T15" s="129"/>
      <c r="U15" s="129"/>
      <c r="V15" s="129"/>
      <c r="W15" s="128"/>
      <c r="X15" s="127"/>
      <c r="Y15" s="127"/>
      <c r="Z15" s="179"/>
    </row>
    <row r="16" spans="1:26" ht="13.8">
      <c r="A16" s="5">
        <v>1783</v>
      </c>
      <c r="B16" s="21">
        <v>45642</v>
      </c>
      <c r="C16" s="222" t="s">
        <v>298</v>
      </c>
      <c r="D16" s="74" t="str">
        <f t="shared" si="8"/>
        <v>seg</v>
      </c>
      <c r="E16" s="169">
        <f>IF(K16&lt;&gt;"",VLOOKUP(K16,'Catálogo SAP'!$A$1:$F$245,2,FALSE),"-")</f>
        <v>160</v>
      </c>
      <c r="F16" s="225">
        <v>486</v>
      </c>
      <c r="G16" s="225">
        <v>495</v>
      </c>
      <c r="H16" s="226"/>
      <c r="I16" s="230">
        <v>126</v>
      </c>
      <c r="J16" s="162" t="str">
        <f t="shared" si="1"/>
        <v>RIBAMAR FIQUENE</v>
      </c>
      <c r="K16" s="225">
        <v>160</v>
      </c>
      <c r="L16" s="167" t="str">
        <f>IF(K16&lt;&gt;"",VLOOKUP(K16,'Catálogo SAP'!A:F,3,FALSE),"")</f>
        <v>S.VP-01441</v>
      </c>
      <c r="M16" s="162" t="str">
        <f>IF(K16&lt;&gt;"",VLOOKUP(K16,'Catálogo SAP'!A:F,4,FALSE),"")</f>
        <v>Hora Produtiva Pa Carregadeira C/Operador</v>
      </c>
      <c r="N16" s="168" t="str">
        <f>IF(K16&lt;&gt;"",VLOOKUP(K16,'Catálogo SAP'!A:F,5,FALSE),"")</f>
        <v>H</v>
      </c>
      <c r="O16" s="231">
        <v>9</v>
      </c>
      <c r="P16" s="70">
        <f t="shared" si="2"/>
        <v>9</v>
      </c>
      <c r="Q16" s="163" t="e">
        <f t="shared" si="7"/>
        <v>#VALUE!</v>
      </c>
      <c r="R16" s="44" t="str">
        <f>IF(J16&lt;&gt;"",VLOOKUP(J16,'RESUMO DR'!$B$4:$E$253,4,FALSE),"-")</f>
        <v>T-01</v>
      </c>
      <c r="S16" s="58" t="str">
        <f>IF(J16&lt;&gt;"",VLOOKUP(J16,'RESUMO DR'!$B$4:$E$253,3,FALSE),"-")</f>
        <v>IMPERATRIZ</v>
      </c>
      <c r="T16" s="129"/>
      <c r="U16" s="129"/>
      <c r="V16" s="129"/>
      <c r="W16" s="128"/>
      <c r="X16" s="127"/>
      <c r="Y16" s="127"/>
      <c r="Z16" s="179"/>
    </row>
    <row r="17" spans="1:26" ht="13.8">
      <c r="A17" s="5">
        <v>1779</v>
      </c>
      <c r="B17" s="21">
        <v>45642</v>
      </c>
      <c r="C17" s="222" t="s">
        <v>314</v>
      </c>
      <c r="D17" s="74" t="str">
        <f t="shared" si="8"/>
        <v>seg</v>
      </c>
      <c r="E17" s="169">
        <f>IF(K17&lt;&gt;"",VLOOKUP(K17,'Catálogo SAP'!$A$1:$F$245,2,FALSE),"-")</f>
        <v>200</v>
      </c>
      <c r="F17" s="225">
        <v>63391</v>
      </c>
      <c r="G17" s="225">
        <v>63625</v>
      </c>
      <c r="H17" s="226"/>
      <c r="I17" s="230">
        <v>163</v>
      </c>
      <c r="J17" s="162" t="str">
        <f t="shared" si="1"/>
        <v>CAMPESTRE</v>
      </c>
      <c r="K17" s="225">
        <v>200</v>
      </c>
      <c r="L17" s="167" t="str">
        <f>IF(K17&lt;&gt;"",VLOOKUP(K17,'Catálogo SAP'!A:F,3,FALSE),"")</f>
        <v>S.VP-01445</v>
      </c>
      <c r="M17" s="162" t="str">
        <f>IF(K17&lt;&gt;"",VLOOKUP(K17,'Catálogo SAP'!A:F,4,FALSE),"")</f>
        <v>Km Rodado Caminhão Basculante - C/Motorista</v>
      </c>
      <c r="N17" s="168" t="str">
        <f>IF(K17&lt;&gt;"",VLOOKUP(K17,'Catálogo SAP'!A:F,5,FALSE),"")</f>
        <v>KM</v>
      </c>
      <c r="O17" s="231">
        <v>234</v>
      </c>
      <c r="P17" s="70">
        <f t="shared" si="2"/>
        <v>234</v>
      </c>
      <c r="Q17" s="163" t="e">
        <f t="shared" si="7"/>
        <v>#VALUE!</v>
      </c>
      <c r="R17" s="44" t="str">
        <f>IF(J17&lt;&gt;"",VLOOKUP(J17,'RESUMO DR'!$B$4:$E$253,4,FALSE),"-")</f>
        <v>T-01</v>
      </c>
      <c r="S17" s="58" t="str">
        <f>IF(J17&lt;&gt;"",VLOOKUP(J17,'RESUMO DR'!$B$4:$E$253,3,FALSE),"-")</f>
        <v>IMPERATRIZ</v>
      </c>
      <c r="T17" s="129"/>
      <c r="U17" s="129"/>
      <c r="V17" s="129"/>
      <c r="W17" s="128"/>
      <c r="X17" s="127"/>
      <c r="Y17" s="127"/>
      <c r="Z17" s="179"/>
    </row>
    <row r="18" spans="1:26" ht="13.8">
      <c r="A18" s="5">
        <v>1779</v>
      </c>
      <c r="B18" s="21">
        <v>45642</v>
      </c>
      <c r="C18" s="222" t="s">
        <v>313</v>
      </c>
      <c r="D18" s="74" t="str">
        <f t="shared" si="8"/>
        <v>seg</v>
      </c>
      <c r="E18" s="169">
        <f>IF(K18&lt;&gt;"",VLOOKUP(K18,'Catálogo SAP'!$A$1:$F$245,2,FALSE),"-")</f>
        <v>200</v>
      </c>
      <c r="F18" s="225">
        <v>59575</v>
      </c>
      <c r="G18" s="225">
        <v>59889</v>
      </c>
      <c r="H18" s="226"/>
      <c r="I18" s="230">
        <v>163</v>
      </c>
      <c r="J18" s="162" t="str">
        <f t="shared" si="1"/>
        <v>CAMPESTRE</v>
      </c>
      <c r="K18" s="225">
        <v>200</v>
      </c>
      <c r="L18" s="167" t="str">
        <f>IF(K18&lt;&gt;"",VLOOKUP(K18,'Catálogo SAP'!A:F,3,FALSE),"")</f>
        <v>S.VP-01445</v>
      </c>
      <c r="M18" s="162" t="str">
        <f>IF(K18&lt;&gt;"",VLOOKUP(K18,'Catálogo SAP'!A:F,4,FALSE),"")</f>
        <v>Km Rodado Caminhão Basculante - C/Motorista</v>
      </c>
      <c r="N18" s="168" t="str">
        <f>IF(K18&lt;&gt;"",VLOOKUP(K18,'Catálogo SAP'!A:F,5,FALSE),"")</f>
        <v>KM</v>
      </c>
      <c r="O18" s="231">
        <v>314</v>
      </c>
      <c r="P18" s="70">
        <f t="shared" si="2"/>
        <v>314</v>
      </c>
      <c r="Q18" s="163" t="e">
        <f t="shared" si="7"/>
        <v>#VALUE!</v>
      </c>
      <c r="R18" s="44" t="str">
        <f>IF(J18&lt;&gt;"",VLOOKUP(J18,'RESUMO DR'!$B$4:$E$253,4,FALSE),"-")</f>
        <v>T-01</v>
      </c>
      <c r="S18" s="58" t="str">
        <f>IF(J18&lt;&gt;"",VLOOKUP(J18,'RESUMO DR'!$B$4:$E$253,3,FALSE),"-")</f>
        <v>IMPERATRIZ</v>
      </c>
      <c r="T18" s="129"/>
      <c r="U18" s="129"/>
      <c r="V18" s="129"/>
      <c r="W18" s="128"/>
      <c r="X18" s="127"/>
      <c r="Y18" s="127"/>
      <c r="Z18" s="179"/>
    </row>
    <row r="19" spans="1:26" ht="13.8">
      <c r="A19" s="5">
        <v>1789</v>
      </c>
      <c r="B19" s="21">
        <v>45642</v>
      </c>
      <c r="C19" s="21" t="s">
        <v>127</v>
      </c>
      <c r="D19" s="74" t="str">
        <f t="shared" si="3"/>
        <v>seg</v>
      </c>
      <c r="E19" s="169">
        <f>IF(K19&lt;&gt;"",VLOOKUP(K19,'Catálogo SAP'!$A$1:$F$245,2,FALSE),"-")</f>
        <v>200</v>
      </c>
      <c r="F19" s="225">
        <v>47550</v>
      </c>
      <c r="G19" s="225">
        <v>47615</v>
      </c>
      <c r="H19" s="226"/>
      <c r="I19" s="230">
        <v>442</v>
      </c>
      <c r="J19" s="162" t="str">
        <f t="shared" si="1"/>
        <v>Palmeirante</v>
      </c>
      <c r="K19" s="225">
        <v>200</v>
      </c>
      <c r="L19" s="167" t="str">
        <f>IF(K19&lt;&gt;"",VLOOKUP(K19,'Catálogo SAP'!A:F,3,FALSE),"")</f>
        <v>S.VP-01445</v>
      </c>
      <c r="M19" s="162" t="str">
        <f>IF(K19&lt;&gt;"",VLOOKUP(K19,'Catálogo SAP'!A:F,4,FALSE),"")</f>
        <v>Km Rodado Caminhão Basculante - C/Motorista</v>
      </c>
      <c r="N19" s="168" t="str">
        <f>IF(K19&lt;&gt;"",VLOOKUP(K19,'Catálogo SAP'!A:F,5,FALSE),"")</f>
        <v>KM</v>
      </c>
      <c r="O19" s="231">
        <v>65</v>
      </c>
      <c r="P19" s="70">
        <f t="shared" si="2"/>
        <v>65</v>
      </c>
      <c r="Q19" s="163" t="e">
        <f t="shared" si="7"/>
        <v>#VALUE!</v>
      </c>
      <c r="R19" s="44" t="str">
        <f>IF(J19&lt;&gt;"",VLOOKUP(J19,'RESUMO DR'!$B$4:$E$253,4,FALSE),"-")</f>
        <v>T-02</v>
      </c>
      <c r="S19" s="58" t="str">
        <f>IF(J19&lt;&gt;"",VLOOKUP(J19,'RESUMO DR'!$B$4:$E$253,3,FALSE),"-")</f>
        <v>ARAGUAINA</v>
      </c>
      <c r="T19" s="129"/>
      <c r="U19" s="129"/>
      <c r="V19" s="129"/>
      <c r="W19" s="128"/>
      <c r="X19" s="127"/>
      <c r="Y19" s="127"/>
      <c r="Z19" s="179"/>
    </row>
    <row r="20" spans="1:26" ht="13.8">
      <c r="A20" s="5">
        <v>1783</v>
      </c>
      <c r="B20" s="21">
        <v>45642</v>
      </c>
      <c r="C20" s="21" t="s">
        <v>307</v>
      </c>
      <c r="D20" s="74" t="str">
        <f t="shared" si="3"/>
        <v>seg</v>
      </c>
      <c r="E20" s="169">
        <f>IF(K20&lt;&gt;"",VLOOKUP(K20,'Catálogo SAP'!$A$1:$F$245,2,FALSE),"-")</f>
        <v>200</v>
      </c>
      <c r="F20" s="225">
        <v>62596</v>
      </c>
      <c r="G20" s="225">
        <v>63020</v>
      </c>
      <c r="H20" s="226"/>
      <c r="I20" s="230">
        <v>126</v>
      </c>
      <c r="J20" s="162" t="str">
        <f t="shared" si="1"/>
        <v>RIBAMAR FIQUENE</v>
      </c>
      <c r="K20" s="225">
        <v>200</v>
      </c>
      <c r="L20" s="167" t="str">
        <f>IF(K20&lt;&gt;"",VLOOKUP(K20,'Catálogo SAP'!A:F,3,FALSE),"")</f>
        <v>S.VP-01445</v>
      </c>
      <c r="M20" s="162" t="str">
        <f>IF(K20&lt;&gt;"",VLOOKUP(K20,'Catálogo SAP'!A:F,4,FALSE),"")</f>
        <v>Km Rodado Caminhão Basculante - C/Motorista</v>
      </c>
      <c r="N20" s="168" t="str">
        <f>IF(K20&lt;&gt;"",VLOOKUP(K20,'Catálogo SAP'!A:F,5,FALSE),"")</f>
        <v>KM</v>
      </c>
      <c r="O20" s="231">
        <v>424</v>
      </c>
      <c r="P20" s="70">
        <f t="shared" si="2"/>
        <v>424</v>
      </c>
      <c r="Q20" s="163" t="e">
        <f t="shared" si="7"/>
        <v>#VALUE!</v>
      </c>
      <c r="R20" s="44" t="str">
        <f>IF(J20&lt;&gt;"",VLOOKUP(J20,'RESUMO DR'!$B$4:$E$253,4,FALSE),"-")</f>
        <v>T-01</v>
      </c>
      <c r="S20" s="58" t="str">
        <f>IF(J20&lt;&gt;"",VLOOKUP(J20,'RESUMO DR'!$B$4:$E$253,3,FALSE),"-")</f>
        <v>IMPERATRIZ</v>
      </c>
      <c r="T20" s="129"/>
      <c r="U20" s="129"/>
      <c r="V20" s="129"/>
      <c r="W20" s="128"/>
      <c r="X20" s="127"/>
      <c r="Y20" s="127"/>
      <c r="Z20" s="179"/>
    </row>
    <row r="21" spans="1:26" ht="13.8">
      <c r="A21" s="5">
        <v>1783</v>
      </c>
      <c r="B21" s="21">
        <v>45642</v>
      </c>
      <c r="C21" s="21" t="s">
        <v>308</v>
      </c>
      <c r="D21" s="74" t="str">
        <f t="shared" ref="D21" si="9">IF(B21="","-",TEXT(B21,"ddd"))</f>
        <v>seg</v>
      </c>
      <c r="E21" s="169">
        <f>IF(K21&lt;&gt;"",VLOOKUP(K21,'Catálogo SAP'!$A$1:$F$245,2,FALSE),"-")</f>
        <v>200</v>
      </c>
      <c r="F21" s="225">
        <v>62701</v>
      </c>
      <c r="G21" s="225">
        <v>63142</v>
      </c>
      <c r="H21" s="226"/>
      <c r="I21" s="230">
        <v>126</v>
      </c>
      <c r="J21" s="162" t="str">
        <f t="shared" si="1"/>
        <v>RIBAMAR FIQUENE</v>
      </c>
      <c r="K21" s="225">
        <v>200</v>
      </c>
      <c r="L21" s="167" t="str">
        <f>IF(K21&lt;&gt;"",VLOOKUP(K21,'Catálogo SAP'!A:F,3,FALSE),"")</f>
        <v>S.VP-01445</v>
      </c>
      <c r="M21" s="162" t="str">
        <f>IF(K21&lt;&gt;"",VLOOKUP(K21,'Catálogo SAP'!A:F,4,FALSE),"")</f>
        <v>Km Rodado Caminhão Basculante - C/Motorista</v>
      </c>
      <c r="N21" s="168" t="str">
        <f>IF(K21&lt;&gt;"",VLOOKUP(K21,'Catálogo SAP'!A:F,5,FALSE),"")</f>
        <v>KM</v>
      </c>
      <c r="O21" s="231">
        <v>441</v>
      </c>
      <c r="P21" s="70">
        <f t="shared" si="2"/>
        <v>441</v>
      </c>
      <c r="Q21" s="163" t="e">
        <f t="shared" ref="Q21:Q23" si="10">IF(K21="","-",N21*O21)</f>
        <v>#VALUE!</v>
      </c>
      <c r="R21" s="44" t="str">
        <f>IF(J21&lt;&gt;"",VLOOKUP(J21,'RESUMO DR'!$B$4:$E$253,4,FALSE),"-")</f>
        <v>T-01</v>
      </c>
      <c r="S21" s="58" t="str">
        <f>IF(J21&lt;&gt;"",VLOOKUP(J21,'RESUMO DR'!$B$4:$E$253,3,FALSE),"-")</f>
        <v>IMPERATRIZ</v>
      </c>
      <c r="T21" s="129"/>
      <c r="U21" s="129"/>
      <c r="V21" s="129"/>
      <c r="W21" s="128"/>
      <c r="X21" s="127"/>
      <c r="Y21" s="127"/>
      <c r="Z21" s="179"/>
    </row>
    <row r="22" spans="1:26" ht="13.8">
      <c r="A22" s="5">
        <v>1785</v>
      </c>
      <c r="B22" s="21">
        <v>45642</v>
      </c>
      <c r="C22" s="21" t="s">
        <v>129</v>
      </c>
      <c r="D22" s="74" t="str">
        <f t="shared" si="3"/>
        <v>seg</v>
      </c>
      <c r="E22" s="169">
        <f>IF(K22&lt;&gt;"",VLOOKUP(K22,'Catálogo SAP'!$A$1:$F$245,2,FALSE),"-")</f>
        <v>200</v>
      </c>
      <c r="F22" s="225">
        <v>79882</v>
      </c>
      <c r="G22" s="225">
        <v>80027</v>
      </c>
      <c r="H22" s="226"/>
      <c r="I22" s="230">
        <v>577</v>
      </c>
      <c r="J22" s="162" t="str">
        <f t="shared" si="1"/>
        <v>Tupirama</v>
      </c>
      <c r="K22" s="225">
        <v>200</v>
      </c>
      <c r="L22" s="167" t="str">
        <f>IF(K22&lt;&gt;"",VLOOKUP(K22,'Catálogo SAP'!A:F,3,FALSE),"")</f>
        <v>S.VP-01445</v>
      </c>
      <c r="M22" s="162" t="str">
        <f>IF(K22&lt;&gt;"",VLOOKUP(K22,'Catálogo SAP'!A:F,4,FALSE),"")</f>
        <v>Km Rodado Caminhão Basculante - C/Motorista</v>
      </c>
      <c r="N22" s="168" t="str">
        <f>IF(K22&lt;&gt;"",VLOOKUP(K22,'Catálogo SAP'!A:F,5,FALSE),"")</f>
        <v>KM</v>
      </c>
      <c r="O22" s="231">
        <v>145</v>
      </c>
      <c r="P22" s="70">
        <f t="shared" si="2"/>
        <v>145</v>
      </c>
      <c r="Q22" s="163" t="e">
        <f t="shared" si="10"/>
        <v>#VALUE!</v>
      </c>
      <c r="R22" s="44" t="str">
        <f>IF(J22&lt;&gt;"",VLOOKUP(J22,'RESUMO DR'!$B$4:$E$253,4,FALSE),"-")</f>
        <v>T-03</v>
      </c>
      <c r="S22" s="58" t="str">
        <f>IF(J22&lt;&gt;"",VLOOKUP(J22,'RESUMO DR'!$B$4:$E$253,3,FALSE),"-")</f>
        <v>PALMAS</v>
      </c>
      <c r="T22" s="129"/>
      <c r="U22" s="129"/>
      <c r="V22" s="129"/>
      <c r="W22" s="128"/>
      <c r="X22" s="127"/>
      <c r="Y22" s="127"/>
      <c r="Z22" s="179"/>
    </row>
    <row r="23" spans="1:26" ht="13.8">
      <c r="A23" s="5">
        <v>1783</v>
      </c>
      <c r="B23" s="21">
        <v>45642</v>
      </c>
      <c r="C23" s="21" t="s">
        <v>315</v>
      </c>
      <c r="D23" s="74" t="str">
        <f t="shared" si="3"/>
        <v>seg</v>
      </c>
      <c r="E23" s="169">
        <f>IF(K23&lt;&gt;"",VLOOKUP(K23,'Catálogo SAP'!$A$1:$F$245,2,FALSE),"-")</f>
        <v>170</v>
      </c>
      <c r="F23" s="225">
        <v>1335</v>
      </c>
      <c r="G23" s="225">
        <v>1335</v>
      </c>
      <c r="H23" s="226"/>
      <c r="I23" s="227">
        <v>142</v>
      </c>
      <c r="J23" s="162" t="str">
        <f t="shared" si="1"/>
        <v>RIBAMAR FIQUENE</v>
      </c>
      <c r="K23" s="225">
        <v>170</v>
      </c>
      <c r="L23" s="167" t="str">
        <f>IF(K23&lt;&gt;"",VLOOKUP(K23,'Catálogo SAP'!A:F,3,FALSE),"")</f>
        <v>S.VP-01442</v>
      </c>
      <c r="M23" s="162" t="str">
        <f>IF(K23&lt;&gt;"",VLOOKUP(K23,'Catálogo SAP'!A:F,4,FALSE),"")</f>
        <v>Hora Improdutiva Pa Carregadeira C/Operador</v>
      </c>
      <c r="N23" s="168" t="str">
        <f>IF(K23&lt;&gt;"",VLOOKUP(K23,'Catálogo SAP'!A:F,5,FALSE),"")</f>
        <v>H</v>
      </c>
      <c r="O23" s="231">
        <v>9</v>
      </c>
      <c r="P23" s="70">
        <f t="shared" si="2"/>
        <v>0</v>
      </c>
      <c r="Q23" s="163" t="e">
        <f t="shared" si="10"/>
        <v>#VALUE!</v>
      </c>
      <c r="R23" s="44" t="str">
        <f>IF(J23&lt;&gt;"",VLOOKUP(J23,'RESUMO DR'!$B$4:$E$253,4,FALSE),"-")</f>
        <v>T-01</v>
      </c>
      <c r="S23" s="58" t="str">
        <f>IF(J23&lt;&gt;"",VLOOKUP(J23,'RESUMO DR'!$B$4:$E$253,3,FALSE),"-")</f>
        <v>IMPERATRIZ</v>
      </c>
      <c r="T23" s="129"/>
      <c r="U23" s="129"/>
      <c r="V23" s="129"/>
      <c r="W23" s="128"/>
      <c r="X23" s="127"/>
      <c r="Y23" s="127"/>
      <c r="Z23" s="179"/>
    </row>
    <row r="24" spans="1:26" ht="13.8">
      <c r="A24" s="5"/>
      <c r="B24" s="21">
        <v>45642</v>
      </c>
      <c r="C24" s="21" t="s">
        <v>315</v>
      </c>
      <c r="D24" s="74" t="str">
        <f t="shared" si="3"/>
        <v>seg</v>
      </c>
      <c r="E24" s="169" t="str">
        <f>IF(K24&lt;&gt;"",VLOOKUP(K24,'Catálogo SAP'!$A$1:$F$245,2,FALSE),"-")</f>
        <v>-</v>
      </c>
      <c r="F24" s="225"/>
      <c r="G24" s="225"/>
      <c r="H24" s="226"/>
      <c r="I24" s="227"/>
      <c r="J24" s="162" t="str">
        <f t="shared" si="1"/>
        <v/>
      </c>
      <c r="K24" s="225"/>
      <c r="L24" s="167" t="str">
        <f>IF(K24&lt;&gt;"",VLOOKUP(K24,'Catálogo SAP'!A:F,3,FALSE),"")</f>
        <v/>
      </c>
      <c r="M24" s="162" t="str">
        <f>IF(K24&lt;&gt;"",VLOOKUP(K24,'Catálogo SAP'!A:F,4,FALSE),"")</f>
        <v/>
      </c>
      <c r="N24" s="168" t="str">
        <f>IF(K24&lt;&gt;"",VLOOKUP(K24,'Catálogo SAP'!A:F,5,FALSE),"")</f>
        <v/>
      </c>
      <c r="O24" s="231"/>
      <c r="P24" s="70" t="str">
        <f t="shared" si="2"/>
        <v>-</v>
      </c>
      <c r="Q24" s="163" t="str">
        <f t="shared" si="7"/>
        <v>-</v>
      </c>
      <c r="R24" s="44" t="str">
        <f>IF(J24&lt;&gt;"",VLOOKUP(J24,'RESUMO DR'!$B$4:$E$253,4,FALSE),"-")</f>
        <v>-</v>
      </c>
      <c r="S24" s="58" t="str">
        <f>IF(J24&lt;&gt;"",VLOOKUP(J24,'RESUMO DR'!$B$4:$E$253,3,FALSE),"-")</f>
        <v>-</v>
      </c>
      <c r="T24" s="129"/>
      <c r="U24" s="129"/>
      <c r="V24" s="129"/>
      <c r="W24" s="128"/>
      <c r="X24" s="127"/>
      <c r="Y24" s="127"/>
      <c r="Z24" s="179"/>
    </row>
    <row r="25" spans="1:26" ht="13.8">
      <c r="A25" s="5">
        <v>1784</v>
      </c>
      <c r="B25" s="21">
        <v>45642</v>
      </c>
      <c r="C25" s="21" t="s">
        <v>301</v>
      </c>
      <c r="D25" s="74" t="str">
        <f t="shared" si="3"/>
        <v>seg</v>
      </c>
      <c r="E25" s="169">
        <f>IF(K25&lt;&gt;"",VLOOKUP(K25,'Catálogo SAP'!$A$1:$F$245,2,FALSE),"-")</f>
        <v>160</v>
      </c>
      <c r="F25" s="225">
        <v>116</v>
      </c>
      <c r="G25" s="225">
        <v>118</v>
      </c>
      <c r="H25" s="226"/>
      <c r="I25" s="227">
        <v>563</v>
      </c>
      <c r="J25" s="162" t="str">
        <f t="shared" si="1"/>
        <v>Tupirama</v>
      </c>
      <c r="K25" s="225">
        <v>160</v>
      </c>
      <c r="L25" s="167" t="str">
        <f>IF(K25&lt;&gt;"",VLOOKUP(K25,'Catálogo SAP'!A:F,3,FALSE),"")</f>
        <v>S.VP-01441</v>
      </c>
      <c r="M25" s="162" t="str">
        <f>IF(K25&lt;&gt;"",VLOOKUP(K25,'Catálogo SAP'!A:F,4,FALSE),"")</f>
        <v>Hora Produtiva Pa Carregadeira C/Operador</v>
      </c>
      <c r="N25" s="168" t="str">
        <f>IF(K25&lt;&gt;"",VLOOKUP(K25,'Catálogo SAP'!A:F,5,FALSE),"")</f>
        <v>H</v>
      </c>
      <c r="O25" s="231">
        <v>2</v>
      </c>
      <c r="P25" s="70">
        <f t="shared" si="2"/>
        <v>2</v>
      </c>
      <c r="Q25" s="163" t="e">
        <f t="shared" si="7"/>
        <v>#VALUE!</v>
      </c>
      <c r="R25" s="44" t="str">
        <f>IF(J25&lt;&gt;"",VLOOKUP(J25,'RESUMO DR'!$B$4:$E$253,4,FALSE),"-")</f>
        <v>T-03</v>
      </c>
      <c r="S25" s="58" t="str">
        <f>IF(J25&lt;&gt;"",VLOOKUP(J25,'RESUMO DR'!$B$4:$E$253,3,FALSE),"-")</f>
        <v>PALMAS</v>
      </c>
      <c r="T25" s="129"/>
      <c r="U25" s="129"/>
      <c r="V25" s="129"/>
      <c r="W25" s="128"/>
      <c r="X25" s="127"/>
      <c r="Y25" s="127"/>
      <c r="Z25" s="179"/>
    </row>
    <row r="26" spans="1:26" ht="13.8">
      <c r="A26" s="5">
        <v>1784</v>
      </c>
      <c r="B26" s="21">
        <v>45642</v>
      </c>
      <c r="C26" s="21" t="s">
        <v>301</v>
      </c>
      <c r="D26" s="74" t="str">
        <f t="shared" si="3"/>
        <v>seg</v>
      </c>
      <c r="E26" s="169">
        <f>IF(K26&lt;&gt;"",VLOOKUP(K26,'Catálogo SAP'!$A$1:$F$245,2,FALSE),"-")</f>
        <v>170</v>
      </c>
      <c r="F26" s="225">
        <v>118</v>
      </c>
      <c r="G26" s="225">
        <v>118</v>
      </c>
      <c r="H26" s="226"/>
      <c r="I26" s="227">
        <v>563</v>
      </c>
      <c r="J26" s="162" t="str">
        <f t="shared" si="1"/>
        <v>Tupirama</v>
      </c>
      <c r="K26" s="225">
        <v>170</v>
      </c>
      <c r="L26" s="167" t="str">
        <f>IF(K26&lt;&gt;"",VLOOKUP(K26,'Catálogo SAP'!A:F,3,FALSE),"")</f>
        <v>S.VP-01442</v>
      </c>
      <c r="M26" s="162" t="str">
        <f>IF(K26&lt;&gt;"",VLOOKUP(K26,'Catálogo SAP'!A:F,4,FALSE),"")</f>
        <v>Hora Improdutiva Pa Carregadeira C/Operador</v>
      </c>
      <c r="N26" s="168" t="str">
        <f>IF(K26&lt;&gt;"",VLOOKUP(K26,'Catálogo SAP'!A:F,5,FALSE),"")</f>
        <v>H</v>
      </c>
      <c r="O26" s="231">
        <v>7</v>
      </c>
      <c r="P26" s="70">
        <f t="shared" si="2"/>
        <v>0</v>
      </c>
      <c r="Q26" s="163" t="e">
        <f t="shared" si="4"/>
        <v>#VALUE!</v>
      </c>
      <c r="R26" s="44" t="str">
        <f>IF(J26&lt;&gt;"",VLOOKUP(J26,'RESUMO DR'!$B$4:$E$253,4,FALSE),"-")</f>
        <v>T-03</v>
      </c>
      <c r="S26" s="58" t="str">
        <f>IF(J26&lt;&gt;"",VLOOKUP(J26,'RESUMO DR'!$B$4:$E$253,3,FALSE),"-")</f>
        <v>PALMAS</v>
      </c>
      <c r="T26" s="129"/>
      <c r="U26" s="129"/>
      <c r="V26" s="129"/>
      <c r="W26" s="128"/>
      <c r="X26" s="127"/>
      <c r="Y26" s="127"/>
      <c r="Z26" s="179"/>
    </row>
    <row r="27" spans="1:26" ht="13.8">
      <c r="A27" s="5">
        <v>1782</v>
      </c>
      <c r="B27" s="21">
        <v>45642</v>
      </c>
      <c r="C27" s="21" t="s">
        <v>134</v>
      </c>
      <c r="D27" s="74" t="str">
        <f t="shared" si="3"/>
        <v>seg</v>
      </c>
      <c r="E27" s="169">
        <f>IF(K27&lt;&gt;"",VLOOKUP(K27,'Catálogo SAP'!$A$1:$F$245,2,FALSE),"-")</f>
        <v>480</v>
      </c>
      <c r="F27" s="225">
        <v>3349</v>
      </c>
      <c r="G27" s="225">
        <v>3353</v>
      </c>
      <c r="H27" s="226"/>
      <c r="I27" s="230">
        <v>20</v>
      </c>
      <c r="J27" s="162" t="str">
        <f t="shared" si="1"/>
        <v>S.F. BREJÃO</v>
      </c>
      <c r="K27" s="225">
        <v>480</v>
      </c>
      <c r="L27" s="167" t="str">
        <f>IF(K27&lt;&gt;"",VLOOKUP(K27,'Catálogo SAP'!A:F,3,FALSE),"")</f>
        <v>S.VP-01465</v>
      </c>
      <c r="M27" s="162" t="str">
        <f>IF(K27&lt;&gt;"",VLOOKUP(K27,'Catálogo SAP'!A:F,4,FALSE),"")</f>
        <v>Hora Produtiva Miniescavadeira Hidraulica C/ Operador</v>
      </c>
      <c r="N27" s="168" t="str">
        <f>IF(K27&lt;&gt;"",VLOOKUP(K27,'Catálogo SAP'!A:F,5,FALSE),"")</f>
        <v>H</v>
      </c>
      <c r="O27" s="231">
        <v>4</v>
      </c>
      <c r="P27" s="70">
        <f t="shared" si="2"/>
        <v>4</v>
      </c>
      <c r="Q27" s="163" t="e">
        <f t="shared" si="4"/>
        <v>#VALUE!</v>
      </c>
      <c r="R27" s="44" t="str">
        <f>IF(J27&lt;&gt;"",VLOOKUP(J27,'RESUMO DR'!$B$4:$E$253,4,FALSE),"-")</f>
        <v>T-01</v>
      </c>
      <c r="S27" s="58" t="str">
        <f>IF(J27&lt;&gt;"",VLOOKUP(J27,'RESUMO DR'!$B$4:$E$253,3,FALSE),"-")</f>
        <v>IMPERATRIZ</v>
      </c>
      <c r="T27" s="129"/>
      <c r="U27" s="129"/>
      <c r="V27" s="129"/>
      <c r="W27" s="128"/>
      <c r="X27" s="127"/>
      <c r="Y27" s="127"/>
      <c r="Z27" s="179"/>
    </row>
    <row r="28" spans="1:26" ht="13.8">
      <c r="A28" s="5">
        <v>1782</v>
      </c>
      <c r="B28" s="21">
        <v>45642</v>
      </c>
      <c r="C28" s="21" t="s">
        <v>134</v>
      </c>
      <c r="D28" s="74" t="str">
        <f t="shared" ref="D28" si="11">IF(B28="","-",TEXT(B28,"ddd"))</f>
        <v>seg</v>
      </c>
      <c r="E28" s="169">
        <f>IF(K28&lt;&gt;"",VLOOKUP(K28,'Catálogo SAP'!$A$1:$F$245,2,FALSE),"-")</f>
        <v>490</v>
      </c>
      <c r="F28" s="225">
        <v>3353</v>
      </c>
      <c r="G28" s="225">
        <v>3353</v>
      </c>
      <c r="H28" s="226"/>
      <c r="I28" s="230">
        <v>20</v>
      </c>
      <c r="J28" s="162" t="str">
        <f t="shared" si="1"/>
        <v>S.F. BREJÃO</v>
      </c>
      <c r="K28" s="225">
        <v>490</v>
      </c>
      <c r="L28" s="167" t="str">
        <f>IF(K28&lt;&gt;"",VLOOKUP(K28,'Catálogo SAP'!A:F,3,FALSE),"")</f>
        <v>S.VP-01466</v>
      </c>
      <c r="M28" s="162" t="str">
        <f>IF(K28&lt;&gt;"",VLOOKUP(K28,'Catálogo SAP'!A:F,4,FALSE),"")</f>
        <v>Hora Improdutiva Miniescavadeira Hidraulica C/ Operador</v>
      </c>
      <c r="N28" s="168" t="str">
        <f>IF(K28&lt;&gt;"",VLOOKUP(K28,'Catálogo SAP'!A:F,5,FALSE),"")</f>
        <v>H</v>
      </c>
      <c r="O28" s="231">
        <v>5</v>
      </c>
      <c r="P28" s="70">
        <f t="shared" si="2"/>
        <v>0</v>
      </c>
      <c r="Q28" s="163" t="e">
        <f t="shared" ref="Q28:Q30" si="12">IF(K28="","-",N28*O28)</f>
        <v>#VALUE!</v>
      </c>
      <c r="R28" s="44" t="str">
        <f>IF(J28&lt;&gt;"",VLOOKUP(J28,'RESUMO DR'!$B$4:$E$253,4,FALSE),"-")</f>
        <v>T-01</v>
      </c>
      <c r="S28" s="58" t="str">
        <f>IF(J28&lt;&gt;"",VLOOKUP(J28,'RESUMO DR'!$B$4:$E$253,3,FALSE),"-")</f>
        <v>IMPERATRIZ</v>
      </c>
      <c r="T28" s="129"/>
      <c r="U28" s="129"/>
      <c r="V28" s="129"/>
      <c r="W28" s="128"/>
      <c r="X28" s="127"/>
      <c r="Y28" s="127"/>
      <c r="Z28" s="179"/>
    </row>
    <row r="29" spans="1:26" ht="13.8">
      <c r="A29" s="5">
        <v>1789</v>
      </c>
      <c r="B29" s="21">
        <v>45642</v>
      </c>
      <c r="C29" s="21" t="s">
        <v>305</v>
      </c>
      <c r="D29" s="74" t="str">
        <f t="shared" si="3"/>
        <v>seg</v>
      </c>
      <c r="E29" s="169">
        <f>IF(K29&lt;&gt;"",VLOOKUP(K29,'Catálogo SAP'!$A$1:$F$245,2,FALSE),"-")</f>
        <v>280</v>
      </c>
      <c r="F29" s="225">
        <v>151</v>
      </c>
      <c r="G29" s="225">
        <v>160</v>
      </c>
      <c r="H29" s="226"/>
      <c r="I29" s="230">
        <v>442</v>
      </c>
      <c r="J29" s="162" t="str">
        <f t="shared" si="1"/>
        <v>Palmeirante</v>
      </c>
      <c r="K29" s="225">
        <v>280</v>
      </c>
      <c r="L29" s="167" t="str">
        <f>IF(K29&lt;&gt;"",VLOOKUP(K29,'Catálogo SAP'!A:F,3,FALSE),"")</f>
        <v>S.VP-01453</v>
      </c>
      <c r="M29" s="162" t="str">
        <f>IF(K29&lt;&gt;"",VLOOKUP(K29,'Catálogo SAP'!A:F,4,FALSE),"")</f>
        <v>Hora Produtiva Motoniveladora C/Operador</v>
      </c>
      <c r="N29" s="168" t="str">
        <f>IF(K29&lt;&gt;"",VLOOKUP(K29,'Catálogo SAP'!A:F,5,FALSE),"")</f>
        <v>H</v>
      </c>
      <c r="O29" s="231">
        <v>9</v>
      </c>
      <c r="P29" s="70">
        <f t="shared" si="2"/>
        <v>9</v>
      </c>
      <c r="Q29" s="163" t="e">
        <f t="shared" si="12"/>
        <v>#VALUE!</v>
      </c>
      <c r="R29" s="44" t="str">
        <f>IF(J29&lt;&gt;"",VLOOKUP(J29,'RESUMO DR'!$B$4:$E$253,4,FALSE),"-")</f>
        <v>T-02</v>
      </c>
      <c r="S29" s="58" t="str">
        <f>IF(J29&lt;&gt;"",VLOOKUP(J29,'RESUMO DR'!$B$4:$E$253,3,FALSE),"-")</f>
        <v>ARAGUAINA</v>
      </c>
      <c r="T29" s="129"/>
      <c r="U29" s="129"/>
      <c r="V29" s="129"/>
      <c r="W29" s="128"/>
      <c r="X29" s="127"/>
      <c r="Y29" s="127"/>
      <c r="Z29" s="179"/>
    </row>
    <row r="30" spans="1:26" ht="13.8">
      <c r="A30" s="5">
        <v>1785</v>
      </c>
      <c r="B30" s="21">
        <v>45642</v>
      </c>
      <c r="C30" s="21" t="s">
        <v>306</v>
      </c>
      <c r="D30" s="74" t="str">
        <f t="shared" si="3"/>
        <v>seg</v>
      </c>
      <c r="E30" s="169">
        <f>IF(K30&lt;&gt;"",VLOOKUP(K30,'Catálogo SAP'!$A$1:$F$245,2,FALSE),"-")</f>
        <v>280</v>
      </c>
      <c r="F30" s="225">
        <v>239</v>
      </c>
      <c r="G30" s="225">
        <v>248</v>
      </c>
      <c r="H30" s="226"/>
      <c r="I30" s="227">
        <v>577</v>
      </c>
      <c r="J30" s="162" t="str">
        <f t="shared" si="1"/>
        <v>Tupirama</v>
      </c>
      <c r="K30" s="225">
        <v>280</v>
      </c>
      <c r="L30" s="167" t="str">
        <f>IF(K30&lt;&gt;"",VLOOKUP(K30,'Catálogo SAP'!A:F,3,FALSE),"")</f>
        <v>S.VP-01453</v>
      </c>
      <c r="M30" s="162" t="str">
        <f>IF(K30&lt;&gt;"",VLOOKUP(K30,'Catálogo SAP'!A:F,4,FALSE),"")</f>
        <v>Hora Produtiva Motoniveladora C/Operador</v>
      </c>
      <c r="N30" s="168" t="str">
        <f>IF(K30&lt;&gt;"",VLOOKUP(K30,'Catálogo SAP'!A:F,5,FALSE),"")</f>
        <v>H</v>
      </c>
      <c r="O30" s="231">
        <v>9</v>
      </c>
      <c r="P30" s="70">
        <f t="shared" si="2"/>
        <v>9</v>
      </c>
      <c r="Q30" s="163" t="e">
        <f t="shared" si="12"/>
        <v>#VALUE!</v>
      </c>
      <c r="R30" s="44" t="str">
        <f>IF(J30&lt;&gt;"",VLOOKUP(J30,'RESUMO DR'!$B$4:$E$253,4,FALSE),"-")</f>
        <v>T-03</v>
      </c>
      <c r="S30" s="58" t="str">
        <f>IF(J30&lt;&gt;"",VLOOKUP(J30,'RESUMO DR'!$B$4:$E$253,3,FALSE),"-")</f>
        <v>PALMAS</v>
      </c>
      <c r="T30" s="129"/>
      <c r="U30" s="129"/>
      <c r="V30" s="129"/>
      <c r="W30" s="128"/>
      <c r="X30" s="127"/>
      <c r="Y30" s="127"/>
      <c r="Z30" s="179"/>
    </row>
    <row r="31" spans="1:26" ht="13.8">
      <c r="A31" s="5"/>
      <c r="B31" s="21">
        <v>45642</v>
      </c>
      <c r="C31" s="21" t="s">
        <v>306</v>
      </c>
      <c r="D31" s="74" t="str">
        <f t="shared" ref="D31" si="13">IF(B31="","-",TEXT(B31,"ddd"))</f>
        <v>seg</v>
      </c>
      <c r="E31" s="169" t="str">
        <f>IF(K31&lt;&gt;"",VLOOKUP(K31,'Catálogo SAP'!$A$1:$F$245,2,FALSE),"-")</f>
        <v>-</v>
      </c>
      <c r="F31" s="225"/>
      <c r="G31" s="225"/>
      <c r="H31" s="226"/>
      <c r="I31" s="227"/>
      <c r="J31" s="162" t="str">
        <f t="shared" si="1"/>
        <v/>
      </c>
      <c r="K31" s="225"/>
      <c r="L31" s="167" t="str">
        <f>IF(K31&lt;&gt;"",VLOOKUP(K31,'Catálogo SAP'!A:F,3,FALSE),"")</f>
        <v/>
      </c>
      <c r="M31" s="162" t="str">
        <f>IF(K31&lt;&gt;"",VLOOKUP(K31,'Catálogo SAP'!A:F,4,FALSE),"")</f>
        <v/>
      </c>
      <c r="N31" s="168" t="str">
        <f>IF(K31&lt;&gt;"",VLOOKUP(K31,'Catálogo SAP'!A:F,5,FALSE),"")</f>
        <v/>
      </c>
      <c r="O31" s="231"/>
      <c r="P31" s="70" t="str">
        <f t="shared" si="2"/>
        <v>-</v>
      </c>
      <c r="Q31" s="163" t="str">
        <f t="shared" ref="Q31:Q32" si="14">IF(K31="","-",N31*O31)</f>
        <v>-</v>
      </c>
      <c r="R31" s="44" t="str">
        <f>IF(J31&lt;&gt;"",VLOOKUP(J31,'RESUMO DR'!$B$4:$E$253,4,FALSE),"-")</f>
        <v>-</v>
      </c>
      <c r="S31" s="58" t="str">
        <f>IF(J31&lt;&gt;"",VLOOKUP(J31,'RESUMO DR'!$B$4:$E$253,3,FALSE),"-")</f>
        <v>-</v>
      </c>
      <c r="T31" s="129"/>
      <c r="U31" s="129"/>
      <c r="V31" s="129"/>
      <c r="W31" s="128"/>
      <c r="X31" s="127"/>
      <c r="Y31" s="127"/>
      <c r="Z31" s="179"/>
    </row>
    <row r="32" spans="1:26" ht="13.8">
      <c r="A32" s="5">
        <v>1789</v>
      </c>
      <c r="B32" s="21">
        <v>45642</v>
      </c>
      <c r="C32" s="21" t="s">
        <v>311</v>
      </c>
      <c r="D32" s="74" t="str">
        <f t="shared" si="3"/>
        <v>seg</v>
      </c>
      <c r="E32" s="169">
        <f>IF(K32&lt;&gt;"",VLOOKUP(K32,'Catálogo SAP'!$A$1:$F$245,2,FALSE),"-")</f>
        <v>120</v>
      </c>
      <c r="F32" s="225">
        <v>1093</v>
      </c>
      <c r="G32" s="225">
        <v>1100</v>
      </c>
      <c r="H32" s="226"/>
      <c r="I32" s="227">
        <v>442</v>
      </c>
      <c r="J32" s="162" t="str">
        <f t="shared" si="1"/>
        <v>Palmeirante</v>
      </c>
      <c r="K32" s="225">
        <v>120</v>
      </c>
      <c r="L32" s="167" t="str">
        <f>IF(K32&lt;&gt;"",VLOOKUP(K32,'Catálogo SAP'!A:F,3,FALSE),"")</f>
        <v>S.VP-01437</v>
      </c>
      <c r="M32" s="162" t="str">
        <f>IF(K32&lt;&gt;"",VLOOKUP(K32,'Catálogo SAP'!A:F,4,FALSE),"")</f>
        <v>Hr Produtiva Retroescavadeira C/Operador</v>
      </c>
      <c r="N32" s="168" t="str">
        <f>IF(K32&lt;&gt;"",VLOOKUP(K32,'Catálogo SAP'!A:F,5,FALSE),"")</f>
        <v>H</v>
      </c>
      <c r="O32" s="231">
        <v>7</v>
      </c>
      <c r="P32" s="70">
        <f t="shared" si="2"/>
        <v>7</v>
      </c>
      <c r="Q32" s="163" t="e">
        <f t="shared" si="14"/>
        <v>#VALUE!</v>
      </c>
      <c r="R32" s="44" t="str">
        <f>IF(J32&lt;&gt;"",VLOOKUP(J32,'RESUMO DR'!$B$4:$E$253,4,FALSE),"-")</f>
        <v>T-02</v>
      </c>
      <c r="S32" s="58" t="str">
        <f>IF(J32&lt;&gt;"",VLOOKUP(J32,'RESUMO DR'!$B$4:$E$253,3,FALSE),"-")</f>
        <v>ARAGUAINA</v>
      </c>
      <c r="T32" s="129"/>
      <c r="U32" s="129"/>
      <c r="V32" s="129"/>
      <c r="W32" s="128"/>
      <c r="X32" s="127"/>
      <c r="Y32" s="127"/>
      <c r="Z32" s="179"/>
    </row>
    <row r="33" spans="1:28" ht="13.8">
      <c r="A33" s="5"/>
      <c r="B33" s="21">
        <v>45642</v>
      </c>
      <c r="C33" s="21" t="s">
        <v>311</v>
      </c>
      <c r="D33" s="74" t="str">
        <f t="shared" si="3"/>
        <v>seg</v>
      </c>
      <c r="E33" s="169" t="str">
        <f>IF(K33&lt;&gt;"",VLOOKUP(K33,'Catálogo SAP'!$A$1:$F$245,2,FALSE),"-")</f>
        <v>-</v>
      </c>
      <c r="F33" s="225"/>
      <c r="G33" s="225"/>
      <c r="H33" s="226"/>
      <c r="I33" s="227"/>
      <c r="J33" s="162" t="str">
        <f t="shared" si="1"/>
        <v/>
      </c>
      <c r="K33" s="225"/>
      <c r="L33" s="167" t="str">
        <f>IF(K33&lt;&gt;"",VLOOKUP(K33,'Catálogo SAP'!A:F,3,FALSE),"")</f>
        <v/>
      </c>
      <c r="M33" s="162" t="str">
        <f>IF(K33&lt;&gt;"",VLOOKUP(K33,'Catálogo SAP'!A:F,4,FALSE),"")</f>
        <v/>
      </c>
      <c r="N33" s="168" t="str">
        <f>IF(K33&lt;&gt;"",VLOOKUP(K33,'Catálogo SAP'!A:F,5,FALSE),"")</f>
        <v/>
      </c>
      <c r="O33" s="231"/>
      <c r="P33" s="70" t="str">
        <f t="shared" si="2"/>
        <v>-</v>
      </c>
      <c r="Q33" s="163" t="str">
        <f t="shared" si="4"/>
        <v>-</v>
      </c>
      <c r="R33" s="44" t="str">
        <f>IF(J33&lt;&gt;"",VLOOKUP(J33,'RESUMO DR'!$B$4:$E$253,4,FALSE),"-")</f>
        <v>-</v>
      </c>
      <c r="S33" s="58" t="str">
        <f>IF(J33&lt;&gt;"",VLOOKUP(J33,'RESUMO DR'!$B$4:$E$253,3,FALSE),"-")</f>
        <v>-</v>
      </c>
      <c r="T33" s="129"/>
      <c r="U33" s="129"/>
      <c r="V33" s="129"/>
      <c r="W33" s="128"/>
      <c r="X33" s="127"/>
      <c r="Y33" s="127"/>
      <c r="Z33" s="179"/>
    </row>
    <row r="34" spans="1:28" ht="13.8">
      <c r="A34" s="5">
        <v>1787</v>
      </c>
      <c r="B34" s="21">
        <v>45642</v>
      </c>
      <c r="C34" s="21" t="s">
        <v>312</v>
      </c>
      <c r="D34" s="74" t="str">
        <f t="shared" si="3"/>
        <v>seg</v>
      </c>
      <c r="E34" s="169">
        <f>IF(K34&lt;&gt;"",VLOOKUP(K34,'Catálogo SAP'!$A$1:$F$245,2,FALSE),"-")</f>
        <v>200</v>
      </c>
      <c r="F34" s="225">
        <v>68379</v>
      </c>
      <c r="G34" s="225">
        <v>68664</v>
      </c>
      <c r="H34" s="226"/>
      <c r="I34" s="230">
        <v>326</v>
      </c>
      <c r="J34" s="162" t="str">
        <f t="shared" si="1"/>
        <v>BABAÇULÂNDIA</v>
      </c>
      <c r="K34" s="225">
        <v>200</v>
      </c>
      <c r="L34" s="167" t="str">
        <f>IF(K34&lt;&gt;"",VLOOKUP(K34,'Catálogo SAP'!A:F,3,FALSE),"")</f>
        <v>S.VP-01445</v>
      </c>
      <c r="M34" s="162" t="str">
        <f>IF(K34&lt;&gt;"",VLOOKUP(K34,'Catálogo SAP'!A:F,4,FALSE),"")</f>
        <v>Km Rodado Caminhão Basculante - C/Motorista</v>
      </c>
      <c r="N34" s="168" t="str">
        <f>IF(K34&lt;&gt;"",VLOOKUP(K34,'Catálogo SAP'!A:F,5,FALSE),"")</f>
        <v>KM</v>
      </c>
      <c r="O34" s="231">
        <v>285</v>
      </c>
      <c r="P34" s="70">
        <f t="shared" si="2"/>
        <v>285</v>
      </c>
      <c r="Q34" s="163" t="e">
        <f t="shared" si="4"/>
        <v>#VALUE!</v>
      </c>
      <c r="R34" s="44" t="str">
        <f>IF(J34&lt;&gt;"",VLOOKUP(J34,'RESUMO DR'!$B$4:$E$253,4,FALSE),"-")</f>
        <v>T-02</v>
      </c>
      <c r="S34" s="58" t="str">
        <f>IF(J34&lt;&gt;"",VLOOKUP(J34,'RESUMO DR'!$B$4:$E$253,3,FALSE),"-")</f>
        <v>ARAGUAINA</v>
      </c>
      <c r="T34" s="129"/>
      <c r="U34" s="129"/>
      <c r="V34" s="129"/>
      <c r="W34" s="128"/>
      <c r="X34" s="127"/>
      <c r="Y34" s="127"/>
      <c r="Z34" s="179"/>
    </row>
    <row r="35" spans="1:28" ht="13.8">
      <c r="A35" s="5"/>
      <c r="B35" s="21">
        <v>45642</v>
      </c>
      <c r="C35" s="21" t="s">
        <v>304</v>
      </c>
      <c r="D35" s="74" t="str">
        <f t="shared" si="3"/>
        <v>seg</v>
      </c>
      <c r="E35" s="169" t="str">
        <f>IF(K35&lt;&gt;"",VLOOKUP(K35,'Catálogo SAP'!$A$1:$F$245,2,FALSE),"-")</f>
        <v>-</v>
      </c>
      <c r="F35" s="225"/>
      <c r="G35" s="225"/>
      <c r="H35" s="226"/>
      <c r="I35" s="227"/>
      <c r="J35" s="162" t="str">
        <f t="shared" si="1"/>
        <v/>
      </c>
      <c r="K35" s="225"/>
      <c r="L35" s="167" t="str">
        <f>IF(K35&lt;&gt;"",VLOOKUP(K35,'Catálogo SAP'!A:F,3,FALSE),"")</f>
        <v/>
      </c>
      <c r="M35" s="162" t="str">
        <f>IF(K35&lt;&gt;"",VLOOKUP(K35,'Catálogo SAP'!A:F,4,FALSE),"")</f>
        <v/>
      </c>
      <c r="N35" s="168" t="str">
        <f>IF(K35&lt;&gt;"",VLOOKUP(K35,'Catálogo SAP'!A:F,5,FALSE),"")</f>
        <v/>
      </c>
      <c r="O35" s="231"/>
      <c r="P35" s="70" t="str">
        <f t="shared" si="2"/>
        <v>-</v>
      </c>
      <c r="Q35" s="163" t="str">
        <f t="shared" si="4"/>
        <v>-</v>
      </c>
      <c r="R35" s="44" t="str">
        <f>IF(J35&lt;&gt;"",VLOOKUP(J35,'RESUMO DR'!$B$4:$E$253,4,FALSE),"-")</f>
        <v>-</v>
      </c>
      <c r="S35" s="58" t="str">
        <f>IF(J35&lt;&gt;"",VLOOKUP(J35,'RESUMO DR'!$B$4:$E$253,3,FALSE),"-")</f>
        <v>-</v>
      </c>
      <c r="T35" s="129"/>
      <c r="U35" s="129"/>
      <c r="V35" s="129"/>
      <c r="W35" s="128"/>
      <c r="X35" s="127"/>
      <c r="Y35" s="127"/>
      <c r="Z35" s="179"/>
    </row>
    <row r="36" spans="1:28" ht="13.8">
      <c r="A36" s="5"/>
      <c r="B36" s="222"/>
      <c r="C36" s="222"/>
      <c r="D36" s="74" t="str">
        <f t="shared" si="3"/>
        <v>-</v>
      </c>
      <c r="E36" s="169" t="str">
        <f>IF(K36&lt;&gt;"",VLOOKUP(K36,'Catálogo SAP'!$A$1:$F$245,2,FALSE),"-")</f>
        <v>-</v>
      </c>
      <c r="F36" s="225"/>
      <c r="G36" s="225"/>
      <c r="H36" s="226"/>
      <c r="I36" s="227"/>
      <c r="J36" s="162" t="str">
        <f t="shared" si="1"/>
        <v/>
      </c>
      <c r="K36" s="225"/>
      <c r="L36" s="167" t="str">
        <f>IF(K36&lt;&gt;"",VLOOKUP(K36,'Catálogo SAP'!A:F,3,FALSE),"")</f>
        <v/>
      </c>
      <c r="M36" s="162" t="str">
        <f>IF(K36&lt;&gt;"",VLOOKUP(K36,'Catálogo SAP'!A:F,4,FALSE),"")</f>
        <v/>
      </c>
      <c r="N36" s="168" t="str">
        <f>IF(K36&lt;&gt;"",VLOOKUP(K36,'Catálogo SAP'!A:F,5,FALSE),"")</f>
        <v/>
      </c>
      <c r="O36" s="231"/>
      <c r="P36" s="70" t="str">
        <f t="shared" si="2"/>
        <v>-</v>
      </c>
      <c r="Q36" s="163" t="str">
        <f t="shared" si="4"/>
        <v>-</v>
      </c>
      <c r="R36" s="44" t="str">
        <f>IF(J36&lt;&gt;"",VLOOKUP(J36,'RESUMO DR'!$B$4:$E$253,4,FALSE),"-")</f>
        <v>-</v>
      </c>
      <c r="S36" s="58" t="str">
        <f>IF(J36&lt;&gt;"",VLOOKUP(J36,'RESUMO DR'!$B$4:$E$253,3,FALSE),"-")</f>
        <v>-</v>
      </c>
      <c r="T36" s="129"/>
      <c r="U36" s="129"/>
      <c r="V36" s="129"/>
      <c r="W36" s="128"/>
      <c r="X36" s="127"/>
      <c r="Y36" s="127"/>
      <c r="Z36" s="179"/>
    </row>
    <row r="37" spans="1:28" ht="13.8">
      <c r="A37" s="5"/>
      <c r="B37" s="21"/>
      <c r="C37" s="21"/>
      <c r="D37" s="74" t="str">
        <f t="shared" ref="D37:D80" si="15">IF(B37="","-",TEXT(B37,"ddd"))</f>
        <v>-</v>
      </c>
      <c r="E37" s="169" t="str">
        <f>IF(K37&lt;&gt;"",VLOOKUP(K37,'Catálogo SAP'!$A$1:$F$245,2,FALSE),"-")</f>
        <v>-</v>
      </c>
      <c r="F37" s="16"/>
      <c r="G37" s="16"/>
      <c r="H37" s="22"/>
      <c r="I37" s="133"/>
      <c r="J37" s="162" t="str">
        <f t="shared" si="1"/>
        <v/>
      </c>
      <c r="K37" s="16"/>
      <c r="L37" s="167" t="str">
        <f>IF(K37&lt;&gt;"",VLOOKUP(K37,'Catálogo SAP'!A:F,3,FALSE),"")</f>
        <v/>
      </c>
      <c r="M37" s="162" t="str">
        <f>IF(K37&lt;&gt;"",VLOOKUP(K37,'Catálogo SAP'!A:F,4,FALSE),"")</f>
        <v/>
      </c>
      <c r="N37" s="168" t="str">
        <f>IF(K37&lt;&gt;"",VLOOKUP(K37,'Catálogo SAP'!A:F,5,FALSE),"")</f>
        <v/>
      </c>
      <c r="O37" s="160"/>
      <c r="P37" s="70" t="str">
        <f t="shared" si="2"/>
        <v>-</v>
      </c>
      <c r="Q37" s="163" t="str">
        <f t="shared" si="4"/>
        <v>-</v>
      </c>
      <c r="R37" s="44" t="str">
        <f>IF(J37&lt;&gt;"",VLOOKUP(J37,'RESUMO DR'!$B$4:$E$253,4,FALSE),"-")</f>
        <v>-</v>
      </c>
      <c r="S37" s="58" t="str">
        <f>IF(J37&lt;&gt;"",VLOOKUP(J37,'RESUMO DR'!$B$4:$E$253,3,FALSE),"-")</f>
        <v>-</v>
      </c>
      <c r="T37" s="129"/>
      <c r="U37" s="129"/>
      <c r="V37" s="129"/>
      <c r="W37" s="128"/>
      <c r="X37" s="127"/>
      <c r="Y37" s="127"/>
      <c r="Z37" s="4"/>
      <c r="AA37" s="38"/>
      <c r="AB37" s="38"/>
    </row>
    <row r="38" spans="1:28" ht="20.100000000000001" customHeight="1">
      <c r="A38" s="5"/>
      <c r="B38" s="21">
        <v>45643</v>
      </c>
      <c r="C38" s="21" t="s">
        <v>123</v>
      </c>
      <c r="D38" s="74" t="str">
        <f t="shared" si="15"/>
        <v>ter</v>
      </c>
      <c r="E38" s="169" t="str">
        <f>IF(K38&lt;&gt;"",VLOOKUP(K38,'Catálogo SAP'!$A$1:$F$245,2,FALSE),"-")</f>
        <v>-</v>
      </c>
      <c r="F38" s="225"/>
      <c r="G38" s="225"/>
      <c r="H38" s="226"/>
      <c r="I38" s="230"/>
      <c r="J38" s="162" t="str">
        <f t="shared" ref="J38:J80" si="16">IF(AND(I38&gt;=0.001,I38&lt;=16),"AÇAILÂNDIA","")&amp;IF(AND(I38&gt;=16.001,I38&lt;=44),"S.F. BREJÃO","")&amp;IF(AND(I38&gt;=44.001,I38&lt;=78),"JOÃO LISBOA","")&amp;IF(AND(I38&gt;=78.001,I38&lt;=96.397),"IMPERATRIZ","")&amp;IF(AND(I38&gt;=96.398,I38&lt;=122.82),"EDSON LOBÃO","")&amp;IF(AND(I38&gt;=122.821,I38&lt;=152.303),"RIBAMAR FIQUENE","")&amp;IF(AND(I38&gt;=152.304,I38&lt;=172.403),"CAMPESTRE","")&amp;IF(AND(I38&gt;=172.404,I38&lt;=195),"PORTO FRANCO","")&amp;IF(AND(I38&gt;=300,I38&lt;=300),"SAO LUIS","")&amp;IF(AND(I38&gt;=385.4,I38&lt;=465.4),"Palmeirante","")&amp;IF(AND(I38&gt;=465.401,I38&lt;=520.455),"Tupiratins","")&amp;IF(AND(I38&gt;=520.456,I38&lt;=536.741),"Guaraí","")&amp;IF(AND(I38&gt;=536.742,I38&lt;=580.293),"Tupirama","")&amp;IF(AND(I38&gt;=580.294,I38&lt;=608.637),"Rio dos Bois","")&amp;IF(AND(I38&gt;=608.638,I38&lt;=698.981),"Miracema","")&amp;IF(AND(I38&gt;=698.982,I38&lt;=735.6),"Porto Nacional","")&amp;IF(AND(I38&gt;=195.1,I38&lt;=213.603),"ESTREITO","")&amp;IF(AND(I38&gt;=213.604,I38&lt;=218.976),"AGUIARNÓPOLIS","")&amp;IF(AND(I38&gt;=218.977,I38&lt;=253.5),"PALMEIRAS DO TOCANTINS","")&amp;IF(AND(I38&gt;=253.501,I38&lt;=274.15),"DARCINÓPOLIS","")&amp;IF(AND(I38&gt;=274.151,I38&lt;=299.999),"BABAÇULÂNDIA","")&amp;IF(AND(I38&gt;=356.62,I38&lt;=385.4),"ARAGUAÍNA","")&amp;IF(AND(I38&gt;=300.001,I38&lt;=356.619),"BABAÇULÂNDIA","")&amp;IF(AND(I38&gt;=900,I38&lt;=902),"ENG. VLI","")</f>
        <v/>
      </c>
      <c r="K38" s="16"/>
      <c r="L38" s="167" t="str">
        <f>IF(K38&lt;&gt;"",VLOOKUP(K38,'Catálogo SAP'!A:F,3,FALSE),"")</f>
        <v/>
      </c>
      <c r="M38" s="162" t="str">
        <f>IF(K38&lt;&gt;"",VLOOKUP(K38,'Catálogo SAP'!A:F,4,FALSE),"")</f>
        <v/>
      </c>
      <c r="N38" s="168" t="str">
        <f>IF(K38&lt;&gt;"",VLOOKUP(K38,'Catálogo SAP'!A:F,5,FALSE),"")</f>
        <v/>
      </c>
      <c r="O38" s="160"/>
      <c r="P38" s="70" t="str">
        <f t="shared" si="2"/>
        <v>-</v>
      </c>
      <c r="Q38" s="163" t="str">
        <f t="shared" ref="Q38:Q96" si="17">IF(K38="","-",N38*O38)</f>
        <v>-</v>
      </c>
      <c r="R38" s="44" t="str">
        <f>IF(J38&lt;&gt;"",VLOOKUP(J38,'RESUMO DR'!$B$4:$E$253,4,FALSE),"-")</f>
        <v>-</v>
      </c>
      <c r="S38" s="58" t="str">
        <f>IF(J38&lt;&gt;"",VLOOKUP(J38,'RESUMO DR'!$B$4:$E$253,3,FALSE),"-")</f>
        <v>-</v>
      </c>
      <c r="T38" s="129"/>
      <c r="U38" s="129"/>
      <c r="V38" s="129"/>
      <c r="W38" s="128"/>
      <c r="X38" s="127"/>
      <c r="Y38" s="127"/>
      <c r="Z38" s="4"/>
      <c r="AA38" s="38"/>
      <c r="AB38" s="38"/>
    </row>
    <row r="39" spans="1:28" ht="20.100000000000001" customHeight="1">
      <c r="A39" s="5"/>
      <c r="B39" s="21">
        <v>45643</v>
      </c>
      <c r="C39" s="21" t="s">
        <v>123</v>
      </c>
      <c r="D39" s="74" t="str">
        <f t="shared" ref="D39:D40" si="18">IF(B39="","-",TEXT(B39,"ddd"))</f>
        <v>ter</v>
      </c>
      <c r="E39" s="169" t="str">
        <f>IF(K39&lt;&gt;"",VLOOKUP(K39,'Catálogo SAP'!$A$1:$F$245,2,FALSE),"-")</f>
        <v>-</v>
      </c>
      <c r="F39" s="225"/>
      <c r="G39" s="225"/>
      <c r="H39" s="226"/>
      <c r="I39" s="227"/>
      <c r="J39" s="228" t="str">
        <f t="shared" si="16"/>
        <v/>
      </c>
      <c r="K39" s="225"/>
      <c r="L39" s="167" t="str">
        <f>IF(K39&lt;&gt;"",VLOOKUP(K39,'Catálogo SAP'!A:F,3,FALSE),"")</f>
        <v/>
      </c>
      <c r="M39" s="162" t="str">
        <f>IF(K39&lt;&gt;"",VLOOKUP(K39,'Catálogo SAP'!A:F,4,FALSE),"")</f>
        <v/>
      </c>
      <c r="N39" s="168" t="str">
        <f>IF(K39&lt;&gt;"",VLOOKUP(K39,'Catálogo SAP'!A:F,5,FALSE),"")</f>
        <v/>
      </c>
      <c r="O39" s="231"/>
      <c r="P39" s="70" t="str">
        <f t="shared" si="2"/>
        <v>-</v>
      </c>
      <c r="Q39" s="229" t="str">
        <f t="shared" si="17"/>
        <v>-</v>
      </c>
      <c r="R39" s="44" t="str">
        <f>IF(J39&lt;&gt;"",VLOOKUP(J39,'RESUMO DR'!$B$4:$E$253,4,FALSE),"-")</f>
        <v>-</v>
      </c>
      <c r="S39" s="58" t="str">
        <f>IF(J39&lt;&gt;"",VLOOKUP(J39,'RESUMO DR'!$B$4:$E$253,3,FALSE),"-")</f>
        <v>-</v>
      </c>
      <c r="T39" s="129"/>
      <c r="U39" s="129"/>
      <c r="V39" s="129"/>
      <c r="W39" s="128"/>
      <c r="X39" s="127"/>
      <c r="Y39" s="127"/>
      <c r="Z39" s="4"/>
      <c r="AA39" s="38"/>
      <c r="AB39" s="38"/>
    </row>
    <row r="40" spans="1:28" ht="20.100000000000001" customHeight="1">
      <c r="A40" s="5">
        <v>1553</v>
      </c>
      <c r="B40" s="21">
        <v>45643</v>
      </c>
      <c r="C40" s="21" t="s">
        <v>121</v>
      </c>
      <c r="D40" s="74" t="str">
        <f t="shared" si="18"/>
        <v>ter</v>
      </c>
      <c r="E40" s="169">
        <f>IF(K40&lt;&gt;"",VLOOKUP(K40,'Catálogo SAP'!$A$1:$F$245,2,FALSE),"-")</f>
        <v>120</v>
      </c>
      <c r="F40" s="16">
        <v>8661</v>
      </c>
      <c r="G40" s="16">
        <v>8666</v>
      </c>
      <c r="H40" s="22"/>
      <c r="I40" s="133">
        <v>300</v>
      </c>
      <c r="J40" s="162" t="str">
        <f t="shared" si="16"/>
        <v>SAO LUIS</v>
      </c>
      <c r="K40" s="16">
        <v>120</v>
      </c>
      <c r="L40" s="167" t="str">
        <f>IF(K40&lt;&gt;"",VLOOKUP(K40,'Catálogo SAP'!A:F,3,FALSE),"")</f>
        <v>S.VP-01437</v>
      </c>
      <c r="M40" s="162" t="str">
        <f>IF(K40&lt;&gt;"",VLOOKUP(K40,'Catálogo SAP'!A:F,4,FALSE),"")</f>
        <v>Hr Produtiva Retroescavadeira C/Operador</v>
      </c>
      <c r="N40" s="168" t="str">
        <f>IF(K40&lt;&gt;"",VLOOKUP(K40,'Catálogo SAP'!A:F,5,FALSE),"")</f>
        <v>H</v>
      </c>
      <c r="O40" s="160">
        <v>5</v>
      </c>
      <c r="P40" s="70">
        <f t="shared" si="2"/>
        <v>5</v>
      </c>
      <c r="Q40" s="163" t="e">
        <f t="shared" si="17"/>
        <v>#VALUE!</v>
      </c>
      <c r="R40" s="44" t="str">
        <f>IF(J40&lt;&gt;"",VLOOKUP(J40,'RESUMO DR'!$B$4:$E$253,4,FALSE),"-")</f>
        <v>T-02</v>
      </c>
      <c r="S40" s="58" t="str">
        <f>IF(J40&lt;&gt;"",VLOOKUP(J40,'RESUMO DR'!$B$4:$E$253,3,FALSE),"-")</f>
        <v>ARAGUAINA</v>
      </c>
      <c r="T40" s="129"/>
      <c r="U40" s="129"/>
      <c r="V40" s="129"/>
      <c r="W40" s="128"/>
      <c r="X40" s="127"/>
      <c r="Y40" s="127"/>
      <c r="Z40" s="4"/>
      <c r="AA40" s="38"/>
      <c r="AB40" s="38"/>
    </row>
    <row r="41" spans="1:28" ht="23.25" customHeight="1">
      <c r="A41" s="5">
        <v>1553</v>
      </c>
      <c r="B41" s="21">
        <v>45643</v>
      </c>
      <c r="C41" s="21" t="s">
        <v>121</v>
      </c>
      <c r="D41" s="74" t="str">
        <f t="shared" si="15"/>
        <v>ter</v>
      </c>
      <c r="E41" s="169">
        <f>IF(K41&lt;&gt;"",VLOOKUP(K41,'Catálogo SAP'!$A$1:$F$245,2,FALSE),"-")</f>
        <v>130</v>
      </c>
      <c r="F41" s="16">
        <v>8666</v>
      </c>
      <c r="G41" s="16">
        <v>8666</v>
      </c>
      <c r="H41" s="22"/>
      <c r="I41" s="133">
        <v>300</v>
      </c>
      <c r="J41" s="162" t="str">
        <f t="shared" si="16"/>
        <v>SAO LUIS</v>
      </c>
      <c r="K41" s="16">
        <v>130</v>
      </c>
      <c r="L41" s="167" t="str">
        <f>IF(K41&lt;&gt;"",VLOOKUP(K41,'Catálogo SAP'!A:F,3,FALSE),"")</f>
        <v>S.VP-01438</v>
      </c>
      <c r="M41" s="162" t="str">
        <f>IF(K41&lt;&gt;"",VLOOKUP(K41,'Catálogo SAP'!A:F,4,FALSE),"")</f>
        <v>Hr Improdutiva Retroescavadeira C/Operador</v>
      </c>
      <c r="N41" s="168" t="str">
        <f>IF(K41&lt;&gt;"",VLOOKUP(K41,'Catálogo SAP'!A:F,5,FALSE),"")</f>
        <v>H</v>
      </c>
      <c r="O41" s="160">
        <v>4</v>
      </c>
      <c r="P41" s="70">
        <f t="shared" si="2"/>
        <v>0</v>
      </c>
      <c r="Q41" s="163" t="e">
        <f t="shared" si="17"/>
        <v>#VALUE!</v>
      </c>
      <c r="R41" s="44" t="str">
        <f>IF(J41&lt;&gt;"",VLOOKUP(J41,'RESUMO DR'!$B$4:$E$253,4,FALSE),"-")</f>
        <v>T-02</v>
      </c>
      <c r="S41" s="58" t="str">
        <f>IF(J41&lt;&gt;"",VLOOKUP(J41,'RESUMO DR'!$B$4:$E$253,3,FALSE),"-")</f>
        <v>ARAGUAINA</v>
      </c>
      <c r="T41" s="129"/>
      <c r="U41" s="129"/>
      <c r="V41" s="129"/>
      <c r="W41" s="128"/>
      <c r="X41" s="127"/>
      <c r="Y41" s="127"/>
      <c r="Z41" s="4"/>
      <c r="AA41" s="38"/>
      <c r="AB41" s="38"/>
    </row>
    <row r="42" spans="1:28" ht="18" customHeight="1">
      <c r="A42" s="5">
        <v>1795</v>
      </c>
      <c r="B42" s="21">
        <v>45643</v>
      </c>
      <c r="C42" s="21" t="s">
        <v>122</v>
      </c>
      <c r="D42" s="74" t="str">
        <f t="shared" si="15"/>
        <v>ter</v>
      </c>
      <c r="E42" s="169">
        <f>IF(K42&lt;&gt;"",VLOOKUP(K42,'Catálogo SAP'!$A$1:$F$245,2,FALSE),"-")</f>
        <v>120</v>
      </c>
      <c r="F42" s="225">
        <v>3760</v>
      </c>
      <c r="G42" s="225">
        <v>3769</v>
      </c>
      <c r="H42" s="226"/>
      <c r="I42" s="230">
        <v>329</v>
      </c>
      <c r="J42" s="162" t="str">
        <f t="shared" si="16"/>
        <v>BABAÇULÂNDIA</v>
      </c>
      <c r="K42" s="16">
        <v>120</v>
      </c>
      <c r="L42" s="167" t="str">
        <f>IF(K42&lt;&gt;"",VLOOKUP(K42,'Catálogo SAP'!A:F,3,FALSE),"")</f>
        <v>S.VP-01437</v>
      </c>
      <c r="M42" s="162" t="str">
        <f>IF(K42&lt;&gt;"",VLOOKUP(K42,'Catálogo SAP'!A:F,4,FALSE),"")</f>
        <v>Hr Produtiva Retroescavadeira C/Operador</v>
      </c>
      <c r="N42" s="168" t="str">
        <f>IF(K42&lt;&gt;"",VLOOKUP(K42,'Catálogo SAP'!A:F,5,FALSE),"")</f>
        <v>H</v>
      </c>
      <c r="O42" s="160">
        <v>9</v>
      </c>
      <c r="P42" s="70">
        <f t="shared" si="2"/>
        <v>9</v>
      </c>
      <c r="Q42" s="163" t="e">
        <f t="shared" si="17"/>
        <v>#VALUE!</v>
      </c>
      <c r="R42" s="44" t="str">
        <f>IF(J42&lt;&gt;"",VLOOKUP(J42,'RESUMO DR'!$B$4:$E$253,4,FALSE),"-")</f>
        <v>T-02</v>
      </c>
      <c r="S42" s="58" t="str">
        <f>IF(J42&lt;&gt;"",VLOOKUP(J42,'RESUMO DR'!$B$4:$E$253,3,FALSE),"-")</f>
        <v>ARAGUAINA</v>
      </c>
      <c r="T42" s="129"/>
      <c r="U42" s="129"/>
      <c r="V42" s="129"/>
      <c r="W42" s="128"/>
      <c r="X42" s="127"/>
      <c r="Y42" s="127"/>
      <c r="Z42" s="4"/>
    </row>
    <row r="43" spans="1:28" ht="20.100000000000001" customHeight="1">
      <c r="A43" s="5"/>
      <c r="B43" s="21">
        <v>45643</v>
      </c>
      <c r="C43" s="21" t="s">
        <v>122</v>
      </c>
      <c r="D43" s="74" t="str">
        <f t="shared" si="15"/>
        <v>ter</v>
      </c>
      <c r="E43" s="169" t="str">
        <f>IF(K43&lt;&gt;"",VLOOKUP(K43,'Catálogo SAP'!$A$1:$F$245,2,FALSE),"-")</f>
        <v>-</v>
      </c>
      <c r="F43" s="225"/>
      <c r="G43" s="225"/>
      <c r="H43" s="226"/>
      <c r="I43" s="230"/>
      <c r="J43" s="162" t="str">
        <f t="shared" si="16"/>
        <v/>
      </c>
      <c r="K43" s="16"/>
      <c r="L43" s="167" t="str">
        <f>IF(K43&lt;&gt;"",VLOOKUP(K43,'Catálogo SAP'!A:F,3,FALSE),"")</f>
        <v/>
      </c>
      <c r="M43" s="162" t="str">
        <f>IF(K43&lt;&gt;"",VLOOKUP(K43,'Catálogo SAP'!A:F,4,FALSE),"")</f>
        <v/>
      </c>
      <c r="N43" s="168" t="str">
        <f>IF(K43&lt;&gt;"",VLOOKUP(K43,'Catálogo SAP'!A:F,5,FALSE),"")</f>
        <v/>
      </c>
      <c r="O43" s="160"/>
      <c r="P43" s="70" t="str">
        <f t="shared" si="2"/>
        <v>-</v>
      </c>
      <c r="Q43" s="163" t="str">
        <f t="shared" si="17"/>
        <v>-</v>
      </c>
      <c r="R43" s="44" t="str">
        <f>IF(J43&lt;&gt;"",VLOOKUP(J43,'RESUMO DR'!$B$4:$E$253,4,FALSE),"-")</f>
        <v>-</v>
      </c>
      <c r="S43" s="58" t="str">
        <f>IF(J43&lt;&gt;"",VLOOKUP(J43,'RESUMO DR'!$B$4:$E$253,3,FALSE),"-")</f>
        <v>-</v>
      </c>
      <c r="T43" s="129"/>
      <c r="U43" s="129"/>
      <c r="V43" s="129"/>
      <c r="W43" s="128"/>
      <c r="X43" s="127"/>
      <c r="Y43" s="127"/>
      <c r="Z43" s="4"/>
    </row>
    <row r="44" spans="1:28" ht="20.100000000000001" customHeight="1">
      <c r="A44" s="5">
        <v>1790</v>
      </c>
      <c r="B44" s="21">
        <v>45643</v>
      </c>
      <c r="C44" s="21" t="s">
        <v>123</v>
      </c>
      <c r="D44" s="74" t="str">
        <f t="shared" ref="D44" si="19">IF(B44="","-",TEXT(B44,"ddd"))</f>
        <v>ter</v>
      </c>
      <c r="E44" s="169">
        <f>IF(K44&lt;&gt;"",VLOOKUP(K44,'Catálogo SAP'!$A$1:$F$245,2,FALSE),"-")</f>
        <v>120</v>
      </c>
      <c r="F44" s="225">
        <v>5792</v>
      </c>
      <c r="G44" s="225">
        <v>5801</v>
      </c>
      <c r="H44" s="226"/>
      <c r="I44" s="230">
        <v>578</v>
      </c>
      <c r="J44" s="162" t="str">
        <f t="shared" si="16"/>
        <v>Tupirama</v>
      </c>
      <c r="K44" s="225">
        <v>120</v>
      </c>
      <c r="L44" s="167" t="str">
        <f>IF(K44&lt;&gt;"",VLOOKUP(K44,'Catálogo SAP'!A:F,3,FALSE),"")</f>
        <v>S.VP-01437</v>
      </c>
      <c r="M44" s="162" t="str">
        <f>IF(K44&lt;&gt;"",VLOOKUP(K44,'Catálogo SAP'!A:F,4,FALSE),"")</f>
        <v>Hr Produtiva Retroescavadeira C/Operador</v>
      </c>
      <c r="N44" s="168" t="str">
        <f>IF(K44&lt;&gt;"",VLOOKUP(K44,'Catálogo SAP'!A:F,5,FALSE),"")</f>
        <v>H</v>
      </c>
      <c r="O44" s="231">
        <v>9</v>
      </c>
      <c r="P44" s="70">
        <f t="shared" si="2"/>
        <v>9</v>
      </c>
      <c r="Q44" s="163" t="e">
        <f t="shared" ref="Q44" si="20">IF(K44="","-",N44*O44)</f>
        <v>#VALUE!</v>
      </c>
      <c r="R44" s="44" t="str">
        <f>IF(J44&lt;&gt;"",VLOOKUP(J44,'RESUMO DR'!$B$4:$E$253,4,FALSE),"-")</f>
        <v>T-03</v>
      </c>
      <c r="S44" s="58" t="str">
        <f>IF(J44&lt;&gt;"",VLOOKUP(J44,'RESUMO DR'!$B$4:$E$253,3,FALSE),"-")</f>
        <v>PALMAS</v>
      </c>
      <c r="T44" s="129"/>
      <c r="U44" s="129"/>
      <c r="V44" s="129"/>
      <c r="W44" s="128"/>
      <c r="X44" s="127"/>
      <c r="Y44" s="127"/>
      <c r="Z44" s="4"/>
    </row>
    <row r="45" spans="1:28" ht="18" customHeight="1">
      <c r="A45" s="5">
        <v>1798</v>
      </c>
      <c r="B45" s="21">
        <v>45643</v>
      </c>
      <c r="C45" s="21" t="s">
        <v>124</v>
      </c>
      <c r="D45" s="74" t="str">
        <f t="shared" si="15"/>
        <v>ter</v>
      </c>
      <c r="E45" s="169">
        <f>IF(K45&lt;&gt;"",VLOOKUP(K45,'Catálogo SAP'!$A$1:$F$245,2,FALSE),"-")</f>
        <v>400</v>
      </c>
      <c r="F45" s="225">
        <v>417767</v>
      </c>
      <c r="G45" s="225">
        <v>417958</v>
      </c>
      <c r="H45" s="226"/>
      <c r="I45" s="230">
        <v>182</v>
      </c>
      <c r="J45" s="162" t="str">
        <f t="shared" si="16"/>
        <v>PORTO FRANCO</v>
      </c>
      <c r="K45" s="16">
        <v>400</v>
      </c>
      <c r="L45" s="167" t="str">
        <f>IF(K45&lt;&gt;"",VLOOKUP(K45,'Catálogo SAP'!A:F,3,FALSE),"")</f>
        <v>S.VP-01461</v>
      </c>
      <c r="M45" s="162" t="str">
        <f>IF(K45&lt;&gt;"",VLOOKUP(K45,'Catálogo SAP'!A:F,4,FALSE),"")</f>
        <v>Km Rodado Carreta Prancha - C/ Motorista</v>
      </c>
      <c r="N45" s="168" t="str">
        <f>IF(K45&lt;&gt;"",VLOOKUP(K45,'Catálogo SAP'!A:F,5,FALSE),"")</f>
        <v>KM</v>
      </c>
      <c r="O45" s="160">
        <v>191</v>
      </c>
      <c r="P45" s="70">
        <f t="shared" si="2"/>
        <v>191</v>
      </c>
      <c r="Q45" s="163" t="e">
        <f t="shared" si="17"/>
        <v>#VALUE!</v>
      </c>
      <c r="R45" s="44" t="str">
        <f>IF(J45&lt;&gt;"",VLOOKUP(J45,'RESUMO DR'!$B$4:$E$253,4,FALSE),"-")</f>
        <v>T-01</v>
      </c>
      <c r="S45" s="58" t="str">
        <f>IF(J45&lt;&gt;"",VLOOKUP(J45,'RESUMO DR'!$B$4:$E$253,3,FALSE),"-")</f>
        <v>IMPERATRIZ</v>
      </c>
      <c r="T45" s="129"/>
      <c r="U45" s="129"/>
      <c r="V45" s="129"/>
      <c r="W45" s="128"/>
      <c r="X45" s="127"/>
      <c r="Y45" s="127"/>
      <c r="Z45" s="4"/>
    </row>
    <row r="46" spans="1:28" ht="13.8">
      <c r="A46" s="5"/>
      <c r="B46" s="21">
        <v>45643</v>
      </c>
      <c r="C46" s="21" t="s">
        <v>124</v>
      </c>
      <c r="D46" s="74" t="str">
        <f t="shared" si="15"/>
        <v>ter</v>
      </c>
      <c r="E46" s="169" t="str">
        <f>IF(K46&lt;&gt;"",VLOOKUP(K46,'Catálogo SAP'!$A$1:$F$245,2,FALSE),"-")</f>
        <v>-</v>
      </c>
      <c r="F46" s="225"/>
      <c r="G46" s="225"/>
      <c r="H46" s="226"/>
      <c r="I46" s="230"/>
      <c r="J46" s="162" t="str">
        <f t="shared" si="16"/>
        <v/>
      </c>
      <c r="K46" s="16"/>
      <c r="L46" s="167" t="str">
        <f>IF(K46&lt;&gt;"",VLOOKUP(K46,'Catálogo SAP'!A:F,3,FALSE),"")</f>
        <v/>
      </c>
      <c r="M46" s="162" t="str">
        <f>IF(K46&lt;&gt;"",VLOOKUP(K46,'Catálogo SAP'!A:F,4,FALSE),"")</f>
        <v/>
      </c>
      <c r="N46" s="168" t="str">
        <f>IF(K46&lt;&gt;"",VLOOKUP(K46,'Catálogo SAP'!A:F,5,FALSE),"")</f>
        <v/>
      </c>
      <c r="O46" s="160"/>
      <c r="P46" s="70" t="str">
        <f t="shared" si="2"/>
        <v>-</v>
      </c>
      <c r="Q46" s="163" t="str">
        <f t="shared" ref="Q46" si="21">IF(K46="","-",N46*O46)</f>
        <v>-</v>
      </c>
      <c r="R46" s="44" t="str">
        <f>IF(J46&lt;&gt;"",VLOOKUP(J46,'RESUMO DR'!$B$4:$E$253,4,FALSE),"-")</f>
        <v>-</v>
      </c>
      <c r="S46" s="58" t="str">
        <f>IF(J46&lt;&gt;"",VLOOKUP(J46,'RESUMO DR'!$B$4:$E$253,3,FALSE),"-")</f>
        <v>-</v>
      </c>
      <c r="T46" s="129"/>
      <c r="U46" s="129"/>
      <c r="V46" s="129"/>
      <c r="W46" s="128"/>
      <c r="X46" s="127"/>
      <c r="Y46" s="127"/>
      <c r="Z46" s="4"/>
    </row>
    <row r="47" spans="1:28" ht="15.75" customHeight="1">
      <c r="A47" s="5">
        <v>1797</v>
      </c>
      <c r="B47" s="21">
        <v>45643</v>
      </c>
      <c r="C47" s="21" t="s">
        <v>314</v>
      </c>
      <c r="D47" s="74" t="str">
        <f t="shared" si="15"/>
        <v>ter</v>
      </c>
      <c r="E47" s="169">
        <f>IF(K47&lt;&gt;"",VLOOKUP(K47,'Catálogo SAP'!$A$1:$F$245,2,FALSE),"-")</f>
        <v>200</v>
      </c>
      <c r="F47" s="225">
        <v>63625</v>
      </c>
      <c r="G47" s="225">
        <v>63858</v>
      </c>
      <c r="H47" s="226"/>
      <c r="I47" s="230">
        <v>163</v>
      </c>
      <c r="J47" s="162" t="str">
        <f t="shared" si="16"/>
        <v>CAMPESTRE</v>
      </c>
      <c r="K47" s="16">
        <v>200</v>
      </c>
      <c r="L47" s="167" t="str">
        <f>IF(K47&lt;&gt;"",VLOOKUP(K47,'Catálogo SAP'!A:F,3,FALSE),"")</f>
        <v>S.VP-01445</v>
      </c>
      <c r="M47" s="162" t="str">
        <f>IF(K47&lt;&gt;"",VLOOKUP(K47,'Catálogo SAP'!A:F,4,FALSE),"")</f>
        <v>Km Rodado Caminhão Basculante - C/Motorista</v>
      </c>
      <c r="N47" s="168" t="str">
        <f>IF(K47&lt;&gt;"",VLOOKUP(K47,'Catálogo SAP'!A:F,5,FALSE),"")</f>
        <v>KM</v>
      </c>
      <c r="O47" s="160">
        <v>233</v>
      </c>
      <c r="P47" s="70">
        <f t="shared" si="2"/>
        <v>233</v>
      </c>
      <c r="Q47" s="163" t="e">
        <f t="shared" si="17"/>
        <v>#VALUE!</v>
      </c>
      <c r="R47" s="44" t="str">
        <f>IF(J47&lt;&gt;"",VLOOKUP(J47,'RESUMO DR'!$B$4:$E$253,4,FALSE),"-")</f>
        <v>T-01</v>
      </c>
      <c r="S47" s="58" t="str">
        <f>IF(J47&lt;&gt;"",VLOOKUP(J47,'RESUMO DR'!$B$4:$E$253,3,FALSE),"-")</f>
        <v>IMPERATRIZ</v>
      </c>
      <c r="T47" s="129"/>
      <c r="U47" s="129"/>
      <c r="V47" s="129"/>
      <c r="W47" s="128"/>
      <c r="X47" s="127"/>
      <c r="Y47" s="127"/>
      <c r="Z47" s="4"/>
    </row>
    <row r="48" spans="1:28" ht="18" customHeight="1">
      <c r="A48" s="5">
        <v>1798</v>
      </c>
      <c r="B48" s="21">
        <v>45643</v>
      </c>
      <c r="C48" s="21" t="s">
        <v>313</v>
      </c>
      <c r="D48" s="74" t="str">
        <f t="shared" si="15"/>
        <v>ter</v>
      </c>
      <c r="E48" s="169">
        <f>IF(K48&lt;&gt;"",VLOOKUP(K48,'Catálogo SAP'!$A$1:$F$245,2,FALSE),"-")</f>
        <v>200</v>
      </c>
      <c r="F48" s="225">
        <v>59889</v>
      </c>
      <c r="G48" s="225">
        <v>60204</v>
      </c>
      <c r="H48" s="226"/>
      <c r="I48" s="230">
        <v>182</v>
      </c>
      <c r="J48" s="162" t="str">
        <f t="shared" si="16"/>
        <v>PORTO FRANCO</v>
      </c>
      <c r="K48" s="16">
        <v>200</v>
      </c>
      <c r="L48" s="167" t="str">
        <f>IF(K48&lt;&gt;"",VLOOKUP(K48,'Catálogo SAP'!A:F,3,FALSE),"")</f>
        <v>S.VP-01445</v>
      </c>
      <c r="M48" s="162" t="str">
        <f>IF(K48&lt;&gt;"",VLOOKUP(K48,'Catálogo SAP'!A:F,4,FALSE),"")</f>
        <v>Km Rodado Caminhão Basculante - C/Motorista</v>
      </c>
      <c r="N48" s="168" t="str">
        <f>IF(K48&lt;&gt;"",VLOOKUP(K48,'Catálogo SAP'!A:F,5,FALSE),"")</f>
        <v>KM</v>
      </c>
      <c r="O48" s="160">
        <v>315</v>
      </c>
      <c r="P48" s="70">
        <f t="shared" si="2"/>
        <v>315</v>
      </c>
      <c r="Q48" s="163" t="e">
        <f t="shared" si="17"/>
        <v>#VALUE!</v>
      </c>
      <c r="R48" s="44" t="str">
        <f>IF(J48&lt;&gt;"",VLOOKUP(J48,'RESUMO DR'!$B$4:$E$253,4,FALSE),"-")</f>
        <v>T-01</v>
      </c>
      <c r="S48" s="58" t="str">
        <f>IF(J48&lt;&gt;"",VLOOKUP(J48,'RESUMO DR'!$B$4:$E$253,3,FALSE),"-")</f>
        <v>IMPERATRIZ</v>
      </c>
      <c r="T48" s="129"/>
      <c r="U48" s="129"/>
      <c r="V48" s="129"/>
      <c r="W48" s="128"/>
      <c r="X48" s="127"/>
      <c r="Y48" s="127"/>
      <c r="Z48" s="4"/>
    </row>
    <row r="49" spans="1:26" ht="19.5" customHeight="1">
      <c r="A49" s="5">
        <v>1794</v>
      </c>
      <c r="B49" s="21">
        <v>45643</v>
      </c>
      <c r="C49" s="21" t="s">
        <v>127</v>
      </c>
      <c r="D49" s="74" t="str">
        <f t="shared" si="15"/>
        <v>ter</v>
      </c>
      <c r="E49" s="169">
        <f>IF(K49&lt;&gt;"",VLOOKUP(K49,'Catálogo SAP'!$A$1:$F$245,2,FALSE),"-")</f>
        <v>200</v>
      </c>
      <c r="F49" s="225">
        <v>47625</v>
      </c>
      <c r="G49" s="225">
        <v>47700</v>
      </c>
      <c r="H49" s="226"/>
      <c r="I49" s="230">
        <v>442</v>
      </c>
      <c r="J49" s="162" t="str">
        <f t="shared" si="16"/>
        <v>Palmeirante</v>
      </c>
      <c r="K49" s="16">
        <v>200</v>
      </c>
      <c r="L49" s="167" t="str">
        <f>IF(K49&lt;&gt;"",VLOOKUP(K49,'Catálogo SAP'!A:F,3,FALSE),"")</f>
        <v>S.VP-01445</v>
      </c>
      <c r="M49" s="162" t="str">
        <f>IF(K49&lt;&gt;"",VLOOKUP(K49,'Catálogo SAP'!A:F,4,FALSE),"")</f>
        <v>Km Rodado Caminhão Basculante - C/Motorista</v>
      </c>
      <c r="N49" s="168" t="str">
        <f>IF(K49&lt;&gt;"",VLOOKUP(K49,'Catálogo SAP'!A:F,5,FALSE),"")</f>
        <v>KM</v>
      </c>
      <c r="O49" s="160">
        <v>75</v>
      </c>
      <c r="P49" s="70">
        <f t="shared" si="2"/>
        <v>75</v>
      </c>
      <c r="Q49" s="163" t="e">
        <f t="shared" si="17"/>
        <v>#VALUE!</v>
      </c>
      <c r="R49" s="44" t="str">
        <f>IF(J49&lt;&gt;"",VLOOKUP(J49,'RESUMO DR'!$B$4:$E$253,4,FALSE),"-")</f>
        <v>T-02</v>
      </c>
      <c r="S49" s="58" t="str">
        <f>IF(J49&lt;&gt;"",VLOOKUP(J49,'RESUMO DR'!$B$4:$E$253,3,FALSE),"-")</f>
        <v>ARAGUAINA</v>
      </c>
      <c r="T49" s="129"/>
      <c r="U49" s="129"/>
      <c r="V49" s="129"/>
      <c r="W49" s="128"/>
      <c r="X49" s="127"/>
      <c r="Y49" s="127"/>
      <c r="Z49" s="4"/>
    </row>
    <row r="50" spans="1:26" ht="18" customHeight="1">
      <c r="A50" s="5">
        <v>1800</v>
      </c>
      <c r="B50" s="21">
        <v>45643</v>
      </c>
      <c r="C50" s="21" t="s">
        <v>307</v>
      </c>
      <c r="D50" s="74" t="str">
        <f t="shared" si="15"/>
        <v>ter</v>
      </c>
      <c r="E50" s="169">
        <f>IF(K50&lt;&gt;"",VLOOKUP(K50,'Catálogo SAP'!$A$1:$F$245,2,FALSE),"-")</f>
        <v>200</v>
      </c>
      <c r="F50" s="225">
        <v>63020</v>
      </c>
      <c r="G50" s="225">
        <v>63407</v>
      </c>
      <c r="H50" s="226"/>
      <c r="I50" s="230">
        <v>122</v>
      </c>
      <c r="J50" s="162" t="str">
        <f t="shared" si="16"/>
        <v>EDSON LOBÃO</v>
      </c>
      <c r="K50" s="16">
        <v>200</v>
      </c>
      <c r="L50" s="167" t="str">
        <f>IF(K50&lt;&gt;"",VLOOKUP(K50,'Catálogo SAP'!A:F,3,FALSE),"")</f>
        <v>S.VP-01445</v>
      </c>
      <c r="M50" s="162" t="str">
        <f>IF(K50&lt;&gt;"",VLOOKUP(K50,'Catálogo SAP'!A:F,4,FALSE),"")</f>
        <v>Km Rodado Caminhão Basculante - C/Motorista</v>
      </c>
      <c r="N50" s="168" t="str">
        <f>IF(K50&lt;&gt;"",VLOOKUP(K50,'Catálogo SAP'!A:F,5,FALSE),"")</f>
        <v>KM</v>
      </c>
      <c r="O50" s="160">
        <v>387</v>
      </c>
      <c r="P50" s="70">
        <f t="shared" si="2"/>
        <v>387</v>
      </c>
      <c r="Q50" s="163" t="e">
        <f t="shared" si="17"/>
        <v>#VALUE!</v>
      </c>
      <c r="R50" s="44" t="str">
        <f>IF(J50&lt;&gt;"",VLOOKUP(J50,'RESUMO DR'!$B$4:$E$253,4,FALSE),"-")</f>
        <v>T-01</v>
      </c>
      <c r="S50" s="58" t="str">
        <f>IF(J50&lt;&gt;"",VLOOKUP(J50,'RESUMO DR'!$B$4:$E$253,3,FALSE),"-")</f>
        <v>IMPERATRIZ</v>
      </c>
      <c r="T50" s="129"/>
      <c r="U50" s="129"/>
      <c r="V50" s="129"/>
      <c r="W50" s="128"/>
      <c r="X50" s="127"/>
      <c r="Y50" s="127"/>
      <c r="Z50" s="4"/>
    </row>
    <row r="51" spans="1:26" ht="18" customHeight="1">
      <c r="A51" s="5">
        <v>1800</v>
      </c>
      <c r="B51" s="21">
        <v>45643</v>
      </c>
      <c r="C51" s="21" t="s">
        <v>308</v>
      </c>
      <c r="D51" s="74" t="str">
        <f t="shared" si="15"/>
        <v>ter</v>
      </c>
      <c r="E51" s="169">
        <f>IF(K51&lt;&gt;"",VLOOKUP(K51,'Catálogo SAP'!$A$1:$F$245,2,FALSE),"-")</f>
        <v>200</v>
      </c>
      <c r="F51" s="16">
        <v>63142</v>
      </c>
      <c r="G51" s="16">
        <v>63514</v>
      </c>
      <c r="H51" s="22"/>
      <c r="I51" s="133">
        <v>122</v>
      </c>
      <c r="J51" s="162" t="str">
        <f t="shared" si="16"/>
        <v>EDSON LOBÃO</v>
      </c>
      <c r="K51" s="16">
        <v>200</v>
      </c>
      <c r="L51" s="167" t="str">
        <f>IF(K51&lt;&gt;"",VLOOKUP(K51,'Catálogo SAP'!A:F,3,FALSE),"")</f>
        <v>S.VP-01445</v>
      </c>
      <c r="M51" s="162" t="str">
        <f>IF(K51&lt;&gt;"",VLOOKUP(K51,'Catálogo SAP'!A:F,4,FALSE),"")</f>
        <v>Km Rodado Caminhão Basculante - C/Motorista</v>
      </c>
      <c r="N51" s="168" t="str">
        <f>IF(K51&lt;&gt;"",VLOOKUP(K51,'Catálogo SAP'!A:F,5,FALSE),"")</f>
        <v>KM</v>
      </c>
      <c r="O51" s="160">
        <v>372</v>
      </c>
      <c r="P51" s="70">
        <f t="shared" si="2"/>
        <v>372</v>
      </c>
      <c r="Q51" s="163" t="e">
        <f t="shared" si="17"/>
        <v>#VALUE!</v>
      </c>
      <c r="R51" s="44" t="str">
        <f>IF(J51&lt;&gt;"",VLOOKUP(J51,'RESUMO DR'!$B$4:$E$253,4,FALSE),"-")</f>
        <v>T-01</v>
      </c>
      <c r="S51" s="58" t="str">
        <f>IF(J51&lt;&gt;"",VLOOKUP(J51,'RESUMO DR'!$B$4:$E$253,3,FALSE),"-")</f>
        <v>IMPERATRIZ</v>
      </c>
      <c r="T51" s="129"/>
      <c r="U51" s="181"/>
      <c r="V51" s="129"/>
      <c r="W51" s="128"/>
      <c r="X51" s="127"/>
      <c r="Y51" s="127"/>
      <c r="Z51" s="4"/>
    </row>
    <row r="52" spans="1:26" ht="18" customHeight="1">
      <c r="A52" s="5">
        <v>1790</v>
      </c>
      <c r="B52" s="21">
        <v>45643</v>
      </c>
      <c r="C52" s="21" t="s">
        <v>129</v>
      </c>
      <c r="D52" s="74" t="str">
        <f t="shared" si="15"/>
        <v>ter</v>
      </c>
      <c r="E52" s="169">
        <f>IF(K52&lt;&gt;"",VLOOKUP(K52,'Catálogo SAP'!$A$1:$F$245,2,FALSE),"-")</f>
        <v>200</v>
      </c>
      <c r="F52" s="16">
        <v>80029</v>
      </c>
      <c r="G52" s="16">
        <v>80116</v>
      </c>
      <c r="H52" s="22"/>
      <c r="I52" s="133">
        <v>578</v>
      </c>
      <c r="J52" s="162" t="str">
        <f t="shared" si="16"/>
        <v>Tupirama</v>
      </c>
      <c r="K52" s="16">
        <v>200</v>
      </c>
      <c r="L52" s="167" t="str">
        <f>IF(K52&lt;&gt;"",VLOOKUP(K52,'Catálogo SAP'!A:F,3,FALSE),"")</f>
        <v>S.VP-01445</v>
      </c>
      <c r="M52" s="162" t="str">
        <f>IF(K52&lt;&gt;"",VLOOKUP(K52,'Catálogo SAP'!A:F,4,FALSE),"")</f>
        <v>Km Rodado Caminhão Basculante - C/Motorista</v>
      </c>
      <c r="N52" s="168" t="str">
        <f>IF(K52&lt;&gt;"",VLOOKUP(K52,'Catálogo SAP'!A:F,5,FALSE),"")</f>
        <v>KM</v>
      </c>
      <c r="O52" s="160">
        <v>87</v>
      </c>
      <c r="P52" s="70">
        <f t="shared" si="2"/>
        <v>87</v>
      </c>
      <c r="Q52" s="163" t="e">
        <f t="shared" si="17"/>
        <v>#VALUE!</v>
      </c>
      <c r="R52" s="44" t="str">
        <f>IF(J52&lt;&gt;"",VLOOKUP(J52,'RESUMO DR'!$B$4:$E$253,4,FALSE),"-")</f>
        <v>T-03</v>
      </c>
      <c r="S52" s="58" t="str">
        <f>IF(J52&lt;&gt;"",VLOOKUP(J52,'RESUMO DR'!$B$4:$E$253,3,FALSE),"-")</f>
        <v>PALMAS</v>
      </c>
      <c r="T52" s="129"/>
      <c r="U52" s="129"/>
      <c r="V52" s="129"/>
      <c r="W52" s="128"/>
      <c r="X52" s="127"/>
      <c r="Y52" s="127"/>
      <c r="Z52" s="4"/>
    </row>
    <row r="53" spans="1:26" ht="18" customHeight="1">
      <c r="A53" s="5">
        <v>1800</v>
      </c>
      <c r="B53" s="21">
        <v>45643</v>
      </c>
      <c r="C53" s="21" t="s">
        <v>298</v>
      </c>
      <c r="D53" s="74" t="str">
        <f t="shared" si="15"/>
        <v>ter</v>
      </c>
      <c r="E53" s="169">
        <f>IF(K53&lt;&gt;"",VLOOKUP(K53,'Catálogo SAP'!$A$1:$F$245,2,FALSE),"-")</f>
        <v>160</v>
      </c>
      <c r="F53" s="225">
        <v>495</v>
      </c>
      <c r="G53" s="225">
        <v>504</v>
      </c>
      <c r="H53" s="226"/>
      <c r="I53" s="230">
        <v>122</v>
      </c>
      <c r="J53" s="162" t="str">
        <f t="shared" si="16"/>
        <v>EDSON LOBÃO</v>
      </c>
      <c r="K53" s="16">
        <v>160</v>
      </c>
      <c r="L53" s="167" t="str">
        <f>IF(K53&lt;&gt;"",VLOOKUP(K53,'Catálogo SAP'!A:F,3,FALSE),"")</f>
        <v>S.VP-01441</v>
      </c>
      <c r="M53" s="162" t="str">
        <f>IF(K53&lt;&gt;"",VLOOKUP(K53,'Catálogo SAP'!A:F,4,FALSE),"")</f>
        <v>Hora Produtiva Pa Carregadeira C/Operador</v>
      </c>
      <c r="N53" s="168" t="str">
        <f>IF(K53&lt;&gt;"",VLOOKUP(K53,'Catálogo SAP'!A:F,5,FALSE),"")</f>
        <v>H</v>
      </c>
      <c r="O53" s="160">
        <v>9</v>
      </c>
      <c r="P53" s="70">
        <f t="shared" si="2"/>
        <v>9</v>
      </c>
      <c r="Q53" s="163" t="e">
        <f t="shared" si="17"/>
        <v>#VALUE!</v>
      </c>
      <c r="R53" s="44" t="str">
        <f>IF(J53&lt;&gt;"",VLOOKUP(J53,'RESUMO DR'!$B$4:$E$253,4,FALSE),"-")</f>
        <v>T-01</v>
      </c>
      <c r="S53" s="58" t="str">
        <f>IF(J53&lt;&gt;"",VLOOKUP(J53,'RESUMO DR'!$B$4:$E$253,3,FALSE),"-")</f>
        <v>IMPERATRIZ</v>
      </c>
      <c r="T53" s="129"/>
      <c r="U53" s="129"/>
      <c r="V53" s="129"/>
      <c r="W53" s="128"/>
      <c r="X53" s="127"/>
      <c r="Y53" s="127"/>
      <c r="Z53" s="4"/>
    </row>
    <row r="54" spans="1:26" ht="18" customHeight="1">
      <c r="A54" s="5">
        <v>1798</v>
      </c>
      <c r="B54" s="21">
        <v>45643</v>
      </c>
      <c r="C54" s="21" t="s">
        <v>131</v>
      </c>
      <c r="D54" s="74" t="str">
        <f t="shared" si="15"/>
        <v>ter</v>
      </c>
      <c r="E54" s="169">
        <f>IF(K54&lt;&gt;"",VLOOKUP(K54,'Catálogo SAP'!$A$1:$F$245,2,FALSE),"-")</f>
        <v>520</v>
      </c>
      <c r="F54" s="225">
        <v>10515</v>
      </c>
      <c r="G54" s="225">
        <v>10523</v>
      </c>
      <c r="H54" s="226"/>
      <c r="I54" s="230">
        <v>195</v>
      </c>
      <c r="J54" s="162" t="str">
        <f t="shared" si="16"/>
        <v>PORTO FRANCO</v>
      </c>
      <c r="K54" s="16">
        <v>520</v>
      </c>
      <c r="L54" s="167" t="str">
        <f>IF(K54&lt;&gt;"",VLOOKUP(K54,'Catálogo SAP'!A:F,3,FALSE),"")</f>
        <v>S.VP-01469</v>
      </c>
      <c r="M54" s="162" t="str">
        <f>IF(K54&lt;&gt;"",VLOOKUP(K54,'Catálogo SAP'!A:F,4,FALSE),"")</f>
        <v>Hora Produtiva Escavadeira Hidraulica</v>
      </c>
      <c r="N54" s="168" t="str">
        <f>IF(K54&lt;&gt;"",VLOOKUP(K54,'Catálogo SAP'!A:F,5,FALSE),"")</f>
        <v>H</v>
      </c>
      <c r="O54" s="160">
        <v>8</v>
      </c>
      <c r="P54" s="70">
        <f t="shared" si="2"/>
        <v>8</v>
      </c>
      <c r="Q54" s="163" t="e">
        <f t="shared" si="17"/>
        <v>#VALUE!</v>
      </c>
      <c r="R54" s="44" t="str">
        <f>IF(J54&lt;&gt;"",VLOOKUP(J54,'RESUMO DR'!$B$4:$E$253,4,FALSE),"-")</f>
        <v>T-01</v>
      </c>
      <c r="S54" s="58" t="str">
        <f>IF(J54&lt;&gt;"",VLOOKUP(J54,'RESUMO DR'!$B$4:$E$253,3,FALSE),"-")</f>
        <v>IMPERATRIZ</v>
      </c>
      <c r="T54" s="129"/>
      <c r="U54" s="129"/>
      <c r="V54" s="129"/>
      <c r="W54" s="128"/>
      <c r="X54" s="127"/>
      <c r="Y54" s="127"/>
      <c r="Z54" s="4"/>
    </row>
    <row r="55" spans="1:26" ht="18" customHeight="1">
      <c r="A55" s="5">
        <v>1798</v>
      </c>
      <c r="B55" s="21">
        <v>45643</v>
      </c>
      <c r="C55" s="21" t="s">
        <v>131</v>
      </c>
      <c r="D55" s="74" t="str">
        <f t="shared" si="15"/>
        <v>ter</v>
      </c>
      <c r="E55" s="169">
        <f>IF(K55&lt;&gt;"",VLOOKUP(K55,'Catálogo SAP'!$A$1:$F$245,2,FALSE),"-")</f>
        <v>530</v>
      </c>
      <c r="F55" s="225">
        <v>10523</v>
      </c>
      <c r="G55" s="225">
        <v>10523</v>
      </c>
      <c r="H55" s="226"/>
      <c r="I55" s="230">
        <v>195</v>
      </c>
      <c r="J55" s="162" t="str">
        <f t="shared" si="16"/>
        <v>PORTO FRANCO</v>
      </c>
      <c r="K55" s="16">
        <v>530</v>
      </c>
      <c r="L55" s="167" t="str">
        <f>IF(K55&lt;&gt;"",VLOOKUP(K55,'Catálogo SAP'!A:F,3,FALSE),"")</f>
        <v>S.VP-01470</v>
      </c>
      <c r="M55" s="162" t="str">
        <f>IF(K55&lt;&gt;"",VLOOKUP(K55,'Catálogo SAP'!A:F,4,FALSE),"")</f>
        <v>Hora Improdutiva Escavadeira Hidraulica</v>
      </c>
      <c r="N55" s="168" t="str">
        <f>IF(K55&lt;&gt;"",VLOOKUP(K55,'Catálogo SAP'!A:F,5,FALSE),"")</f>
        <v>H</v>
      </c>
      <c r="O55" s="160">
        <v>1</v>
      </c>
      <c r="P55" s="70">
        <f t="shared" si="2"/>
        <v>0</v>
      </c>
      <c r="Q55" s="163" t="e">
        <f t="shared" si="17"/>
        <v>#VALUE!</v>
      </c>
      <c r="R55" s="44" t="str">
        <f>IF(J55&lt;&gt;"",VLOOKUP(J55,'RESUMO DR'!$B$4:$E$253,4,FALSE),"-")</f>
        <v>T-01</v>
      </c>
      <c r="S55" s="58" t="str">
        <f>IF(J55&lt;&gt;"",VLOOKUP(J55,'RESUMO DR'!$B$4:$E$253,3,FALSE),"-")</f>
        <v>IMPERATRIZ</v>
      </c>
      <c r="T55" s="129"/>
      <c r="U55" s="129"/>
      <c r="V55" s="129"/>
      <c r="W55" s="128"/>
      <c r="X55" s="127"/>
      <c r="Y55" s="127"/>
      <c r="Z55" s="4"/>
    </row>
    <row r="56" spans="1:26" ht="18" customHeight="1">
      <c r="A56" s="5">
        <v>1794</v>
      </c>
      <c r="B56" s="21">
        <v>45643</v>
      </c>
      <c r="C56" s="21" t="s">
        <v>311</v>
      </c>
      <c r="D56" s="74" t="str">
        <f t="shared" si="15"/>
        <v>ter</v>
      </c>
      <c r="E56" s="169">
        <f>IF(K56&lt;&gt;"",VLOOKUP(K56,'Catálogo SAP'!$A$1:$F$245,2,FALSE),"-")</f>
        <v>120</v>
      </c>
      <c r="F56" s="16">
        <v>1100</v>
      </c>
      <c r="G56" s="16">
        <v>1109</v>
      </c>
      <c r="H56" s="22"/>
      <c r="I56" s="133">
        <v>442</v>
      </c>
      <c r="J56" s="162" t="str">
        <f t="shared" si="16"/>
        <v>Palmeirante</v>
      </c>
      <c r="K56" s="16">
        <v>120</v>
      </c>
      <c r="L56" s="167" t="str">
        <f>IF(K56&lt;&gt;"",VLOOKUP(K56,'Catálogo SAP'!A:F,3,FALSE),"")</f>
        <v>S.VP-01437</v>
      </c>
      <c r="M56" s="162" t="str">
        <f>IF(K56&lt;&gt;"",VLOOKUP(K56,'Catálogo SAP'!A:F,4,FALSE),"")</f>
        <v>Hr Produtiva Retroescavadeira C/Operador</v>
      </c>
      <c r="N56" s="168" t="str">
        <f>IF(K56&lt;&gt;"",VLOOKUP(K56,'Catálogo SAP'!A:F,5,FALSE),"")</f>
        <v>H</v>
      </c>
      <c r="O56" s="160">
        <v>9</v>
      </c>
      <c r="P56" s="70">
        <f t="shared" si="2"/>
        <v>9</v>
      </c>
      <c r="Q56" s="163" t="e">
        <f t="shared" si="17"/>
        <v>#VALUE!</v>
      </c>
      <c r="R56" s="44" t="str">
        <f>IF(J56&lt;&gt;"",VLOOKUP(J56,'RESUMO DR'!$B$4:$E$253,4,FALSE),"-")</f>
        <v>T-02</v>
      </c>
      <c r="S56" s="58" t="str">
        <f>IF(J56&lt;&gt;"",VLOOKUP(J56,'RESUMO DR'!$B$4:$E$253,3,FALSE),"-")</f>
        <v>ARAGUAINA</v>
      </c>
      <c r="T56" s="129"/>
      <c r="U56" s="129"/>
      <c r="V56" s="129"/>
      <c r="W56" s="128"/>
      <c r="X56" s="127"/>
      <c r="Y56" s="127"/>
      <c r="Z56" s="4"/>
    </row>
    <row r="57" spans="1:26" ht="18" customHeight="1">
      <c r="A57" s="5"/>
      <c r="B57" s="21">
        <v>45643</v>
      </c>
      <c r="C57" s="21" t="s">
        <v>311</v>
      </c>
      <c r="D57" s="74" t="str">
        <f t="shared" si="15"/>
        <v>ter</v>
      </c>
      <c r="E57" s="169" t="str">
        <f>IF(K57&lt;&gt;"",VLOOKUP(K57,'Catálogo SAP'!$A$1:$F$245,2,FALSE),"-")</f>
        <v>-</v>
      </c>
      <c r="F57" s="225"/>
      <c r="G57" s="225"/>
      <c r="H57" s="226"/>
      <c r="I57" s="230"/>
      <c r="J57" s="162" t="str">
        <f t="shared" si="16"/>
        <v/>
      </c>
      <c r="K57" s="16"/>
      <c r="L57" s="167" t="str">
        <f>IF(K57&lt;&gt;"",VLOOKUP(K57,'Catálogo SAP'!A:F,3,FALSE),"")</f>
        <v/>
      </c>
      <c r="M57" s="162" t="str">
        <f>IF(K57&lt;&gt;"",VLOOKUP(K57,'Catálogo SAP'!A:F,4,FALSE),"")</f>
        <v/>
      </c>
      <c r="N57" s="168" t="str">
        <f>IF(K57&lt;&gt;"",VLOOKUP(K57,'Catálogo SAP'!A:F,5,FALSE),"")</f>
        <v/>
      </c>
      <c r="O57" s="160"/>
      <c r="P57" s="70" t="str">
        <f t="shared" si="2"/>
        <v>-</v>
      </c>
      <c r="Q57" s="163" t="str">
        <f t="shared" si="17"/>
        <v>-</v>
      </c>
      <c r="R57" s="44" t="str">
        <f>IF(J57&lt;&gt;"",VLOOKUP(J57,'RESUMO DR'!$B$4:$E$253,4,FALSE),"-")</f>
        <v>-</v>
      </c>
      <c r="S57" s="58" t="str">
        <f>IF(J57&lt;&gt;"",VLOOKUP(J57,'RESUMO DR'!$B$4:$E$253,3,FALSE),"-")</f>
        <v>-</v>
      </c>
      <c r="T57" s="129"/>
      <c r="U57" s="129"/>
      <c r="V57" s="129"/>
      <c r="W57" s="128"/>
      <c r="X57" s="127"/>
      <c r="Y57" s="127"/>
      <c r="Z57" s="4"/>
    </row>
    <row r="58" spans="1:26" ht="18" customHeight="1">
      <c r="A58" s="5">
        <v>1794</v>
      </c>
      <c r="B58" s="21">
        <v>45643</v>
      </c>
      <c r="C58" s="21" t="s">
        <v>305</v>
      </c>
      <c r="D58" s="74" t="str">
        <f t="shared" si="15"/>
        <v>ter</v>
      </c>
      <c r="E58" s="169">
        <f>IF(K58&lt;&gt;"",VLOOKUP(K58,'Catálogo SAP'!$A$1:$F$245,2,FALSE),"-")</f>
        <v>280</v>
      </c>
      <c r="F58" s="225">
        <v>160</v>
      </c>
      <c r="G58" s="225">
        <v>169</v>
      </c>
      <c r="H58" s="226"/>
      <c r="I58" s="230">
        <v>442</v>
      </c>
      <c r="J58" s="162" t="str">
        <f t="shared" si="16"/>
        <v>Palmeirante</v>
      </c>
      <c r="K58" s="16">
        <v>280</v>
      </c>
      <c r="L58" s="167" t="str">
        <f>IF(K58&lt;&gt;"",VLOOKUP(K58,'Catálogo SAP'!A:F,3,FALSE),"")</f>
        <v>S.VP-01453</v>
      </c>
      <c r="M58" s="162" t="str">
        <f>IF(K58&lt;&gt;"",VLOOKUP(K58,'Catálogo SAP'!A:F,4,FALSE),"")</f>
        <v>Hora Produtiva Motoniveladora C/Operador</v>
      </c>
      <c r="N58" s="168" t="str">
        <f>IF(K58&lt;&gt;"",VLOOKUP(K58,'Catálogo SAP'!A:F,5,FALSE),"")</f>
        <v>H</v>
      </c>
      <c r="O58" s="160">
        <v>9</v>
      </c>
      <c r="P58" s="70">
        <f t="shared" si="2"/>
        <v>9</v>
      </c>
      <c r="Q58" s="163" t="e">
        <f t="shared" si="17"/>
        <v>#VALUE!</v>
      </c>
      <c r="R58" s="44" t="str">
        <f>IF(J58&lt;&gt;"",VLOOKUP(J58,'RESUMO DR'!$B$4:$E$253,4,FALSE),"-")</f>
        <v>T-02</v>
      </c>
      <c r="S58" s="58" t="str">
        <f>IF(J58&lt;&gt;"",VLOOKUP(J58,'RESUMO DR'!$B$4:$E$253,3,FALSE),"-")</f>
        <v>ARAGUAINA</v>
      </c>
      <c r="T58" s="129"/>
      <c r="U58" s="129"/>
      <c r="V58" s="129"/>
      <c r="W58" s="128"/>
      <c r="X58" s="127"/>
      <c r="Y58" s="127"/>
      <c r="Z58" s="4"/>
    </row>
    <row r="59" spans="1:26" ht="18.75" customHeight="1">
      <c r="A59" s="5"/>
      <c r="B59" s="21">
        <v>45643</v>
      </c>
      <c r="C59" s="21" t="s">
        <v>305</v>
      </c>
      <c r="D59" s="74" t="str">
        <f t="shared" si="15"/>
        <v>ter</v>
      </c>
      <c r="E59" s="169" t="str">
        <f>IF(K59&lt;&gt;"",VLOOKUP(K59,'Catálogo SAP'!$A$1:$F$245,2,FALSE),"-")</f>
        <v>-</v>
      </c>
      <c r="F59" s="16"/>
      <c r="G59" s="16"/>
      <c r="H59" s="22"/>
      <c r="I59" s="133"/>
      <c r="J59" s="162" t="str">
        <f t="shared" si="16"/>
        <v/>
      </c>
      <c r="K59" s="16"/>
      <c r="L59" s="167" t="str">
        <f>IF(K59&lt;&gt;"",VLOOKUP(K59,'Catálogo SAP'!A:F,3,FALSE),"")</f>
        <v/>
      </c>
      <c r="M59" s="162" t="str">
        <f>IF(K59&lt;&gt;"",VLOOKUP(K59,'Catálogo SAP'!A:F,4,FALSE),"")</f>
        <v/>
      </c>
      <c r="N59" s="168" t="str">
        <f>IF(K59&lt;&gt;"",VLOOKUP(K59,'Catálogo SAP'!A:F,5,FALSE),"")</f>
        <v/>
      </c>
      <c r="O59" s="160"/>
      <c r="P59" s="70" t="str">
        <f t="shared" si="2"/>
        <v>-</v>
      </c>
      <c r="Q59" s="163" t="str">
        <f t="shared" si="17"/>
        <v>-</v>
      </c>
      <c r="R59" s="44" t="str">
        <f>IF(J59&lt;&gt;"",VLOOKUP(J59,'RESUMO DR'!$B$4:$E$253,4,FALSE),"-")</f>
        <v>-</v>
      </c>
      <c r="S59" s="58" t="str">
        <f>IF(J59&lt;&gt;"",VLOOKUP(J59,'RESUMO DR'!$B$4:$E$253,3,FALSE),"-")</f>
        <v>-</v>
      </c>
      <c r="T59" s="129"/>
      <c r="U59" s="129"/>
      <c r="V59" s="129"/>
      <c r="W59" s="128"/>
      <c r="X59" s="127"/>
      <c r="Y59" s="127"/>
      <c r="Z59" s="4"/>
    </row>
    <row r="60" spans="1:26" ht="18" customHeight="1">
      <c r="A60" s="5">
        <v>1792</v>
      </c>
      <c r="B60" s="21">
        <v>45643</v>
      </c>
      <c r="C60" s="21" t="s">
        <v>301</v>
      </c>
      <c r="D60" s="74" t="str">
        <f t="shared" si="15"/>
        <v>ter</v>
      </c>
      <c r="E60" s="169">
        <f>IF(K60&lt;&gt;"",VLOOKUP(K60,'Catálogo SAP'!$A$1:$F$245,2,FALSE),"-")</f>
        <v>160</v>
      </c>
      <c r="F60" s="225">
        <v>118</v>
      </c>
      <c r="G60" s="16">
        <v>124</v>
      </c>
      <c r="H60" s="226"/>
      <c r="I60" s="230">
        <v>563</v>
      </c>
      <c r="J60" s="162" t="str">
        <f t="shared" si="16"/>
        <v>Tupirama</v>
      </c>
      <c r="K60" s="16">
        <v>160</v>
      </c>
      <c r="L60" s="167" t="str">
        <f>IF(K60&lt;&gt;"",VLOOKUP(K60,'Catálogo SAP'!A:F,3,FALSE),"")</f>
        <v>S.VP-01441</v>
      </c>
      <c r="M60" s="162" t="str">
        <f>IF(K60&lt;&gt;"",VLOOKUP(K60,'Catálogo SAP'!A:F,4,FALSE),"")</f>
        <v>Hora Produtiva Pa Carregadeira C/Operador</v>
      </c>
      <c r="N60" s="168" t="str">
        <f>IF(K60&lt;&gt;"",VLOOKUP(K60,'Catálogo SAP'!A:F,5,FALSE),"")</f>
        <v>H</v>
      </c>
      <c r="O60" s="160">
        <v>6</v>
      </c>
      <c r="P60" s="70">
        <f t="shared" si="2"/>
        <v>6</v>
      </c>
      <c r="Q60" s="163" t="e">
        <f t="shared" si="17"/>
        <v>#VALUE!</v>
      </c>
      <c r="R60" s="44" t="str">
        <f>IF(J60&lt;&gt;"",VLOOKUP(J60,'RESUMO DR'!$B$4:$E$253,4,FALSE),"-")</f>
        <v>T-03</v>
      </c>
      <c r="S60" s="58" t="str">
        <f>IF(J60&lt;&gt;"",VLOOKUP(J60,'RESUMO DR'!$B$4:$E$253,3,FALSE),"-")</f>
        <v>PALMAS</v>
      </c>
      <c r="T60" s="129"/>
      <c r="U60" s="129"/>
      <c r="V60" s="129"/>
      <c r="W60" s="128"/>
      <c r="X60" s="127"/>
      <c r="Y60" s="127"/>
      <c r="Z60" s="4"/>
    </row>
    <row r="61" spans="1:26" ht="18" customHeight="1">
      <c r="A61" s="5">
        <v>1792</v>
      </c>
      <c r="B61" s="21">
        <v>45643</v>
      </c>
      <c r="C61" s="21" t="s">
        <v>301</v>
      </c>
      <c r="D61" s="74" t="str">
        <f t="shared" si="15"/>
        <v>ter</v>
      </c>
      <c r="E61" s="169">
        <f>IF(K61&lt;&gt;"",VLOOKUP(K61,'Catálogo SAP'!$A$1:$F$245,2,FALSE),"-")</f>
        <v>170</v>
      </c>
      <c r="F61" s="16">
        <v>124</v>
      </c>
      <c r="G61" s="16">
        <v>124</v>
      </c>
      <c r="H61" s="22"/>
      <c r="I61" s="133">
        <v>563</v>
      </c>
      <c r="J61" s="162" t="str">
        <f t="shared" si="16"/>
        <v>Tupirama</v>
      </c>
      <c r="K61" s="16">
        <v>170</v>
      </c>
      <c r="L61" s="167" t="str">
        <f>IF(K61&lt;&gt;"",VLOOKUP(K61,'Catálogo SAP'!A:F,3,FALSE),"")</f>
        <v>S.VP-01442</v>
      </c>
      <c r="M61" s="162" t="str">
        <f>IF(K61&lt;&gt;"",VLOOKUP(K61,'Catálogo SAP'!A:F,4,FALSE),"")</f>
        <v>Hora Improdutiva Pa Carregadeira C/Operador</v>
      </c>
      <c r="N61" s="168" t="str">
        <f>IF(K61&lt;&gt;"",VLOOKUP(K61,'Catálogo SAP'!A:F,5,FALSE),"")</f>
        <v>H</v>
      </c>
      <c r="O61" s="160">
        <v>3</v>
      </c>
      <c r="P61" s="70">
        <f t="shared" si="2"/>
        <v>0</v>
      </c>
      <c r="Q61" s="163" t="e">
        <f t="shared" si="17"/>
        <v>#VALUE!</v>
      </c>
      <c r="R61" s="44" t="str">
        <f>IF(J61&lt;&gt;"",VLOOKUP(J61,'RESUMO DR'!$B$4:$E$253,4,FALSE),"-")</f>
        <v>T-03</v>
      </c>
      <c r="S61" s="58" t="str">
        <f>IF(J61&lt;&gt;"",VLOOKUP(J61,'RESUMO DR'!$B$4:$E$253,3,FALSE),"-")</f>
        <v>PALMAS</v>
      </c>
      <c r="T61" s="129"/>
      <c r="U61" s="129"/>
      <c r="V61" s="129"/>
      <c r="W61" s="128"/>
      <c r="X61" s="127"/>
      <c r="Y61" s="127"/>
      <c r="Z61" s="4"/>
    </row>
    <row r="62" spans="1:26" ht="18" customHeight="1">
      <c r="A62" s="5"/>
      <c r="B62" s="21">
        <v>45643</v>
      </c>
      <c r="C62" s="21" t="s">
        <v>134</v>
      </c>
      <c r="D62" s="74" t="str">
        <f t="shared" si="15"/>
        <v>ter</v>
      </c>
      <c r="E62" s="169" t="str">
        <f>IF(K62&lt;&gt;"",VLOOKUP(K62,'Catálogo SAP'!$A$1:$F$245,2,FALSE),"-")</f>
        <v>-</v>
      </c>
      <c r="F62" s="225"/>
      <c r="G62" s="225"/>
      <c r="H62" s="226"/>
      <c r="I62" s="230"/>
      <c r="J62" s="162" t="str">
        <f t="shared" si="16"/>
        <v/>
      </c>
      <c r="K62" s="16"/>
      <c r="L62" s="167" t="str">
        <f>IF(K62&lt;&gt;"",VLOOKUP(K62,'Catálogo SAP'!A:F,3,FALSE),"")</f>
        <v/>
      </c>
      <c r="M62" s="162" t="str">
        <f>IF(K62&lt;&gt;"",VLOOKUP(K62,'Catálogo SAP'!A:F,4,FALSE),"")</f>
        <v/>
      </c>
      <c r="N62" s="168" t="str">
        <f>IF(K62&lt;&gt;"",VLOOKUP(K62,'Catálogo SAP'!A:F,5,FALSE),"")</f>
        <v/>
      </c>
      <c r="O62" s="160"/>
      <c r="P62" s="70" t="str">
        <f t="shared" si="2"/>
        <v>-</v>
      </c>
      <c r="Q62" s="163" t="str">
        <f t="shared" si="17"/>
        <v>-</v>
      </c>
      <c r="R62" s="44" t="str">
        <f>IF(J62&lt;&gt;"",VLOOKUP(J62,'RESUMO DR'!$B$4:$E$253,4,FALSE),"-")</f>
        <v>-</v>
      </c>
      <c r="S62" s="58" t="str">
        <f>IF(J62&lt;&gt;"",VLOOKUP(J62,'RESUMO DR'!$B$4:$E$253,3,FALSE),"-")</f>
        <v>-</v>
      </c>
      <c r="T62" s="129"/>
      <c r="U62" s="129"/>
      <c r="V62" s="129"/>
      <c r="W62" s="128"/>
      <c r="X62" s="127"/>
      <c r="Y62" s="127"/>
      <c r="Z62" s="4"/>
    </row>
    <row r="63" spans="1:26" ht="18" customHeight="1">
      <c r="A63" s="5"/>
      <c r="B63" s="21">
        <v>45643</v>
      </c>
      <c r="C63" s="21" t="s">
        <v>134</v>
      </c>
      <c r="D63" s="74" t="str">
        <f t="shared" si="15"/>
        <v>ter</v>
      </c>
      <c r="E63" s="169" t="str">
        <f>IF(K63&lt;&gt;"",VLOOKUP(K63,'Catálogo SAP'!$A$1:$F$245,2,FALSE),"-")</f>
        <v>-</v>
      </c>
      <c r="F63" s="225"/>
      <c r="G63" s="225"/>
      <c r="H63" s="226"/>
      <c r="I63" s="230"/>
      <c r="J63" s="162" t="str">
        <f t="shared" si="16"/>
        <v/>
      </c>
      <c r="K63" s="16"/>
      <c r="L63" s="167" t="str">
        <f>IF(K63&lt;&gt;"",VLOOKUP(K63,'Catálogo SAP'!A:F,3,FALSE),"")</f>
        <v/>
      </c>
      <c r="M63" s="162" t="str">
        <f>IF(K63&lt;&gt;"",VLOOKUP(K63,'Catálogo SAP'!A:F,4,FALSE),"")</f>
        <v/>
      </c>
      <c r="N63" s="168" t="str">
        <f>IF(K63&lt;&gt;"",VLOOKUP(K63,'Catálogo SAP'!A:F,5,FALSE),"")</f>
        <v/>
      </c>
      <c r="O63" s="160"/>
      <c r="P63" s="70" t="str">
        <f t="shared" si="2"/>
        <v>-</v>
      </c>
      <c r="Q63" s="163" t="str">
        <f t="shared" si="17"/>
        <v>-</v>
      </c>
      <c r="R63" s="44" t="str">
        <f>IF(J63&lt;&gt;"",VLOOKUP(J63,'RESUMO DR'!$B$4:$E$253,4,FALSE),"-")</f>
        <v>-</v>
      </c>
      <c r="S63" s="58" t="str">
        <f>IF(J63&lt;&gt;"",VLOOKUP(J63,'RESUMO DR'!$B$4:$E$253,3,FALSE),"-")</f>
        <v>-</v>
      </c>
      <c r="T63" s="129"/>
      <c r="U63" s="129"/>
      <c r="V63" s="129"/>
      <c r="W63" s="128"/>
      <c r="X63" s="127"/>
      <c r="Y63" s="127"/>
      <c r="Z63" s="4"/>
    </row>
    <row r="64" spans="1:26" ht="18" customHeight="1">
      <c r="A64" s="5">
        <v>1455</v>
      </c>
      <c r="B64" s="21">
        <v>45643</v>
      </c>
      <c r="C64" s="21" t="s">
        <v>315</v>
      </c>
      <c r="D64" s="74" t="str">
        <f t="shared" si="15"/>
        <v>ter</v>
      </c>
      <c r="E64" s="169">
        <f>IF(K64&lt;&gt;"",VLOOKUP(K64,'Catálogo SAP'!$A$1:$F$245,2,FALSE),"-")</f>
        <v>160</v>
      </c>
      <c r="F64" s="16">
        <v>1335</v>
      </c>
      <c r="G64" s="16">
        <v>1344</v>
      </c>
      <c r="H64" s="22"/>
      <c r="I64" s="133">
        <v>142</v>
      </c>
      <c r="J64" s="162" t="str">
        <f t="shared" si="16"/>
        <v>RIBAMAR FIQUENE</v>
      </c>
      <c r="K64" s="16">
        <v>160</v>
      </c>
      <c r="L64" s="167" t="str">
        <f>IF(K64&lt;&gt;"",VLOOKUP(K64,'Catálogo SAP'!A:F,3,FALSE),"")</f>
        <v>S.VP-01441</v>
      </c>
      <c r="M64" s="162" t="str">
        <f>IF(K64&lt;&gt;"",VLOOKUP(K64,'Catálogo SAP'!A:F,4,FALSE),"")</f>
        <v>Hora Produtiva Pa Carregadeira C/Operador</v>
      </c>
      <c r="N64" s="168" t="str">
        <f>IF(K64&lt;&gt;"",VLOOKUP(K64,'Catálogo SAP'!A:F,5,FALSE),"")</f>
        <v>H</v>
      </c>
      <c r="O64" s="160">
        <v>9</v>
      </c>
      <c r="P64" s="70">
        <f t="shared" si="2"/>
        <v>9</v>
      </c>
      <c r="Q64" s="163" t="e">
        <f t="shared" si="17"/>
        <v>#VALUE!</v>
      </c>
      <c r="R64" s="44" t="str">
        <f>IF(J64&lt;&gt;"",VLOOKUP(J64,'RESUMO DR'!$B$4:$E$253,4,FALSE),"-")</f>
        <v>T-01</v>
      </c>
      <c r="S64" s="58" t="str">
        <f>IF(J64&lt;&gt;"",VLOOKUP(J64,'RESUMO DR'!$B$4:$E$253,3,FALSE),"-")</f>
        <v>IMPERATRIZ</v>
      </c>
      <c r="T64" s="129"/>
      <c r="U64" s="129"/>
      <c r="V64" s="129"/>
      <c r="W64" s="128"/>
      <c r="X64" s="127"/>
      <c r="Y64" s="127"/>
      <c r="Z64" s="4"/>
    </row>
    <row r="65" spans="1:27" ht="18" customHeight="1">
      <c r="A65" s="5">
        <v>1790</v>
      </c>
      <c r="B65" s="21">
        <v>45643</v>
      </c>
      <c r="C65" s="21" t="s">
        <v>306</v>
      </c>
      <c r="D65" s="74" t="str">
        <f t="shared" si="15"/>
        <v>ter</v>
      </c>
      <c r="E65" s="169">
        <f>IF(K65&lt;&gt;"",VLOOKUP(K65,'Catálogo SAP'!$A$1:$F$245,2,FALSE),"-")</f>
        <v>280</v>
      </c>
      <c r="F65" s="225">
        <v>248</v>
      </c>
      <c r="G65" s="225">
        <v>257</v>
      </c>
      <c r="H65" s="226"/>
      <c r="I65" s="230">
        <v>578</v>
      </c>
      <c r="J65" s="162" t="str">
        <f t="shared" si="16"/>
        <v>Tupirama</v>
      </c>
      <c r="K65" s="16">
        <v>280</v>
      </c>
      <c r="L65" s="167" t="str">
        <f>IF(K65&lt;&gt;"",VLOOKUP(K65,'Catálogo SAP'!A:F,3,FALSE),"")</f>
        <v>S.VP-01453</v>
      </c>
      <c r="M65" s="162" t="str">
        <f>IF(K65&lt;&gt;"",VLOOKUP(K65,'Catálogo SAP'!A:F,4,FALSE),"")</f>
        <v>Hora Produtiva Motoniveladora C/Operador</v>
      </c>
      <c r="N65" s="168" t="str">
        <f>IF(K65&lt;&gt;"",VLOOKUP(K65,'Catálogo SAP'!A:F,5,FALSE),"")</f>
        <v>H</v>
      </c>
      <c r="O65" s="160">
        <v>9</v>
      </c>
      <c r="P65" s="70">
        <f t="shared" si="2"/>
        <v>9</v>
      </c>
      <c r="Q65" s="163" t="e">
        <f t="shared" si="17"/>
        <v>#VALUE!</v>
      </c>
      <c r="R65" s="44" t="str">
        <f>IF(J65&lt;&gt;"",VLOOKUP(J65,'RESUMO DR'!$B$4:$E$253,4,FALSE),"-")</f>
        <v>T-03</v>
      </c>
      <c r="S65" s="58" t="str">
        <f>IF(J65&lt;&gt;"",VLOOKUP(J65,'RESUMO DR'!$B$4:$E$253,3,FALSE),"-")</f>
        <v>PALMAS</v>
      </c>
      <c r="T65" s="129"/>
      <c r="U65" s="129"/>
      <c r="V65" s="129"/>
      <c r="W65" s="128"/>
      <c r="X65" s="127"/>
      <c r="Y65" s="127"/>
      <c r="Z65" s="4"/>
    </row>
    <row r="66" spans="1:27" ht="13.8">
      <c r="A66" s="5"/>
      <c r="B66" s="21">
        <v>45643</v>
      </c>
      <c r="C66" s="21" t="s">
        <v>306</v>
      </c>
      <c r="D66" s="74" t="str">
        <f t="shared" si="15"/>
        <v>ter</v>
      </c>
      <c r="E66" s="169" t="str">
        <f>IF(K66&lt;&gt;"",VLOOKUP(K66,'Catálogo SAP'!$A$1:$F$245,2,FALSE),"-")</f>
        <v>-</v>
      </c>
      <c r="F66" s="16"/>
      <c r="G66" s="16"/>
      <c r="H66" s="22"/>
      <c r="I66" s="133"/>
      <c r="J66" s="162" t="str">
        <f t="shared" si="16"/>
        <v/>
      </c>
      <c r="K66" s="16"/>
      <c r="L66" s="167" t="str">
        <f>IF(K66&lt;&gt;"",VLOOKUP(K66,'Catálogo SAP'!A:F,3,FALSE),"")</f>
        <v/>
      </c>
      <c r="M66" s="162" t="str">
        <f>IF(K66&lt;&gt;"",VLOOKUP(K66,'Catálogo SAP'!A:F,4,FALSE),"")</f>
        <v/>
      </c>
      <c r="N66" s="168" t="str">
        <f>IF(K66&lt;&gt;"",VLOOKUP(K66,'Catálogo SAP'!A:F,5,FALSE),"")</f>
        <v/>
      </c>
      <c r="O66" s="160"/>
      <c r="P66" s="70" t="str">
        <f t="shared" si="2"/>
        <v>-</v>
      </c>
      <c r="Q66" s="163" t="str">
        <f t="shared" si="17"/>
        <v>-</v>
      </c>
      <c r="R66" s="44" t="str">
        <f>IF(J66&lt;&gt;"",VLOOKUP(J66,'RESUMO DR'!$B$4:$E$253,4,FALSE),"-")</f>
        <v>-</v>
      </c>
      <c r="S66" s="58" t="str">
        <f>IF(J66&lt;&gt;"",VLOOKUP(J66,'RESUMO DR'!$B$4:$E$253,3,FALSE),"-")</f>
        <v>-</v>
      </c>
      <c r="T66" s="129"/>
      <c r="U66" s="129"/>
      <c r="V66" s="129"/>
      <c r="W66" s="128"/>
      <c r="X66" s="127"/>
      <c r="Y66" s="127"/>
      <c r="Z66" s="4"/>
    </row>
    <row r="67" spans="1:27" ht="13.8">
      <c r="A67" s="5">
        <v>1796</v>
      </c>
      <c r="B67" s="21">
        <v>45643</v>
      </c>
      <c r="C67" s="21" t="s">
        <v>312</v>
      </c>
      <c r="D67" s="74" t="str">
        <f t="shared" si="15"/>
        <v>ter</v>
      </c>
      <c r="E67" s="169">
        <f>IF(K67&lt;&gt;"",VLOOKUP(K67,'Catálogo SAP'!$A$1:$F$245,2,FALSE),"-")</f>
        <v>200</v>
      </c>
      <c r="F67" s="16">
        <v>68664</v>
      </c>
      <c r="G67" s="16">
        <v>69134</v>
      </c>
      <c r="H67" s="22"/>
      <c r="I67" s="133">
        <v>442</v>
      </c>
      <c r="J67" s="162" t="str">
        <f t="shared" si="16"/>
        <v>Palmeirante</v>
      </c>
      <c r="K67" s="16">
        <v>200</v>
      </c>
      <c r="L67" s="167" t="str">
        <f>IF(K67&lt;&gt;"",VLOOKUP(K67,'Catálogo SAP'!A:F,3,FALSE),"")</f>
        <v>S.VP-01445</v>
      </c>
      <c r="M67" s="162" t="str">
        <f>IF(K67&lt;&gt;"",VLOOKUP(K67,'Catálogo SAP'!A:F,4,FALSE),"")</f>
        <v>Km Rodado Caminhão Basculante - C/Motorista</v>
      </c>
      <c r="N67" s="168" t="str">
        <f>IF(K67&lt;&gt;"",VLOOKUP(K67,'Catálogo SAP'!A:F,5,FALSE),"")</f>
        <v>KM</v>
      </c>
      <c r="O67" s="160">
        <v>470</v>
      </c>
      <c r="P67" s="70">
        <f t="shared" si="2"/>
        <v>470</v>
      </c>
      <c r="Q67" s="163" t="e">
        <f t="shared" si="17"/>
        <v>#VALUE!</v>
      </c>
      <c r="R67" s="44" t="str">
        <f>IF(J67&lt;&gt;"",VLOOKUP(J67,'RESUMO DR'!$B$4:$E$253,4,FALSE),"-")</f>
        <v>T-02</v>
      </c>
      <c r="S67" s="58" t="str">
        <f>IF(J67&lt;&gt;"",VLOOKUP(J67,'RESUMO DR'!$B$4:$E$253,3,FALSE),"-")</f>
        <v>ARAGUAINA</v>
      </c>
      <c r="T67" s="129"/>
      <c r="U67" s="129"/>
      <c r="V67" s="129"/>
      <c r="W67" s="128"/>
      <c r="X67" s="127"/>
      <c r="Y67" s="127"/>
      <c r="Z67" s="4"/>
    </row>
    <row r="68" spans="1:27" ht="13.8">
      <c r="A68" s="5">
        <v>1791</v>
      </c>
      <c r="B68" s="21">
        <v>45643</v>
      </c>
      <c r="C68" s="21" t="s">
        <v>310</v>
      </c>
      <c r="D68" s="74" t="str">
        <f t="shared" ref="D68:D69" si="22">IF(B68="","-",TEXT(B68,"ddd"))</f>
        <v>ter</v>
      </c>
      <c r="E68" s="169">
        <f>IF(K68&lt;&gt;"",VLOOKUP(K68,'Catálogo SAP'!$A$1:$F$245,2,FALSE),"-")</f>
        <v>120</v>
      </c>
      <c r="F68" s="16">
        <v>102</v>
      </c>
      <c r="G68" s="225">
        <v>109</v>
      </c>
      <c r="H68" s="22"/>
      <c r="I68" s="133">
        <v>452</v>
      </c>
      <c r="J68" s="162" t="str">
        <f t="shared" si="16"/>
        <v>Palmeirante</v>
      </c>
      <c r="K68" s="16">
        <v>120</v>
      </c>
      <c r="L68" s="167" t="str">
        <f>IF(K68&lt;&gt;"",VLOOKUP(K68,'Catálogo SAP'!A:F,3,FALSE),"")</f>
        <v>S.VP-01437</v>
      </c>
      <c r="M68" s="162" t="str">
        <f>IF(K68&lt;&gt;"",VLOOKUP(K68,'Catálogo SAP'!A:F,4,FALSE),"")</f>
        <v>Hr Produtiva Retroescavadeira C/Operador</v>
      </c>
      <c r="N68" s="168" t="str">
        <f>IF(K68&lt;&gt;"",VLOOKUP(K68,'Catálogo SAP'!A:F,5,FALSE),"")</f>
        <v>H</v>
      </c>
      <c r="O68" s="160">
        <v>7</v>
      </c>
      <c r="P68" s="70">
        <f t="shared" si="2"/>
        <v>7</v>
      </c>
      <c r="Q68" s="163" t="e">
        <f t="shared" ref="Q68:Q70" si="23">IF(K68="","-",N68*O68)</f>
        <v>#VALUE!</v>
      </c>
      <c r="R68" s="44" t="s">
        <v>192</v>
      </c>
      <c r="S68" s="58" t="s">
        <v>193</v>
      </c>
      <c r="T68" s="129"/>
      <c r="U68" s="129"/>
      <c r="V68" s="129"/>
      <c r="W68" s="128"/>
      <c r="X68" s="127"/>
      <c r="Y68" s="127"/>
      <c r="Z68" s="4"/>
    </row>
    <row r="69" spans="1:27" ht="18" customHeight="1">
      <c r="A69" s="5">
        <v>1799</v>
      </c>
      <c r="B69" s="21">
        <v>45643</v>
      </c>
      <c r="C69" s="21" t="s">
        <v>134</v>
      </c>
      <c r="D69" s="74" t="str">
        <f t="shared" si="22"/>
        <v>ter</v>
      </c>
      <c r="E69" s="169">
        <f>IF(K69&lt;&gt;"",VLOOKUP(K69,'Catálogo SAP'!$A$1:$F$245,2,FALSE),"-")</f>
        <v>480</v>
      </c>
      <c r="F69" s="225">
        <v>3353</v>
      </c>
      <c r="G69" s="225">
        <v>3359</v>
      </c>
      <c r="H69" s="226"/>
      <c r="I69" s="230">
        <v>91</v>
      </c>
      <c r="J69" s="162" t="str">
        <f t="shared" si="16"/>
        <v>IMPERATRIZ</v>
      </c>
      <c r="K69" s="16">
        <v>480</v>
      </c>
      <c r="L69" s="167" t="str">
        <f>IF(K69&lt;&gt;"",VLOOKUP(K69,'Catálogo SAP'!A:F,3,FALSE),"")</f>
        <v>S.VP-01465</v>
      </c>
      <c r="M69" s="162" t="str">
        <f>IF(K69&lt;&gt;"",VLOOKUP(K69,'Catálogo SAP'!A:F,4,FALSE),"")</f>
        <v>Hora Produtiva Miniescavadeira Hidraulica C/ Operador</v>
      </c>
      <c r="N69" s="168" t="str">
        <f>IF(K69&lt;&gt;"",VLOOKUP(K69,'Catálogo SAP'!A:F,5,FALSE),"")</f>
        <v>H</v>
      </c>
      <c r="O69" s="160">
        <v>6</v>
      </c>
      <c r="P69" s="70">
        <f t="shared" si="2"/>
        <v>6</v>
      </c>
      <c r="Q69" s="163" t="e">
        <f t="shared" si="23"/>
        <v>#VALUE!</v>
      </c>
      <c r="R69" s="44" t="str">
        <f>IF(J69&lt;&gt;"",VLOOKUP(J69,'RESUMO DR'!$B$4:$E$253,4,FALSE),"-")</f>
        <v>T-01</v>
      </c>
      <c r="S69" s="58" t="str">
        <f>IF(J69&lt;&gt;"",VLOOKUP(J69,'RESUMO DR'!$B$4:$E$253,3,FALSE),"-")</f>
        <v>IMPERATRIZ</v>
      </c>
      <c r="T69" s="129"/>
      <c r="U69" s="129"/>
      <c r="V69" s="129"/>
      <c r="W69" s="128"/>
      <c r="X69" s="127"/>
      <c r="Y69" s="127"/>
      <c r="Z69" s="4"/>
    </row>
    <row r="70" spans="1:27" ht="18" customHeight="1">
      <c r="A70" s="5">
        <v>1799</v>
      </c>
      <c r="B70" s="21">
        <v>45643</v>
      </c>
      <c r="C70" s="21" t="s">
        <v>134</v>
      </c>
      <c r="D70" s="74" t="str">
        <f t="shared" si="15"/>
        <v>ter</v>
      </c>
      <c r="E70" s="169">
        <f>IF(K70&lt;&gt;"",VLOOKUP(K70,'Catálogo SAP'!$A$1:$F$245,2,FALSE),"-")</f>
        <v>490</v>
      </c>
      <c r="F70" s="225">
        <v>3359</v>
      </c>
      <c r="G70" s="225">
        <v>3359</v>
      </c>
      <c r="H70" s="226"/>
      <c r="I70" s="230">
        <v>91</v>
      </c>
      <c r="J70" s="162" t="str">
        <f t="shared" si="16"/>
        <v>IMPERATRIZ</v>
      </c>
      <c r="K70" s="16">
        <v>490</v>
      </c>
      <c r="L70" s="167" t="str">
        <f>IF(K70&lt;&gt;"",VLOOKUP(K70,'Catálogo SAP'!A:F,3,FALSE),"")</f>
        <v>S.VP-01466</v>
      </c>
      <c r="M70" s="162" t="str">
        <f>IF(K70&lt;&gt;"",VLOOKUP(K70,'Catálogo SAP'!A:F,4,FALSE),"")</f>
        <v>Hora Improdutiva Miniescavadeira Hidraulica C/ Operador</v>
      </c>
      <c r="N70" s="168" t="str">
        <f>IF(K70&lt;&gt;"",VLOOKUP(K70,'Catálogo SAP'!A:F,5,FALSE),"")</f>
        <v>H</v>
      </c>
      <c r="O70" s="160">
        <v>3</v>
      </c>
      <c r="P70" s="70">
        <f t="shared" ref="P70:P133" si="24">IF(G70="","-",G70-F70)</f>
        <v>0</v>
      </c>
      <c r="Q70" s="163" t="e">
        <f t="shared" si="23"/>
        <v>#VALUE!</v>
      </c>
      <c r="R70" s="44" t="str">
        <f>IF(J70&lt;&gt;"",VLOOKUP(J70,'RESUMO DR'!$B$4:$E$253,4,FALSE),"-")</f>
        <v>T-01</v>
      </c>
      <c r="S70" s="58" t="str">
        <f>IF(J70&lt;&gt;"",VLOOKUP(J70,'RESUMO DR'!$B$4:$E$253,3,FALSE),"-")</f>
        <v>IMPERATRIZ</v>
      </c>
      <c r="T70" s="129"/>
      <c r="U70" s="129"/>
      <c r="V70" s="129"/>
      <c r="W70" s="128"/>
      <c r="X70" s="127"/>
      <c r="Y70" s="127"/>
      <c r="Z70" s="4"/>
    </row>
    <row r="71" spans="1:27" ht="18" customHeight="1">
      <c r="A71" s="5">
        <v>1791</v>
      </c>
      <c r="B71" s="21">
        <v>45643</v>
      </c>
      <c r="C71" s="21" t="s">
        <v>310</v>
      </c>
      <c r="D71" s="74" t="str">
        <f t="shared" ref="D71" si="25">IF(B71="","-",TEXT(B71,"ddd"))</f>
        <v>ter</v>
      </c>
      <c r="E71" s="169">
        <f>IF(K71&lt;&gt;"",VLOOKUP(K71,'Catálogo SAP'!$A$1:$F$245,2,FALSE),"-")</f>
        <v>130</v>
      </c>
      <c r="F71" s="225">
        <v>109</v>
      </c>
      <c r="G71" s="225">
        <v>109</v>
      </c>
      <c r="H71" s="226"/>
      <c r="I71" s="230">
        <v>452</v>
      </c>
      <c r="J71" s="162" t="str">
        <f t="shared" si="16"/>
        <v>Palmeirante</v>
      </c>
      <c r="K71" s="225">
        <v>130</v>
      </c>
      <c r="L71" s="167" t="str">
        <f>IF(K71&lt;&gt;"",VLOOKUP(K71,'Catálogo SAP'!A:F,3,FALSE),"")</f>
        <v>S.VP-01438</v>
      </c>
      <c r="M71" s="162" t="str">
        <f>IF(K71&lt;&gt;"",VLOOKUP(K71,'Catálogo SAP'!A:F,4,FALSE),"")</f>
        <v>Hr Improdutiva Retroescavadeira C/Operador</v>
      </c>
      <c r="N71" s="168" t="str">
        <f>IF(K71&lt;&gt;"",VLOOKUP(K71,'Catálogo SAP'!A:F,5,FALSE),"")</f>
        <v>H</v>
      </c>
      <c r="O71" s="231">
        <v>2</v>
      </c>
      <c r="P71" s="70">
        <f t="shared" si="24"/>
        <v>0</v>
      </c>
      <c r="Q71" s="163" t="e">
        <f t="shared" ref="Q71:Q72" si="26">IF(K71="","-",N71*O71)</f>
        <v>#VALUE!</v>
      </c>
      <c r="R71" s="44" t="s">
        <v>192</v>
      </c>
      <c r="S71" s="58" t="s">
        <v>193</v>
      </c>
      <c r="T71" s="129"/>
      <c r="U71" s="129"/>
      <c r="V71" s="129"/>
      <c r="W71" s="128"/>
      <c r="X71" s="127"/>
      <c r="Y71" s="127"/>
      <c r="Z71" s="4"/>
    </row>
    <row r="72" spans="1:27" ht="18" customHeight="1">
      <c r="A72" s="5"/>
      <c r="B72" s="21"/>
      <c r="C72" s="21"/>
      <c r="D72" s="74" t="str">
        <f t="shared" si="15"/>
        <v>-</v>
      </c>
      <c r="E72" s="169" t="str">
        <f>IF(K72&lt;&gt;"",VLOOKUP(K72,'Catálogo SAP'!$A$1:$F$245,2,FALSE),"-")</f>
        <v>-</v>
      </c>
      <c r="F72" s="16"/>
      <c r="G72" s="16"/>
      <c r="H72" s="22"/>
      <c r="I72" s="133"/>
      <c r="J72" s="162" t="str">
        <f t="shared" si="16"/>
        <v/>
      </c>
      <c r="K72" s="16"/>
      <c r="L72" s="167" t="str">
        <f>IF(K72&lt;&gt;"",VLOOKUP(K72,'Catálogo SAP'!A:F,3,FALSE),"")</f>
        <v/>
      </c>
      <c r="M72" s="162" t="str">
        <f>IF(K72&lt;&gt;"",VLOOKUP(K72,'Catálogo SAP'!A:F,4,FALSE),"")</f>
        <v/>
      </c>
      <c r="N72" s="168" t="str">
        <f>IF(K72&lt;&gt;"",VLOOKUP(K72,'Catálogo SAP'!A:F,5,FALSE),"")</f>
        <v/>
      </c>
      <c r="O72" s="160"/>
      <c r="P72" s="70" t="str">
        <f t="shared" si="24"/>
        <v>-</v>
      </c>
      <c r="Q72" s="163" t="str">
        <f t="shared" si="26"/>
        <v>-</v>
      </c>
      <c r="R72" s="44" t="str">
        <f>IF(J72&lt;&gt;"",VLOOKUP(J72,'RESUMO DR'!$B$4:$E$253,4,FALSE),"-")</f>
        <v>-</v>
      </c>
      <c r="S72" s="58" t="str">
        <f>IF(J72&lt;&gt;"",VLOOKUP(J72,'RESUMO DR'!$B$4:$E$253,3,FALSE),"-")</f>
        <v>-</v>
      </c>
      <c r="T72" s="129"/>
      <c r="U72" s="129"/>
      <c r="V72" s="129"/>
      <c r="W72" s="128"/>
      <c r="X72" s="127"/>
      <c r="Y72" s="127"/>
      <c r="Z72" s="4"/>
    </row>
    <row r="73" spans="1:27" ht="18" customHeight="1">
      <c r="A73" s="5">
        <v>1554</v>
      </c>
      <c r="B73" s="21">
        <v>45644</v>
      </c>
      <c r="C73" s="21" t="s">
        <v>121</v>
      </c>
      <c r="D73" s="74" t="str">
        <f t="shared" si="15"/>
        <v>qua</v>
      </c>
      <c r="E73" s="169">
        <f>IF(K73&lt;&gt;"",VLOOKUP(K73,'Catálogo SAP'!$A$1:$F$245,2,FALSE),"-")</f>
        <v>120</v>
      </c>
      <c r="F73" s="225">
        <v>8666</v>
      </c>
      <c r="G73" s="16">
        <v>8671</v>
      </c>
      <c r="H73" s="226"/>
      <c r="I73" s="230">
        <v>300</v>
      </c>
      <c r="J73" s="162" t="str">
        <f t="shared" si="16"/>
        <v>SAO LUIS</v>
      </c>
      <c r="K73" s="16">
        <v>120</v>
      </c>
      <c r="L73" s="167" t="str">
        <f>IF(K73&lt;&gt;"",VLOOKUP(K73,'Catálogo SAP'!A:F,3,FALSE),"")</f>
        <v>S.VP-01437</v>
      </c>
      <c r="M73" s="162" t="str">
        <f>IF(K73&lt;&gt;"",VLOOKUP(K73,'Catálogo SAP'!A:F,4,FALSE),"")</f>
        <v>Hr Produtiva Retroescavadeira C/Operador</v>
      </c>
      <c r="N73" s="168" t="str">
        <f>IF(K73&lt;&gt;"",VLOOKUP(K73,'Catálogo SAP'!A:F,5,FALSE),"")</f>
        <v>H</v>
      </c>
      <c r="O73" s="160">
        <v>5</v>
      </c>
      <c r="P73" s="70">
        <f t="shared" si="24"/>
        <v>5</v>
      </c>
      <c r="Q73" s="163" t="e">
        <f t="shared" si="17"/>
        <v>#VALUE!</v>
      </c>
      <c r="R73" s="44" t="str">
        <f>IF(J73&lt;&gt;"",VLOOKUP(J73,'RESUMO DR'!$B$4:$E$253,4,FALSE),"-")</f>
        <v>T-02</v>
      </c>
      <c r="S73" s="58" t="str">
        <f>IF(J73&lt;&gt;"",VLOOKUP(J73,'RESUMO DR'!$B$4:$E$253,3,FALSE),"-")</f>
        <v>ARAGUAINA</v>
      </c>
      <c r="T73" s="129"/>
      <c r="U73" s="129"/>
      <c r="V73" s="129"/>
      <c r="W73" s="128"/>
      <c r="X73" s="127"/>
      <c r="Y73" s="127"/>
      <c r="Z73" s="4"/>
    </row>
    <row r="74" spans="1:27" ht="18" customHeight="1">
      <c r="A74" s="5">
        <v>1554</v>
      </c>
      <c r="B74" s="21">
        <v>45644</v>
      </c>
      <c r="C74" s="21" t="s">
        <v>121</v>
      </c>
      <c r="D74" s="74" t="str">
        <f t="shared" si="15"/>
        <v>qua</v>
      </c>
      <c r="E74" s="169">
        <f>IF(K74&lt;&gt;"",VLOOKUP(K74,'Catálogo SAP'!$A$1:$F$245,2,FALSE),"-")</f>
        <v>130</v>
      </c>
      <c r="F74" s="16">
        <v>8671</v>
      </c>
      <c r="G74" s="16">
        <v>8671</v>
      </c>
      <c r="H74" s="22"/>
      <c r="I74" s="133">
        <v>300</v>
      </c>
      <c r="J74" s="162" t="str">
        <f t="shared" si="16"/>
        <v>SAO LUIS</v>
      </c>
      <c r="K74" s="16">
        <v>130</v>
      </c>
      <c r="L74" s="167" t="str">
        <f>IF(K74&lt;&gt;"",VLOOKUP(K74,'Catálogo SAP'!A:F,3,FALSE),"")</f>
        <v>S.VP-01438</v>
      </c>
      <c r="M74" s="162" t="str">
        <f>IF(K74&lt;&gt;"",VLOOKUP(K74,'Catálogo SAP'!A:F,4,FALSE),"")</f>
        <v>Hr Improdutiva Retroescavadeira C/Operador</v>
      </c>
      <c r="N74" s="168" t="str">
        <f>IF(K74&lt;&gt;"",VLOOKUP(K74,'Catálogo SAP'!A:F,5,FALSE),"")</f>
        <v>H</v>
      </c>
      <c r="O74" s="160">
        <v>4</v>
      </c>
      <c r="P74" s="70">
        <f t="shared" si="24"/>
        <v>0</v>
      </c>
      <c r="Q74" s="163" t="e">
        <f t="shared" si="17"/>
        <v>#VALUE!</v>
      </c>
      <c r="R74" s="44" t="str">
        <f>IF(J74&lt;&gt;"",VLOOKUP(J74,'RESUMO DR'!$B$4:$E$253,4,FALSE),"-")</f>
        <v>T-02</v>
      </c>
      <c r="S74" s="58" t="str">
        <f>IF(J74&lt;&gt;"",VLOOKUP(J74,'RESUMO DR'!$B$4:$E$253,3,FALSE),"-")</f>
        <v>ARAGUAINA</v>
      </c>
      <c r="T74" s="129"/>
      <c r="U74" s="129"/>
      <c r="V74" s="129"/>
      <c r="W74" s="128"/>
      <c r="X74" s="127"/>
      <c r="Y74" s="127"/>
      <c r="Z74" s="4"/>
      <c r="AA74" s="38"/>
    </row>
    <row r="75" spans="1:27" ht="13.8">
      <c r="A75" s="5">
        <v>1459</v>
      </c>
      <c r="B75" s="21">
        <v>45644</v>
      </c>
      <c r="C75" s="21" t="s">
        <v>122</v>
      </c>
      <c r="D75" s="74" t="str">
        <f t="shared" ref="D75" si="27">IF(B75="","-",TEXT(B75,"ddd"))</f>
        <v>qua</v>
      </c>
      <c r="E75" s="169">
        <f>IF(K75&lt;&gt;"",VLOOKUP(K75,'Catálogo SAP'!$A$1:$F$245,2,FALSE),"-")</f>
        <v>120</v>
      </c>
      <c r="F75" s="225">
        <v>3769</v>
      </c>
      <c r="G75" s="225">
        <v>3778</v>
      </c>
      <c r="H75" s="226"/>
      <c r="I75" s="230">
        <v>323</v>
      </c>
      <c r="J75" s="162" t="str">
        <f t="shared" si="16"/>
        <v>BABAÇULÂNDIA</v>
      </c>
      <c r="K75" s="16">
        <v>120</v>
      </c>
      <c r="L75" s="167" t="str">
        <f>IF(K75&lt;&gt;"",VLOOKUP(K75,'Catálogo SAP'!A:F,3,FALSE),"")</f>
        <v>S.VP-01437</v>
      </c>
      <c r="M75" s="162" t="str">
        <f>IF(K75&lt;&gt;"",VLOOKUP(K75,'Catálogo SAP'!A:F,4,FALSE),"")</f>
        <v>Hr Produtiva Retroescavadeira C/Operador</v>
      </c>
      <c r="N75" s="168" t="str">
        <f>IF(K75&lt;&gt;"",VLOOKUP(K75,'Catálogo SAP'!A:F,5,FALSE),"")</f>
        <v>H</v>
      </c>
      <c r="O75" s="160">
        <v>9</v>
      </c>
      <c r="P75" s="70">
        <f t="shared" si="24"/>
        <v>9</v>
      </c>
      <c r="Q75" s="163" t="e">
        <f t="shared" ref="Q75" si="28">IF(K75="","-",N75*O75)</f>
        <v>#VALUE!</v>
      </c>
      <c r="R75" s="44" t="str">
        <f>IF(J75&lt;&gt;"",VLOOKUP(J75,'RESUMO DR'!$B$4:$E$253,4,FALSE),"-")</f>
        <v>T-02</v>
      </c>
      <c r="S75" s="58" t="str">
        <f>IF(J75&lt;&gt;"",VLOOKUP(J75,'RESUMO DR'!$B$4:$E$253,3,FALSE),"-")</f>
        <v>ARAGUAINA</v>
      </c>
      <c r="T75" s="129"/>
      <c r="U75" s="129"/>
      <c r="V75" s="129"/>
      <c r="W75" s="128"/>
      <c r="X75" s="127"/>
      <c r="Y75" s="127"/>
      <c r="Z75" s="4"/>
      <c r="AA75" s="38"/>
    </row>
    <row r="76" spans="1:27" ht="18" customHeight="1">
      <c r="A76" s="5">
        <v>1463</v>
      </c>
      <c r="B76" s="21">
        <v>45644</v>
      </c>
      <c r="C76" s="21" t="s">
        <v>123</v>
      </c>
      <c r="D76" s="74" t="str">
        <f t="shared" si="15"/>
        <v>qua</v>
      </c>
      <c r="E76" s="169">
        <f>IF(K76&lt;&gt;"",VLOOKUP(K76,'Catálogo SAP'!$A$1:$F$245,2,FALSE),"-")</f>
        <v>120</v>
      </c>
      <c r="F76" s="16">
        <v>5801</v>
      </c>
      <c r="G76" s="16">
        <v>5810</v>
      </c>
      <c r="H76" s="22"/>
      <c r="I76" s="133">
        <v>578</v>
      </c>
      <c r="J76" s="162" t="str">
        <f t="shared" si="16"/>
        <v>Tupirama</v>
      </c>
      <c r="K76" s="16">
        <v>120</v>
      </c>
      <c r="L76" s="167" t="str">
        <f>IF(K76&lt;&gt;"",VLOOKUP(K76,'Catálogo SAP'!A:F,3,FALSE),"")</f>
        <v>S.VP-01437</v>
      </c>
      <c r="M76" s="162" t="str">
        <f>IF(K76&lt;&gt;"",VLOOKUP(K76,'Catálogo SAP'!A:F,4,FALSE),"")</f>
        <v>Hr Produtiva Retroescavadeira C/Operador</v>
      </c>
      <c r="N76" s="168" t="str">
        <f>IF(K76&lt;&gt;"",VLOOKUP(K76,'Catálogo SAP'!A:F,5,FALSE),"")</f>
        <v>H</v>
      </c>
      <c r="O76" s="160">
        <v>9</v>
      </c>
      <c r="P76" s="70">
        <f t="shared" si="24"/>
        <v>9</v>
      </c>
      <c r="Q76" s="163" t="e">
        <f t="shared" si="17"/>
        <v>#VALUE!</v>
      </c>
      <c r="R76" s="44" t="str">
        <f>IF(J76&lt;&gt;"",VLOOKUP(J76,'RESUMO DR'!$B$4:$E$253,4,FALSE),"-")</f>
        <v>T-03</v>
      </c>
      <c r="S76" s="58" t="str">
        <f>IF(J76&lt;&gt;"",VLOOKUP(J76,'RESUMO DR'!$B$4:$E$253,3,FALSE),"-")</f>
        <v>PALMAS</v>
      </c>
      <c r="T76" s="129"/>
      <c r="U76" s="129"/>
      <c r="V76" s="210">
        <f>23600000/2</f>
        <v>11800000</v>
      </c>
      <c r="W76" s="128"/>
      <c r="X76" s="127"/>
      <c r="Y76" s="127"/>
      <c r="Z76" s="4"/>
      <c r="AA76" s="38"/>
    </row>
    <row r="77" spans="1:27" ht="18" customHeight="1">
      <c r="A77" s="5"/>
      <c r="B77" s="21">
        <v>45644</v>
      </c>
      <c r="C77" s="21" t="s">
        <v>124</v>
      </c>
      <c r="D77" s="74" t="str">
        <f t="shared" ref="D77" si="29">IF(B77="","-",TEXT(B77,"ddd"))</f>
        <v>qua</v>
      </c>
      <c r="E77" s="169" t="str">
        <f>IF(K77&lt;&gt;"",VLOOKUP(K77,'Catálogo SAP'!$A$1:$F$245,2,FALSE),"-")</f>
        <v>-</v>
      </c>
      <c r="F77" s="225"/>
      <c r="G77" s="225"/>
      <c r="H77" s="226"/>
      <c r="I77" s="230"/>
      <c r="J77" s="162" t="str">
        <f t="shared" si="16"/>
        <v/>
      </c>
      <c r="K77" s="16"/>
      <c r="L77" s="167" t="str">
        <f>IF(K77&lt;&gt;"",VLOOKUP(K77,'Catálogo SAP'!A:F,3,FALSE),"")</f>
        <v/>
      </c>
      <c r="M77" s="162" t="str">
        <f>IF(K77&lt;&gt;"",VLOOKUP(K77,'Catálogo SAP'!A:F,4,FALSE),"")</f>
        <v/>
      </c>
      <c r="N77" s="168" t="str">
        <f>IF(K77&lt;&gt;"",VLOOKUP(K77,'Catálogo SAP'!A:F,5,FALSE),"")</f>
        <v/>
      </c>
      <c r="O77" s="160"/>
      <c r="P77" s="70" t="str">
        <f t="shared" si="24"/>
        <v>-</v>
      </c>
      <c r="Q77" s="163" t="str">
        <f t="shared" si="17"/>
        <v>-</v>
      </c>
      <c r="R77" s="44" t="str">
        <f>IF(J77&lt;&gt;"",VLOOKUP(J77,'RESUMO DR'!$B$4:$E$253,4,FALSE),"-")</f>
        <v>-</v>
      </c>
      <c r="S77" s="58" t="str">
        <f>IF(J77&lt;&gt;"",VLOOKUP(J77,'RESUMO DR'!$B$4:$E$253,3,FALSE),"-")</f>
        <v>-</v>
      </c>
      <c r="T77" s="129"/>
      <c r="U77" s="129"/>
      <c r="V77" s="181">
        <f>V76/36</f>
        <v>327777.77777777775</v>
      </c>
      <c r="W77" s="128"/>
      <c r="X77" s="127"/>
      <c r="Y77" s="127"/>
      <c r="Z77" s="4"/>
      <c r="AA77" s="38"/>
    </row>
    <row r="78" spans="1:27" ht="13.8">
      <c r="A78" s="5"/>
      <c r="B78" s="21">
        <v>45644</v>
      </c>
      <c r="C78" s="21" t="s">
        <v>124</v>
      </c>
      <c r="D78" s="74" t="str">
        <f>IF(B78="","-",TEXT(B78,"ddd"))</f>
        <v>qua</v>
      </c>
      <c r="E78" s="169" t="str">
        <f>IF(K78&lt;&gt;"",VLOOKUP(K78,'Catálogo SAP'!$A$1:$F$245,2,FALSE),"-")</f>
        <v>-</v>
      </c>
      <c r="F78" s="16"/>
      <c r="G78" s="16"/>
      <c r="H78" s="22"/>
      <c r="I78" s="133"/>
      <c r="J78" s="162" t="str">
        <f t="shared" si="16"/>
        <v/>
      </c>
      <c r="K78" s="16"/>
      <c r="L78" s="167" t="str">
        <f>IF(K78&lt;&gt;"",VLOOKUP(K78,'Catálogo SAP'!A:F,3,FALSE),"")</f>
        <v/>
      </c>
      <c r="M78" s="162" t="str">
        <f>IF(K78&lt;&gt;"",VLOOKUP(K78,'Catálogo SAP'!A:F,4,FALSE),"")</f>
        <v/>
      </c>
      <c r="N78" s="168" t="str">
        <f>IF(K78&lt;&gt;"",VLOOKUP(K78,'Catálogo SAP'!A:F,5,FALSE),"")</f>
        <v/>
      </c>
      <c r="O78" s="160"/>
      <c r="P78" s="70" t="str">
        <f t="shared" si="24"/>
        <v>-</v>
      </c>
      <c r="Q78" s="163" t="str">
        <f t="shared" si="17"/>
        <v>-</v>
      </c>
      <c r="R78" s="44" t="str">
        <f>IF(J78&lt;&gt;"",VLOOKUP(J78,'RESUMO DR'!$B$4:$E$253,4,FALSE),"-")</f>
        <v>-</v>
      </c>
      <c r="S78" s="58" t="str">
        <f>IF(J78&lt;&gt;"",VLOOKUP(J78,'RESUMO DR'!$B$4:$E$253,3,FALSE),"-")</f>
        <v>-</v>
      </c>
      <c r="T78" s="129"/>
      <c r="U78" s="129"/>
      <c r="V78" s="129"/>
      <c r="W78" s="128"/>
      <c r="X78" s="127"/>
      <c r="Y78" s="127"/>
      <c r="Z78" s="4"/>
      <c r="AA78" s="38"/>
    </row>
    <row r="79" spans="1:27" ht="13.8">
      <c r="A79" s="5">
        <v>1463</v>
      </c>
      <c r="B79" s="21">
        <v>45644</v>
      </c>
      <c r="C79" s="21" t="s">
        <v>307</v>
      </c>
      <c r="D79" s="74" t="str">
        <f t="shared" ref="D79" si="30">IF(B79="","-",TEXT(B79,"ddd"))</f>
        <v>qua</v>
      </c>
      <c r="E79" s="169">
        <f>IF(K79&lt;&gt;"",VLOOKUP(K79,'Catálogo SAP'!$A$1:$F$245,2,FALSE),"-")</f>
        <v>200</v>
      </c>
      <c r="F79" s="225">
        <v>63407</v>
      </c>
      <c r="G79" s="225">
        <v>63749</v>
      </c>
      <c r="H79" s="226"/>
      <c r="I79" s="230">
        <v>122</v>
      </c>
      <c r="J79" s="162" t="str">
        <f t="shared" si="16"/>
        <v>EDSON LOBÃO</v>
      </c>
      <c r="K79" s="16">
        <v>200</v>
      </c>
      <c r="L79" s="167" t="str">
        <f>IF(K79&lt;&gt;"",VLOOKUP(K79,'Catálogo SAP'!A:F,3,FALSE),"")</f>
        <v>S.VP-01445</v>
      </c>
      <c r="M79" s="162" t="str">
        <f>IF(K79&lt;&gt;"",VLOOKUP(K79,'Catálogo SAP'!A:F,4,FALSE),"")</f>
        <v>Km Rodado Caminhão Basculante - C/Motorista</v>
      </c>
      <c r="N79" s="168" t="str">
        <f>IF(K79&lt;&gt;"",VLOOKUP(K79,'Catálogo SAP'!A:F,5,FALSE),"")</f>
        <v>KM</v>
      </c>
      <c r="O79" s="160">
        <v>342</v>
      </c>
      <c r="P79" s="70">
        <f t="shared" si="24"/>
        <v>342</v>
      </c>
      <c r="Q79" s="163" t="e">
        <f t="shared" si="17"/>
        <v>#VALUE!</v>
      </c>
      <c r="R79" s="44" t="str">
        <f>IF(J79&lt;&gt;"",VLOOKUP(J79,'RESUMO DR'!$B$4:$E$253,4,FALSE),"-")</f>
        <v>T-01</v>
      </c>
      <c r="S79" s="58" t="str">
        <f>IF(J79&lt;&gt;"",VLOOKUP(J79,'RESUMO DR'!$B$4:$E$253,3,FALSE),"-")</f>
        <v>IMPERATRIZ</v>
      </c>
      <c r="T79" s="129"/>
      <c r="U79" s="129"/>
      <c r="V79" s="129"/>
      <c r="W79" s="128"/>
      <c r="X79" s="127"/>
      <c r="Y79" s="127"/>
      <c r="Z79" s="4"/>
      <c r="AA79" s="38"/>
    </row>
    <row r="80" spans="1:27" ht="13.8">
      <c r="A80" s="5">
        <v>1464</v>
      </c>
      <c r="B80" s="21">
        <v>45644</v>
      </c>
      <c r="C80" s="21" t="s">
        <v>308</v>
      </c>
      <c r="D80" s="74" t="str">
        <f t="shared" si="15"/>
        <v>qua</v>
      </c>
      <c r="E80" s="169">
        <f>IF(K80&lt;&gt;"",VLOOKUP(K80,'Catálogo SAP'!$A$1:$F$245,2,FALSE),"-")</f>
        <v>200</v>
      </c>
      <c r="F80" s="225">
        <v>63514</v>
      </c>
      <c r="G80" s="225">
        <v>63755</v>
      </c>
      <c r="H80" s="226"/>
      <c r="I80" s="230">
        <v>122</v>
      </c>
      <c r="J80" s="162" t="str">
        <f t="shared" si="16"/>
        <v>EDSON LOBÃO</v>
      </c>
      <c r="K80" s="16">
        <v>200</v>
      </c>
      <c r="L80" s="167" t="str">
        <f>IF(K80&lt;&gt;"",VLOOKUP(K80,'Catálogo SAP'!A:F,3,FALSE),"")</f>
        <v>S.VP-01445</v>
      </c>
      <c r="M80" s="162" t="str">
        <f>IF(K80&lt;&gt;"",VLOOKUP(K80,'Catálogo SAP'!A:F,4,FALSE),"")</f>
        <v>Km Rodado Caminhão Basculante - C/Motorista</v>
      </c>
      <c r="N80" s="168" t="str">
        <f>IF(K80&lt;&gt;"",VLOOKUP(K80,'Catálogo SAP'!A:F,5,FALSE),"")</f>
        <v>KM</v>
      </c>
      <c r="O80" s="160">
        <v>241</v>
      </c>
      <c r="P80" s="70">
        <f t="shared" si="24"/>
        <v>241</v>
      </c>
      <c r="Q80" s="163" t="e">
        <f t="shared" si="17"/>
        <v>#VALUE!</v>
      </c>
      <c r="R80" s="44" t="str">
        <f>IF(J80&lt;&gt;"",VLOOKUP(J80,'RESUMO DR'!$B$4:$E$253,4,FALSE),"-")</f>
        <v>T-01</v>
      </c>
      <c r="S80" s="58" t="str">
        <f>IF(J80&lt;&gt;"",VLOOKUP(J80,'RESUMO DR'!$B$4:$E$253,3,FALSE),"-")</f>
        <v>IMPERATRIZ</v>
      </c>
      <c r="T80" s="129"/>
      <c r="U80" s="129"/>
      <c r="V80" s="129"/>
      <c r="W80" s="128"/>
      <c r="X80" s="127"/>
      <c r="Y80" s="127"/>
      <c r="Z80" s="4"/>
      <c r="AA80" s="38"/>
    </row>
    <row r="81" spans="1:27" ht="13.8">
      <c r="A81" s="5">
        <v>1457</v>
      </c>
      <c r="B81" s="21">
        <v>45644</v>
      </c>
      <c r="C81" s="21" t="s">
        <v>127</v>
      </c>
      <c r="D81" s="74" t="str">
        <f t="shared" ref="D81:D263" si="31">IF(B81="","-",TEXT(B81,"ddd"))</f>
        <v>qua</v>
      </c>
      <c r="E81" s="169">
        <f>IF(K81&lt;&gt;"",VLOOKUP(K81,'Catálogo SAP'!$A$1:$F$245,2,FALSE),"-")</f>
        <v>200</v>
      </c>
      <c r="F81" s="225">
        <v>47770</v>
      </c>
      <c r="G81" s="225">
        <v>47794</v>
      </c>
      <c r="H81" s="226"/>
      <c r="I81" s="230">
        <v>442</v>
      </c>
      <c r="J81" s="162" t="str">
        <f t="shared" ref="J81:J364" si="32">IF(AND(I81&gt;=0.001,I81&lt;=16),"AÇAILÂNDIA","")&amp;IF(AND(I81&gt;=16.001,I81&lt;=44),"S.F. BREJÃO","")&amp;IF(AND(I81&gt;=44.001,I81&lt;=78),"JOÃO LISBOA","")&amp;IF(AND(I81&gt;=78.001,I81&lt;=96.397),"IMPERATRIZ","")&amp;IF(AND(I81&gt;=96.398,I81&lt;=122.82),"EDSON LOBÃO","")&amp;IF(AND(I81&gt;=122.821,I81&lt;=152.303),"RIBAMAR FIQUENE","")&amp;IF(AND(I81&gt;=152.304,I81&lt;=172.403),"CAMPESTRE","")&amp;IF(AND(I81&gt;=172.404,I81&lt;=195),"PORTO FRANCO","")&amp;IF(AND(I81&gt;=300,I81&lt;=300),"SAO LUIS","")&amp;IF(AND(I81&gt;=385.4,I81&lt;=465.4),"Palmeirante","")&amp;IF(AND(I81&gt;=465.401,I81&lt;=520.455),"Tupiratins","")&amp;IF(AND(I81&gt;=520.456,I81&lt;=536.741),"Guaraí","")&amp;IF(AND(I81&gt;=536.742,I81&lt;=580.293),"Tupirama","")&amp;IF(AND(I81&gt;=580.294,I81&lt;=608.637),"Rio dos Bois","")&amp;IF(AND(I81&gt;=608.638,I81&lt;=698.981),"Miracema","")&amp;IF(AND(I81&gt;=698.982,I81&lt;=735.6),"Porto Nacional","")&amp;IF(AND(I81&gt;=195.1,I81&lt;=213.603),"ESTREITO","")&amp;IF(AND(I81&gt;=213.604,I81&lt;=218.976),"AGUIARNÓPOLIS","")&amp;IF(AND(I81&gt;=218.977,I81&lt;=253.5),"PALMEIRAS DO TOCANTINS","")&amp;IF(AND(I81&gt;=253.501,I81&lt;=274.15),"DARCINÓPOLIS","")&amp;IF(AND(I81&gt;=274.151,I81&lt;=299.999),"BABAÇULÂNDIA","")&amp;IF(AND(I81&gt;=356.62,I81&lt;=385.4),"ARAGUAÍNA","")&amp;IF(AND(I81&gt;=300.001,I81&lt;=356.619),"BABAÇULÂNDIA","")&amp;IF(AND(I81&gt;=900,I81&lt;=902),"ENG. VLI","")</f>
        <v>Palmeirante</v>
      </c>
      <c r="K81" s="16">
        <v>200</v>
      </c>
      <c r="L81" s="167" t="str">
        <f>IF(K81&lt;&gt;"",VLOOKUP(K81,'Catálogo SAP'!A:F,3,FALSE),"")</f>
        <v>S.VP-01445</v>
      </c>
      <c r="M81" s="162" t="str">
        <f>IF(K81&lt;&gt;"",VLOOKUP(K81,'Catálogo SAP'!A:F,4,FALSE),"")</f>
        <v>Km Rodado Caminhão Basculante - C/Motorista</v>
      </c>
      <c r="N81" s="168" t="str">
        <f>IF(K81&lt;&gt;"",VLOOKUP(K81,'Catálogo SAP'!A:F,5,FALSE),"")</f>
        <v>KM</v>
      </c>
      <c r="O81" s="160">
        <v>24</v>
      </c>
      <c r="P81" s="70">
        <f t="shared" si="24"/>
        <v>24</v>
      </c>
      <c r="Q81" s="163" t="e">
        <f t="shared" si="17"/>
        <v>#VALUE!</v>
      </c>
      <c r="R81" s="44" t="str">
        <f>IF(J81&lt;&gt;"",VLOOKUP(J81,'RESUMO DR'!$B$4:$E$253,4,FALSE),"-")</f>
        <v>T-02</v>
      </c>
      <c r="S81" s="58" t="str">
        <f>IF(J81&lt;&gt;"",VLOOKUP(J81,'RESUMO DR'!$B$4:$E$253,3,FALSE),"-")</f>
        <v>ARAGUAINA</v>
      </c>
      <c r="T81" s="129"/>
      <c r="U81" s="129"/>
      <c r="V81" s="129"/>
      <c r="W81" s="128"/>
      <c r="X81" s="127"/>
      <c r="Y81" s="127"/>
      <c r="Z81" s="4"/>
      <c r="AA81" s="38"/>
    </row>
    <row r="82" spans="1:27" ht="13.8">
      <c r="A82" s="5">
        <v>1465</v>
      </c>
      <c r="B82" s="21">
        <v>45644</v>
      </c>
      <c r="C82" s="21" t="s">
        <v>313</v>
      </c>
      <c r="D82" s="74" t="str">
        <f t="shared" si="31"/>
        <v>qua</v>
      </c>
      <c r="E82" s="169">
        <f>IF(K82&lt;&gt;"",VLOOKUP(K82,'Catálogo SAP'!$A$1:$F$245,2,FALSE),"-")</f>
        <v>200</v>
      </c>
      <c r="F82" s="16">
        <v>60204</v>
      </c>
      <c r="G82" s="16">
        <v>60464</v>
      </c>
      <c r="H82" s="22"/>
      <c r="I82" s="133">
        <v>182</v>
      </c>
      <c r="J82" s="162" t="str">
        <f t="shared" si="32"/>
        <v>PORTO FRANCO</v>
      </c>
      <c r="K82" s="16">
        <v>200</v>
      </c>
      <c r="L82" s="167" t="str">
        <f>IF(K82&lt;&gt;"",VLOOKUP(K82,'Catálogo SAP'!A:F,3,FALSE),"")</f>
        <v>S.VP-01445</v>
      </c>
      <c r="M82" s="162" t="str">
        <f>IF(K82&lt;&gt;"",VLOOKUP(K82,'Catálogo SAP'!A:F,4,FALSE),"")</f>
        <v>Km Rodado Caminhão Basculante - C/Motorista</v>
      </c>
      <c r="N82" s="168" t="str">
        <f>IF(K82&lt;&gt;"",VLOOKUP(K82,'Catálogo SAP'!A:F,5,FALSE),"")</f>
        <v>KM</v>
      </c>
      <c r="O82" s="160">
        <v>260</v>
      </c>
      <c r="P82" s="70">
        <f t="shared" si="24"/>
        <v>260</v>
      </c>
      <c r="Q82" s="163" t="e">
        <f t="shared" si="17"/>
        <v>#VALUE!</v>
      </c>
      <c r="R82" s="44" t="str">
        <f>IF(J82&lt;&gt;"",VLOOKUP(J82,'RESUMO DR'!$B$4:$E$253,4,FALSE),"-")</f>
        <v>T-01</v>
      </c>
      <c r="S82" s="58" t="str">
        <f>IF(J82&lt;&gt;"",VLOOKUP(J82,'RESUMO DR'!$B$4:$E$253,3,FALSE),"-")</f>
        <v>IMPERATRIZ</v>
      </c>
      <c r="T82" s="129"/>
      <c r="U82" s="129"/>
      <c r="V82" s="210"/>
      <c r="W82" s="128"/>
      <c r="X82" s="127"/>
      <c r="Y82" s="127"/>
      <c r="Z82" s="4"/>
      <c r="AA82" s="38"/>
    </row>
    <row r="83" spans="1:27" ht="18" customHeight="1">
      <c r="A83" s="5">
        <v>1458</v>
      </c>
      <c r="B83" s="21">
        <v>45644</v>
      </c>
      <c r="C83" s="21" t="s">
        <v>312</v>
      </c>
      <c r="D83" s="74" t="str">
        <f t="shared" si="31"/>
        <v>qua</v>
      </c>
      <c r="E83" s="169">
        <f>IF(K83&lt;&gt;"",VLOOKUP(K83,'Catálogo SAP'!$A$1:$F$245,2,FALSE),"-")</f>
        <v>200</v>
      </c>
      <c r="F83" s="16">
        <v>69134</v>
      </c>
      <c r="G83" s="16">
        <v>69678</v>
      </c>
      <c r="H83" s="22"/>
      <c r="I83" s="133">
        <v>442</v>
      </c>
      <c r="J83" s="162" t="str">
        <f t="shared" ref="J83:J84" si="33">IF(AND(I83&gt;=0.001,I83&lt;=16),"AÇAILÂNDIA","")&amp;IF(AND(I83&gt;=16.001,I83&lt;=44),"S.F. BREJÃO","")&amp;IF(AND(I83&gt;=44.001,I83&lt;=78),"JOÃO LISBOA","")&amp;IF(AND(I83&gt;=78.001,I83&lt;=96.397),"IMPERATRIZ","")&amp;IF(AND(I83&gt;=96.398,I83&lt;=122.82),"EDSON LOBÃO","")&amp;IF(AND(I83&gt;=122.821,I83&lt;=152.303),"RIBAMAR FIQUENE","")&amp;IF(AND(I83&gt;=152.304,I83&lt;=172.403),"CAMPESTRE","")&amp;IF(AND(I83&gt;=172.404,I83&lt;=195),"PORTO FRANCO","")&amp;IF(AND(I83&gt;=300,I83&lt;=300),"SAO LUIS","")&amp;IF(AND(I83&gt;=385.4,I83&lt;=465.4),"Palmeirante","")&amp;IF(AND(I83&gt;=465.401,I83&lt;=520.455),"Tupiratins","")&amp;IF(AND(I83&gt;=520.456,I83&lt;=536.741),"Guaraí","")&amp;IF(AND(I83&gt;=536.742,I83&lt;=580.293),"Tupirama","")&amp;IF(AND(I83&gt;=580.294,I83&lt;=608.637),"Rio dos Bois","")&amp;IF(AND(I83&gt;=608.638,I83&lt;=698.981),"Miracema","")&amp;IF(AND(I83&gt;=698.982,I83&lt;=735.6),"Porto Nacional","")&amp;IF(AND(I83&gt;=195.1,I83&lt;=213.603),"ESTREITO","")&amp;IF(AND(I83&gt;=213.604,I83&lt;=218.976),"AGUIARNÓPOLIS","")&amp;IF(AND(I83&gt;=218.977,I83&lt;=253.5),"PALMEIRAS DO TOCANTINS","")&amp;IF(AND(I83&gt;=253.501,I83&lt;=274.15),"DARCINÓPOLIS","")&amp;IF(AND(I83&gt;=274.151,I83&lt;=299.999),"BABAÇULÂNDIA","")&amp;IF(AND(I83&gt;=356.62,I83&lt;=385.4),"ARAGUAÍNA","")&amp;IF(AND(I83&gt;=300.001,I83&lt;=356.619),"BABAÇULÂNDIA","")&amp;IF(AND(I83&gt;=900,I83&lt;=902),"ENG. VLI","")</f>
        <v>Palmeirante</v>
      </c>
      <c r="K83" s="16">
        <v>200</v>
      </c>
      <c r="L83" s="167" t="str">
        <f>IF(K83&lt;&gt;"",VLOOKUP(K83,'Catálogo SAP'!A:F,3,FALSE),"")</f>
        <v>S.VP-01445</v>
      </c>
      <c r="M83" s="162" t="str">
        <f>IF(K83&lt;&gt;"",VLOOKUP(K83,'Catálogo SAP'!A:F,4,FALSE),"")</f>
        <v>Km Rodado Caminhão Basculante - C/Motorista</v>
      </c>
      <c r="N83" s="168" t="str">
        <f>IF(K83&lt;&gt;"",VLOOKUP(K83,'Catálogo SAP'!A:F,5,FALSE),"")</f>
        <v>KM</v>
      </c>
      <c r="O83" s="160">
        <v>544</v>
      </c>
      <c r="P83" s="70">
        <f t="shared" si="24"/>
        <v>544</v>
      </c>
      <c r="Q83" s="163" t="e">
        <f t="shared" si="17"/>
        <v>#VALUE!</v>
      </c>
      <c r="R83" s="44" t="str">
        <f>IF(J83&lt;&gt;"",VLOOKUP(J83,'RESUMO DR'!$B$4:$E$253,4,FALSE),"-")</f>
        <v>T-02</v>
      </c>
      <c r="S83" s="58" t="str">
        <f>IF(J83&lt;&gt;"",VLOOKUP(J83,'RESUMO DR'!$B$4:$E$253,3,FALSE),"-")</f>
        <v>ARAGUAINA</v>
      </c>
      <c r="T83" s="129"/>
      <c r="U83" s="129"/>
      <c r="V83" s="211">
        <f>327000*36</f>
        <v>11772000</v>
      </c>
      <c r="W83" s="128" t="s">
        <v>141</v>
      </c>
      <c r="X83" s="127"/>
      <c r="Y83" s="127"/>
      <c r="Z83" s="4"/>
      <c r="AA83" s="172"/>
    </row>
    <row r="84" spans="1:27" ht="18" customHeight="1">
      <c r="A84" s="5">
        <v>1463</v>
      </c>
      <c r="B84" s="21">
        <v>45644</v>
      </c>
      <c r="C84" s="21" t="s">
        <v>129</v>
      </c>
      <c r="D84" s="74" t="str">
        <f t="shared" si="31"/>
        <v>qua</v>
      </c>
      <c r="E84" s="169">
        <f>IF(K84&lt;&gt;"",VLOOKUP(K84,'Catálogo SAP'!$A$1:$F$245,2,FALSE),"-")</f>
        <v>200</v>
      </c>
      <c r="F84" s="16">
        <v>80181</v>
      </c>
      <c r="G84" s="16">
        <v>80254</v>
      </c>
      <c r="H84" s="22"/>
      <c r="I84" s="133">
        <v>578</v>
      </c>
      <c r="J84" s="162" t="str">
        <f t="shared" si="33"/>
        <v>Tupirama</v>
      </c>
      <c r="K84" s="16">
        <v>200</v>
      </c>
      <c r="L84" s="167" t="str">
        <f>IF(K84&lt;&gt;"",VLOOKUP(K84,'Catálogo SAP'!A:F,3,FALSE),"")</f>
        <v>S.VP-01445</v>
      </c>
      <c r="M84" s="162" t="str">
        <f>IF(K84&lt;&gt;"",VLOOKUP(K84,'Catálogo SAP'!A:F,4,FALSE),"")</f>
        <v>Km Rodado Caminhão Basculante - C/Motorista</v>
      </c>
      <c r="N84" s="168" t="str">
        <f>IF(K84&lt;&gt;"",VLOOKUP(K84,'Catálogo SAP'!A:F,5,FALSE),"")</f>
        <v>KM</v>
      </c>
      <c r="O84" s="160">
        <v>73</v>
      </c>
      <c r="P84" s="70">
        <f t="shared" si="24"/>
        <v>73</v>
      </c>
      <c r="Q84" s="163" t="e">
        <f t="shared" si="17"/>
        <v>#VALUE!</v>
      </c>
      <c r="R84" s="44" t="str">
        <f>IF(J84&lt;&gt;"",VLOOKUP(J84,'RESUMO DR'!$B$4:$E$253,4,FALSE),"-")</f>
        <v>T-03</v>
      </c>
      <c r="S84" s="58" t="str">
        <f>IF(J84&lt;&gt;"",VLOOKUP(J84,'RESUMO DR'!$B$4:$E$253,3,FALSE),"-")</f>
        <v>PALMAS</v>
      </c>
      <c r="T84" s="129"/>
      <c r="U84" s="129"/>
      <c r="V84" s="129"/>
      <c r="W84" s="128"/>
      <c r="X84" s="127"/>
      <c r="Y84" s="127"/>
      <c r="Z84" s="4"/>
    </row>
    <row r="85" spans="1:27" ht="18" customHeight="1">
      <c r="A85" s="5">
        <v>1467</v>
      </c>
      <c r="B85" s="21">
        <v>45644</v>
      </c>
      <c r="C85" s="21" t="s">
        <v>298</v>
      </c>
      <c r="D85" s="74" t="str">
        <f t="shared" si="31"/>
        <v>qua</v>
      </c>
      <c r="E85" s="169">
        <f>IF(K85&lt;&gt;"",VLOOKUP(K85,'Catálogo SAP'!$A$1:$F$245,2,FALSE),"-")</f>
        <v>160</v>
      </c>
      <c r="F85" s="225">
        <v>504</v>
      </c>
      <c r="G85" s="225">
        <v>513</v>
      </c>
      <c r="H85" s="226"/>
      <c r="I85" s="230">
        <v>123</v>
      </c>
      <c r="J85" s="162" t="str">
        <f t="shared" si="32"/>
        <v>RIBAMAR FIQUENE</v>
      </c>
      <c r="K85" s="16">
        <v>160</v>
      </c>
      <c r="L85" s="167" t="str">
        <f>IF(K85&lt;&gt;"",VLOOKUP(K85,'Catálogo SAP'!A:F,3,FALSE),"")</f>
        <v>S.VP-01441</v>
      </c>
      <c r="M85" s="162" t="str">
        <f>IF(K85&lt;&gt;"",VLOOKUP(K85,'Catálogo SAP'!A:F,4,FALSE),"")</f>
        <v>Hora Produtiva Pa Carregadeira C/Operador</v>
      </c>
      <c r="N85" s="168" t="str">
        <f>IF(K85&lt;&gt;"",VLOOKUP(K85,'Catálogo SAP'!A:F,5,FALSE),"")</f>
        <v>H</v>
      </c>
      <c r="O85" s="160">
        <v>9</v>
      </c>
      <c r="P85" s="70">
        <f t="shared" si="24"/>
        <v>9</v>
      </c>
      <c r="Q85" s="163" t="e">
        <f t="shared" si="17"/>
        <v>#VALUE!</v>
      </c>
      <c r="R85" s="44" t="str">
        <f>IF(J85&lt;&gt;"",VLOOKUP(J85,'RESUMO DR'!$B$4:$E$253,4,FALSE),"-")</f>
        <v>T-01</v>
      </c>
      <c r="S85" s="58" t="str">
        <f>IF(J85&lt;&gt;"",VLOOKUP(J85,'RESUMO DR'!$B$4:$E$253,3,FALSE),"-")</f>
        <v>IMPERATRIZ</v>
      </c>
      <c r="T85" s="129"/>
      <c r="U85" s="129"/>
      <c r="V85" s="129"/>
      <c r="W85" s="128"/>
      <c r="X85" s="127"/>
      <c r="Y85" s="127"/>
      <c r="Z85" s="4"/>
    </row>
    <row r="86" spans="1:27" ht="18" customHeight="1">
      <c r="A86" s="5">
        <v>1465</v>
      </c>
      <c r="B86" s="21">
        <v>45644</v>
      </c>
      <c r="C86" s="21" t="s">
        <v>131</v>
      </c>
      <c r="D86" s="74" t="str">
        <f t="shared" si="31"/>
        <v>qua</v>
      </c>
      <c r="E86" s="169">
        <f>IF(K86&lt;&gt;"",VLOOKUP(K86,'Catálogo SAP'!$A$1:$F$245,2,FALSE),"-")</f>
        <v>520</v>
      </c>
      <c r="F86" s="225">
        <v>10523</v>
      </c>
      <c r="G86" s="225">
        <v>10531</v>
      </c>
      <c r="H86" s="226"/>
      <c r="I86" s="230">
        <v>195</v>
      </c>
      <c r="J86" s="162" t="str">
        <f t="shared" ref="J86" si="34">IF(AND(I86&gt;=0.001,I86&lt;=16),"AÇAILÂNDIA","")&amp;IF(AND(I86&gt;=16.001,I86&lt;=44),"S.F. BREJÃO","")&amp;IF(AND(I86&gt;=44.001,I86&lt;=78),"JOÃO LISBOA","")&amp;IF(AND(I86&gt;=78.001,I86&lt;=96.397),"IMPERATRIZ","")&amp;IF(AND(I86&gt;=96.398,I86&lt;=122.82),"EDSON LOBÃO","")&amp;IF(AND(I86&gt;=122.821,I86&lt;=152.303),"RIBAMAR FIQUENE","")&amp;IF(AND(I86&gt;=152.304,I86&lt;=172.403),"CAMPESTRE","")&amp;IF(AND(I86&gt;=172.404,I86&lt;=195),"PORTO FRANCO","")&amp;IF(AND(I86&gt;=300,I86&lt;=300),"SAO LUIS","")&amp;IF(AND(I86&gt;=385.4,I86&lt;=465.4),"Palmeirante","")&amp;IF(AND(I86&gt;=465.401,I86&lt;=520.455),"Tupiratins","")&amp;IF(AND(I86&gt;=520.456,I86&lt;=536.741),"Guaraí","")&amp;IF(AND(I86&gt;=536.742,I86&lt;=580.293),"Tupirama","")&amp;IF(AND(I86&gt;=580.294,I86&lt;=608.637),"Rio dos Bois","")&amp;IF(AND(I86&gt;=608.638,I86&lt;=698.981),"Miracema","")&amp;IF(AND(I86&gt;=698.982,I86&lt;=735.6),"Porto Nacional","")&amp;IF(AND(I86&gt;=195.1,I86&lt;=213.603),"ESTREITO","")&amp;IF(AND(I86&gt;=213.604,I86&lt;=218.976),"AGUIARNÓPOLIS","")&amp;IF(AND(I86&gt;=218.977,I86&lt;=253.5),"PALMEIRAS DO TOCANTINS","")&amp;IF(AND(I86&gt;=253.501,I86&lt;=274.15),"DARCINÓPOLIS","")&amp;IF(AND(I86&gt;=274.151,I86&lt;=299.999),"BABAÇULÂNDIA","")&amp;IF(AND(I86&gt;=356.62,I86&lt;=385.4),"ARAGUAÍNA","")&amp;IF(AND(I86&gt;=300.001,I86&lt;=356.619),"BABAÇULÂNDIA","")&amp;IF(AND(I86&gt;=900,I86&lt;=902),"ENG. VLI","")</f>
        <v>PORTO FRANCO</v>
      </c>
      <c r="K86" s="16">
        <v>520</v>
      </c>
      <c r="L86" s="167" t="str">
        <f>IF(K86&lt;&gt;"",VLOOKUP(K86,'Catálogo SAP'!A:F,3,FALSE),"")</f>
        <v>S.VP-01469</v>
      </c>
      <c r="M86" s="162" t="str">
        <f>IF(K86&lt;&gt;"",VLOOKUP(K86,'Catálogo SAP'!A:F,4,FALSE),"")</f>
        <v>Hora Produtiva Escavadeira Hidraulica</v>
      </c>
      <c r="N86" s="168" t="str">
        <f>IF(K86&lt;&gt;"",VLOOKUP(K86,'Catálogo SAP'!A:F,5,FALSE),"")</f>
        <v>H</v>
      </c>
      <c r="O86" s="160">
        <v>8</v>
      </c>
      <c r="P86" s="70">
        <f t="shared" si="24"/>
        <v>8</v>
      </c>
      <c r="Q86" s="163" t="e">
        <f t="shared" si="17"/>
        <v>#VALUE!</v>
      </c>
      <c r="R86" s="44" t="str">
        <f>IF(J86&lt;&gt;"",VLOOKUP(J86,'RESUMO DR'!$B$4:$E$253,4,FALSE),"-")</f>
        <v>T-01</v>
      </c>
      <c r="S86" s="58" t="str">
        <f>IF(J86&lt;&gt;"",VLOOKUP(J86,'RESUMO DR'!$B$4:$E$253,3,FALSE),"-")</f>
        <v>IMPERATRIZ</v>
      </c>
      <c r="T86" s="129"/>
      <c r="U86" s="129"/>
      <c r="V86" s="129"/>
      <c r="W86" s="128"/>
      <c r="X86" s="127"/>
      <c r="Y86" s="127"/>
      <c r="Z86" s="4"/>
    </row>
    <row r="87" spans="1:27" ht="18" customHeight="1">
      <c r="A87" s="5">
        <v>1465</v>
      </c>
      <c r="B87" s="21">
        <v>45644</v>
      </c>
      <c r="C87" s="21" t="s">
        <v>131</v>
      </c>
      <c r="D87" s="74" t="str">
        <f t="shared" si="31"/>
        <v>qua</v>
      </c>
      <c r="E87" s="169">
        <f>IF(K87&lt;&gt;"",VLOOKUP(K87,'Catálogo SAP'!$A$1:$F$245,2,FALSE),"-")</f>
        <v>530</v>
      </c>
      <c r="F87" s="225">
        <v>10531</v>
      </c>
      <c r="G87" s="225">
        <v>10531</v>
      </c>
      <c r="H87" s="226"/>
      <c r="I87" s="230">
        <v>195</v>
      </c>
      <c r="J87" s="162" t="str">
        <f t="shared" si="32"/>
        <v>PORTO FRANCO</v>
      </c>
      <c r="K87" s="16">
        <v>530</v>
      </c>
      <c r="L87" s="167" t="str">
        <f>IF(K87&lt;&gt;"",VLOOKUP(K87,'Catálogo SAP'!A:F,3,FALSE),"")</f>
        <v>S.VP-01470</v>
      </c>
      <c r="M87" s="162" t="str">
        <f>IF(K87&lt;&gt;"",VLOOKUP(K87,'Catálogo SAP'!A:F,4,FALSE),"")</f>
        <v>Hora Improdutiva Escavadeira Hidraulica</v>
      </c>
      <c r="N87" s="168" t="str">
        <f>IF(K87&lt;&gt;"",VLOOKUP(K87,'Catálogo SAP'!A:F,5,FALSE),"")</f>
        <v>H</v>
      </c>
      <c r="O87" s="160">
        <v>1</v>
      </c>
      <c r="P87" s="70">
        <f t="shared" si="24"/>
        <v>0</v>
      </c>
      <c r="Q87" s="163" t="e">
        <f t="shared" si="17"/>
        <v>#VALUE!</v>
      </c>
      <c r="R87" s="44" t="str">
        <f>IF(J87&lt;&gt;"",VLOOKUP(J87,'RESUMO DR'!$B$4:$E$253,4,FALSE),"-")</f>
        <v>T-01</v>
      </c>
      <c r="S87" s="58" t="str">
        <f>IF(J87&lt;&gt;"",VLOOKUP(J87,'RESUMO DR'!$B$4:$E$253,3,FALSE),"-")</f>
        <v>IMPERATRIZ</v>
      </c>
      <c r="T87" s="129"/>
      <c r="U87" s="129"/>
      <c r="V87" s="210">
        <f>20%*23600000</f>
        <v>4720000</v>
      </c>
      <c r="W87" s="128"/>
      <c r="X87" s="127"/>
      <c r="Y87" s="127"/>
      <c r="Z87" s="4"/>
    </row>
    <row r="88" spans="1:27" ht="18" customHeight="1">
      <c r="A88" s="5">
        <v>1457</v>
      </c>
      <c r="B88" s="21">
        <v>45644</v>
      </c>
      <c r="C88" s="21" t="s">
        <v>311</v>
      </c>
      <c r="D88" s="74" t="str">
        <f t="shared" si="31"/>
        <v>qua</v>
      </c>
      <c r="E88" s="169">
        <f>IF(K88&lt;&gt;"",VLOOKUP(K88,'Catálogo SAP'!$A$1:$F$245,2,FALSE),"-")</f>
        <v>120</v>
      </c>
      <c r="F88" s="16">
        <v>1109</v>
      </c>
      <c r="G88" s="225">
        <v>1115</v>
      </c>
      <c r="H88" s="22"/>
      <c r="I88" s="133">
        <v>442</v>
      </c>
      <c r="J88" s="162" t="str">
        <f t="shared" ref="J88:J103" si="35">IF(AND(I88&gt;=0.001,I88&lt;=16),"AÇAILÂNDIA","")&amp;IF(AND(I88&gt;=16.001,I88&lt;=44),"S.F. BREJÃO","")&amp;IF(AND(I88&gt;=44.001,I88&lt;=78),"JOÃO LISBOA","")&amp;IF(AND(I88&gt;=78.001,I88&lt;=96.397),"IMPERATRIZ","")&amp;IF(AND(I88&gt;=96.398,I88&lt;=122.82),"EDSON LOBÃO","")&amp;IF(AND(I88&gt;=122.821,I88&lt;=152.303),"RIBAMAR FIQUENE","")&amp;IF(AND(I88&gt;=152.304,I88&lt;=172.403),"CAMPESTRE","")&amp;IF(AND(I88&gt;=172.404,I88&lt;=195),"PORTO FRANCO","")&amp;IF(AND(I88&gt;=300,I88&lt;=300),"SAO LUIS","")&amp;IF(AND(I88&gt;=385.4,I88&lt;=465.4),"Palmeirante","")&amp;IF(AND(I88&gt;=465.401,I88&lt;=520.455),"Tupiratins","")&amp;IF(AND(I88&gt;=520.456,I88&lt;=536.741),"Guaraí","")&amp;IF(AND(I88&gt;=536.742,I88&lt;=580.293),"Tupirama","")&amp;IF(AND(I88&gt;=580.294,I88&lt;=608.637),"Rio dos Bois","")&amp;IF(AND(I88&gt;=608.638,I88&lt;=698.981),"Miracema","")&amp;IF(AND(I88&gt;=698.982,I88&lt;=735.6),"Porto Nacional","")&amp;IF(AND(I88&gt;=195.1,I88&lt;=213.603),"ESTREITO","")&amp;IF(AND(I88&gt;=213.604,I88&lt;=218.976),"AGUIARNÓPOLIS","")&amp;IF(AND(I88&gt;=218.977,I88&lt;=253.5),"PALMEIRAS DO TOCANTINS","")&amp;IF(AND(I88&gt;=253.501,I88&lt;=274.15),"DARCINÓPOLIS","")&amp;IF(AND(I88&gt;=274.151,I88&lt;=299.999),"BABAÇULÂNDIA","")&amp;IF(AND(I88&gt;=356.62,I88&lt;=385.4),"ARAGUAÍNA","")&amp;IF(AND(I88&gt;=300.001,I88&lt;=356.619),"BABAÇULÂNDIA","")&amp;IF(AND(I88&gt;=900,I88&lt;=902),"ENG. VLI","")</f>
        <v>Palmeirante</v>
      </c>
      <c r="K88" s="16">
        <v>120</v>
      </c>
      <c r="L88" s="167" t="str">
        <f>IF(K88&lt;&gt;"",VLOOKUP(K88,'Catálogo SAP'!A:F,3,FALSE),"")</f>
        <v>S.VP-01437</v>
      </c>
      <c r="M88" s="162" t="str">
        <f>IF(K88&lt;&gt;"",VLOOKUP(K88,'Catálogo SAP'!A:F,4,FALSE),"")</f>
        <v>Hr Produtiva Retroescavadeira C/Operador</v>
      </c>
      <c r="N88" s="168" t="str">
        <f>IF(K88&lt;&gt;"",VLOOKUP(K88,'Catálogo SAP'!A:F,5,FALSE),"")</f>
        <v>H</v>
      </c>
      <c r="O88" s="160">
        <v>6</v>
      </c>
      <c r="P88" s="70">
        <f t="shared" si="24"/>
        <v>6</v>
      </c>
      <c r="Q88" s="163" t="e">
        <f t="shared" si="17"/>
        <v>#VALUE!</v>
      </c>
      <c r="R88" s="44" t="str">
        <f>IF(J88&lt;&gt;"",VLOOKUP(J88,'RESUMO DR'!$B$4:$E$253,4,FALSE),"-")</f>
        <v>T-02</v>
      </c>
      <c r="S88" s="58" t="str">
        <f>IF(J88&lt;&gt;"",VLOOKUP(J88,'RESUMO DR'!$B$4:$E$253,3,FALSE),"-")</f>
        <v>ARAGUAINA</v>
      </c>
      <c r="T88" s="129"/>
      <c r="U88" s="129"/>
      <c r="V88" s="210">
        <f>(202000+194000+327000)*24</f>
        <v>17352000</v>
      </c>
      <c r="W88" s="128"/>
      <c r="X88" s="127"/>
      <c r="Y88" s="127"/>
      <c r="Z88" s="4"/>
    </row>
    <row r="89" spans="1:27" ht="18" customHeight="1">
      <c r="A89" s="5">
        <v>1457</v>
      </c>
      <c r="B89" s="21">
        <v>45644</v>
      </c>
      <c r="C89" s="21" t="s">
        <v>311</v>
      </c>
      <c r="D89" s="74" t="str">
        <f t="shared" si="31"/>
        <v>qua</v>
      </c>
      <c r="E89" s="169">
        <f>IF(K89&lt;&gt;"",VLOOKUP(K89,'Catálogo SAP'!$A$1:$F$245,2,FALSE),"-")</f>
        <v>130</v>
      </c>
      <c r="F89" s="225">
        <v>1115</v>
      </c>
      <c r="G89" s="225">
        <v>1115</v>
      </c>
      <c r="H89" s="226"/>
      <c r="I89" s="230">
        <v>442</v>
      </c>
      <c r="J89" s="162" t="str">
        <f t="shared" si="35"/>
        <v>Palmeirante</v>
      </c>
      <c r="K89" s="16">
        <v>130</v>
      </c>
      <c r="L89" s="167" t="str">
        <f>IF(K89&lt;&gt;"",VLOOKUP(K89,'Catálogo SAP'!A:F,3,FALSE),"")</f>
        <v>S.VP-01438</v>
      </c>
      <c r="M89" s="162" t="str">
        <f>IF(K89&lt;&gt;"",VLOOKUP(K89,'Catálogo SAP'!A:F,4,FALSE),"")</f>
        <v>Hr Improdutiva Retroescavadeira C/Operador</v>
      </c>
      <c r="N89" s="168" t="str">
        <f>IF(K89&lt;&gt;"",VLOOKUP(K89,'Catálogo SAP'!A:F,5,FALSE),"")</f>
        <v>H</v>
      </c>
      <c r="O89" s="160">
        <v>3</v>
      </c>
      <c r="P89" s="70">
        <f t="shared" si="24"/>
        <v>0</v>
      </c>
      <c r="Q89" s="163" t="e">
        <f t="shared" si="17"/>
        <v>#VALUE!</v>
      </c>
      <c r="R89" s="44" t="str">
        <f>IF(J89&lt;&gt;"",VLOOKUP(J89,'RESUMO DR'!$B$4:$E$253,4,FALSE),"-")</f>
        <v>T-02</v>
      </c>
      <c r="S89" s="58" t="str">
        <f>IF(J89&lt;&gt;"",VLOOKUP(J89,'RESUMO DR'!$B$4:$E$253,3,FALSE),"-")</f>
        <v>ARAGUAINA</v>
      </c>
      <c r="T89" s="129"/>
      <c r="U89" s="129"/>
      <c r="V89" s="212">
        <f>SUM(V87:V88)</f>
        <v>22072000</v>
      </c>
      <c r="W89" s="128"/>
      <c r="X89" s="127"/>
      <c r="Y89" s="127"/>
      <c r="Z89" s="4"/>
    </row>
    <row r="90" spans="1:27" ht="18" customHeight="1">
      <c r="A90" s="5">
        <v>1457</v>
      </c>
      <c r="B90" s="21">
        <v>45644</v>
      </c>
      <c r="C90" s="21" t="s">
        <v>305</v>
      </c>
      <c r="D90" s="74" t="str">
        <f t="shared" si="31"/>
        <v>qua</v>
      </c>
      <c r="E90" s="169">
        <f>IF(K90&lt;&gt;"",VLOOKUP(K90,'Catálogo SAP'!$A$1:$F$245,2,FALSE),"-")</f>
        <v>280</v>
      </c>
      <c r="F90" s="225">
        <v>169</v>
      </c>
      <c r="G90" s="16">
        <v>175</v>
      </c>
      <c r="H90" s="226"/>
      <c r="I90" s="230">
        <v>442</v>
      </c>
      <c r="J90" s="162" t="str">
        <f t="shared" si="35"/>
        <v>Palmeirante</v>
      </c>
      <c r="K90" s="16">
        <v>280</v>
      </c>
      <c r="L90" s="167" t="str">
        <f>IF(K90&lt;&gt;"",VLOOKUP(K90,'Catálogo SAP'!A:F,3,FALSE),"")</f>
        <v>S.VP-01453</v>
      </c>
      <c r="M90" s="162" t="str">
        <f>IF(K90&lt;&gt;"",VLOOKUP(K90,'Catálogo SAP'!A:F,4,FALSE),"")</f>
        <v>Hora Produtiva Motoniveladora C/Operador</v>
      </c>
      <c r="N90" s="168" t="str">
        <f>IF(K90&lt;&gt;"",VLOOKUP(K90,'Catálogo SAP'!A:F,5,FALSE),"")</f>
        <v>H</v>
      </c>
      <c r="O90" s="160">
        <v>6</v>
      </c>
      <c r="P90" s="70">
        <f t="shared" si="24"/>
        <v>6</v>
      </c>
      <c r="Q90" s="163" t="e">
        <f t="shared" si="17"/>
        <v>#VALUE!</v>
      </c>
      <c r="R90" s="44" t="str">
        <f>IF(J90&lt;&gt;"",VLOOKUP(J90,'RESUMO DR'!$B$4:$E$253,4,FALSE),"-")</f>
        <v>T-02</v>
      </c>
      <c r="S90" s="58" t="str">
        <f>IF(J90&lt;&gt;"",VLOOKUP(J90,'RESUMO DR'!$B$4:$E$253,3,FALSE),"-")</f>
        <v>ARAGUAINA</v>
      </c>
      <c r="T90" s="129"/>
      <c r="U90" s="129"/>
      <c r="V90" s="210">
        <v>23600000</v>
      </c>
      <c r="W90" s="128"/>
      <c r="X90" s="127"/>
      <c r="Y90" s="127"/>
      <c r="Z90" s="4"/>
    </row>
    <row r="91" spans="1:27" ht="18" customHeight="1">
      <c r="A91" s="5">
        <v>1457</v>
      </c>
      <c r="B91" s="21">
        <v>45644</v>
      </c>
      <c r="C91" s="21" t="s">
        <v>305</v>
      </c>
      <c r="D91" s="74" t="str">
        <f t="shared" si="31"/>
        <v>qua</v>
      </c>
      <c r="E91" s="169">
        <f>IF(K91&lt;&gt;"",VLOOKUP(K91,'Catálogo SAP'!$A$1:$F$245,2,FALSE),"-")</f>
        <v>290</v>
      </c>
      <c r="F91" s="16">
        <v>175</v>
      </c>
      <c r="G91" s="16">
        <v>175</v>
      </c>
      <c r="H91" s="22"/>
      <c r="I91" s="133">
        <v>442</v>
      </c>
      <c r="J91" s="162" t="str">
        <f t="shared" si="35"/>
        <v>Palmeirante</v>
      </c>
      <c r="K91" s="16">
        <v>290</v>
      </c>
      <c r="L91" s="167" t="str">
        <f>IF(K91&lt;&gt;"",VLOOKUP(K91,'Catálogo SAP'!A:F,3,FALSE),"")</f>
        <v>S.VP-01454</v>
      </c>
      <c r="M91" s="162" t="str">
        <f>IF(K91&lt;&gt;"",VLOOKUP(K91,'Catálogo SAP'!A:F,4,FALSE),"")</f>
        <v>Hora Improdutiva Motoniveladora C/Operador</v>
      </c>
      <c r="N91" s="168" t="str">
        <f>IF(K91&lt;&gt;"",VLOOKUP(K91,'Catálogo SAP'!A:F,5,FALSE),"")</f>
        <v>H</v>
      </c>
      <c r="O91" s="160">
        <v>3</v>
      </c>
      <c r="P91" s="70">
        <f t="shared" si="24"/>
        <v>0</v>
      </c>
      <c r="Q91" s="163" t="e">
        <f t="shared" si="17"/>
        <v>#VALUE!</v>
      </c>
      <c r="R91" s="44" t="str">
        <f>IF(J91&lt;&gt;"",VLOOKUP(J91,'RESUMO DR'!$B$4:$E$253,4,FALSE),"-")</f>
        <v>T-02</v>
      </c>
      <c r="S91" s="58" t="str">
        <f>IF(J91&lt;&gt;"",VLOOKUP(J91,'RESUMO DR'!$B$4:$E$253,3,FALSE),"-")</f>
        <v>ARAGUAINA</v>
      </c>
      <c r="T91" s="129"/>
      <c r="U91" s="129"/>
      <c r="V91" s="129"/>
      <c r="W91" s="128"/>
      <c r="X91" s="127"/>
      <c r="Y91" s="127"/>
      <c r="Z91" s="4"/>
    </row>
    <row r="92" spans="1:27" ht="18" customHeight="1">
      <c r="A92" s="5">
        <v>1460</v>
      </c>
      <c r="B92" s="21">
        <v>45644</v>
      </c>
      <c r="C92" s="21" t="s">
        <v>301</v>
      </c>
      <c r="D92" s="74" t="str">
        <f t="shared" si="31"/>
        <v>qua</v>
      </c>
      <c r="E92" s="169">
        <f>IF(K92&lt;&gt;"",VLOOKUP(K92,'Catálogo SAP'!$A$1:$F$245,2,FALSE),"-")</f>
        <v>160</v>
      </c>
      <c r="F92" s="225">
        <v>124</v>
      </c>
      <c r="G92" s="225">
        <v>128</v>
      </c>
      <c r="H92" s="226"/>
      <c r="I92" s="230">
        <v>563</v>
      </c>
      <c r="J92" s="162" t="str">
        <f t="shared" si="35"/>
        <v>Tupirama</v>
      </c>
      <c r="K92" s="16">
        <v>160</v>
      </c>
      <c r="L92" s="167" t="str">
        <f>IF(K92&lt;&gt;"",VLOOKUP(K92,'Catálogo SAP'!A:F,3,FALSE),"")</f>
        <v>S.VP-01441</v>
      </c>
      <c r="M92" s="162" t="str">
        <f>IF(K92&lt;&gt;"",VLOOKUP(K92,'Catálogo SAP'!A:F,4,FALSE),"")</f>
        <v>Hora Produtiva Pa Carregadeira C/Operador</v>
      </c>
      <c r="N92" s="168" t="str">
        <f>IF(K92&lt;&gt;"",VLOOKUP(K92,'Catálogo SAP'!A:F,5,FALSE),"")</f>
        <v>H</v>
      </c>
      <c r="O92" s="160">
        <v>4</v>
      </c>
      <c r="P92" s="70">
        <f t="shared" si="24"/>
        <v>4</v>
      </c>
      <c r="Q92" s="163" t="e">
        <f t="shared" si="17"/>
        <v>#VALUE!</v>
      </c>
      <c r="R92" s="44" t="str">
        <f>IF(J92&lt;&gt;"",VLOOKUP(J92,'RESUMO DR'!$B$4:$E$253,4,FALSE),"-")</f>
        <v>T-03</v>
      </c>
      <c r="S92" s="58" t="str">
        <f>IF(J92&lt;&gt;"",VLOOKUP(J92,'RESUMO DR'!$B$4:$E$253,3,FALSE),"-")</f>
        <v>PALMAS</v>
      </c>
      <c r="T92" s="129"/>
      <c r="U92" s="129"/>
      <c r="V92" s="129"/>
      <c r="W92" s="128"/>
      <c r="X92" s="127"/>
      <c r="Y92" s="127"/>
      <c r="Z92" s="4"/>
    </row>
    <row r="93" spans="1:27" ht="18" customHeight="1">
      <c r="A93" s="5">
        <v>1460</v>
      </c>
      <c r="B93" s="21">
        <v>45644</v>
      </c>
      <c r="C93" s="21" t="s">
        <v>301</v>
      </c>
      <c r="D93" s="74" t="str">
        <f t="shared" si="31"/>
        <v>qua</v>
      </c>
      <c r="E93" s="169">
        <f>IF(K93&lt;&gt;"",VLOOKUP(K93,'Catálogo SAP'!$A$1:$F$245,2,FALSE),"-")</f>
        <v>170</v>
      </c>
      <c r="F93" s="225">
        <v>128</v>
      </c>
      <c r="G93" s="225">
        <v>128</v>
      </c>
      <c r="H93" s="226"/>
      <c r="I93" s="230">
        <v>563</v>
      </c>
      <c r="J93" s="162" t="str">
        <f t="shared" si="35"/>
        <v>Tupirama</v>
      </c>
      <c r="K93" s="16">
        <v>170</v>
      </c>
      <c r="L93" s="167" t="str">
        <f>IF(K93&lt;&gt;"",VLOOKUP(K93,'Catálogo SAP'!A:F,3,FALSE),"")</f>
        <v>S.VP-01442</v>
      </c>
      <c r="M93" s="162" t="str">
        <f>IF(K93&lt;&gt;"",VLOOKUP(K93,'Catálogo SAP'!A:F,4,FALSE),"")</f>
        <v>Hora Improdutiva Pa Carregadeira C/Operador</v>
      </c>
      <c r="N93" s="168" t="str">
        <f>IF(K93&lt;&gt;"",VLOOKUP(K93,'Catálogo SAP'!A:F,5,FALSE),"")</f>
        <v>H</v>
      </c>
      <c r="O93" s="160">
        <v>5</v>
      </c>
      <c r="P93" s="70">
        <f t="shared" si="24"/>
        <v>0</v>
      </c>
      <c r="Q93" s="163" t="e">
        <f t="shared" si="17"/>
        <v>#VALUE!</v>
      </c>
      <c r="R93" s="44" t="str">
        <f>IF(J93&lt;&gt;"",VLOOKUP(J93,'RESUMO DR'!$B$4:$E$253,4,FALSE),"-")</f>
        <v>T-03</v>
      </c>
      <c r="S93" s="58" t="str">
        <f>IF(J93&lt;&gt;"",VLOOKUP(J93,'RESUMO DR'!$B$4:$E$253,3,FALSE),"-")</f>
        <v>PALMAS</v>
      </c>
      <c r="T93" s="129"/>
      <c r="U93" s="129"/>
      <c r="V93" s="129"/>
      <c r="W93" s="128"/>
      <c r="X93" s="127"/>
      <c r="Y93" s="127"/>
      <c r="Z93" s="4"/>
    </row>
    <row r="94" spans="1:27" ht="18" customHeight="1">
      <c r="A94" s="5">
        <v>1468</v>
      </c>
      <c r="B94" s="21">
        <v>45644</v>
      </c>
      <c r="C94" s="21" t="s">
        <v>134</v>
      </c>
      <c r="D94" s="74" t="str">
        <f t="shared" si="31"/>
        <v>qua</v>
      </c>
      <c r="E94" s="169">
        <f>IF(K94&lt;&gt;"",VLOOKUP(K94,'Catálogo SAP'!$A$1:$F$245,2,FALSE),"-")</f>
        <v>480</v>
      </c>
      <c r="F94" s="225">
        <v>3359</v>
      </c>
      <c r="G94" s="225">
        <v>3366</v>
      </c>
      <c r="H94" s="226"/>
      <c r="I94" s="230">
        <v>91</v>
      </c>
      <c r="J94" s="162" t="str">
        <f t="shared" si="35"/>
        <v>IMPERATRIZ</v>
      </c>
      <c r="K94" s="16">
        <v>480</v>
      </c>
      <c r="L94" s="167" t="str">
        <f>IF(K94&lt;&gt;"",VLOOKUP(K94,'Catálogo SAP'!A:F,3,FALSE),"")</f>
        <v>S.VP-01465</v>
      </c>
      <c r="M94" s="162" t="str">
        <f>IF(K94&lt;&gt;"",VLOOKUP(K94,'Catálogo SAP'!A:F,4,FALSE),"")</f>
        <v>Hora Produtiva Miniescavadeira Hidraulica C/ Operador</v>
      </c>
      <c r="N94" s="168" t="str">
        <f>IF(K94&lt;&gt;"",VLOOKUP(K94,'Catálogo SAP'!A:F,5,FALSE),"")</f>
        <v>H</v>
      </c>
      <c r="O94" s="160">
        <v>7</v>
      </c>
      <c r="P94" s="70">
        <f t="shared" si="24"/>
        <v>7</v>
      </c>
      <c r="Q94" s="163" t="e">
        <f t="shared" si="17"/>
        <v>#VALUE!</v>
      </c>
      <c r="R94" s="44" t="str">
        <f>IF(J94&lt;&gt;"",VLOOKUP(J94,'RESUMO DR'!$B$4:$E$253,4,FALSE),"-")</f>
        <v>T-01</v>
      </c>
      <c r="S94" s="58" t="str">
        <f>IF(J94&lt;&gt;"",VLOOKUP(J94,'RESUMO DR'!$B$4:$E$253,3,FALSE),"-")</f>
        <v>IMPERATRIZ</v>
      </c>
      <c r="T94" s="129"/>
      <c r="U94" s="129"/>
      <c r="V94" s="129"/>
      <c r="W94" s="128"/>
      <c r="X94" s="127"/>
      <c r="Y94" s="127"/>
      <c r="Z94" s="4"/>
    </row>
    <row r="95" spans="1:27" ht="18" customHeight="1">
      <c r="A95" s="5">
        <v>1468</v>
      </c>
      <c r="B95" s="21">
        <v>45644</v>
      </c>
      <c r="C95" s="21" t="s">
        <v>134</v>
      </c>
      <c r="D95" s="74" t="str">
        <f t="shared" ref="D95:D97" si="36">IF(B95="","-",TEXT(B95,"ddd"))</f>
        <v>qua</v>
      </c>
      <c r="E95" s="169">
        <f>IF(K95&lt;&gt;"",VLOOKUP(K95,'Catálogo SAP'!$A$1:$F$245,2,FALSE),"-")</f>
        <v>490</v>
      </c>
      <c r="F95" s="225">
        <v>3366</v>
      </c>
      <c r="G95" s="225">
        <v>3366</v>
      </c>
      <c r="H95" s="226"/>
      <c r="I95" s="230">
        <v>91</v>
      </c>
      <c r="J95" s="162" t="str">
        <f t="shared" si="35"/>
        <v>IMPERATRIZ</v>
      </c>
      <c r="K95" s="16">
        <v>490</v>
      </c>
      <c r="L95" s="167" t="str">
        <f>IF(K95&lt;&gt;"",VLOOKUP(K95,'Catálogo SAP'!A:F,3,FALSE),"")</f>
        <v>S.VP-01466</v>
      </c>
      <c r="M95" s="162" t="str">
        <f>IF(K95&lt;&gt;"",VLOOKUP(K95,'Catálogo SAP'!A:F,4,FALSE),"")</f>
        <v>Hora Improdutiva Miniescavadeira Hidraulica C/ Operador</v>
      </c>
      <c r="N95" s="168" t="str">
        <f>IF(K95&lt;&gt;"",VLOOKUP(K95,'Catálogo SAP'!A:F,5,FALSE),"")</f>
        <v>H</v>
      </c>
      <c r="O95" s="160">
        <v>2</v>
      </c>
      <c r="P95" s="70">
        <f t="shared" si="24"/>
        <v>0</v>
      </c>
      <c r="Q95" s="163" t="e">
        <f t="shared" si="17"/>
        <v>#VALUE!</v>
      </c>
      <c r="R95" s="44" t="str">
        <f>IF(J95&lt;&gt;"",VLOOKUP(J95,'RESUMO DR'!$B$4:$E$253,4,FALSE),"-")</f>
        <v>T-01</v>
      </c>
      <c r="S95" s="58" t="str">
        <f>IF(J95&lt;&gt;"",VLOOKUP(J95,'RESUMO DR'!$B$4:$E$253,3,FALSE),"-")</f>
        <v>IMPERATRIZ</v>
      </c>
      <c r="T95" s="129"/>
      <c r="U95" s="129"/>
      <c r="V95" s="129"/>
      <c r="W95" s="128"/>
      <c r="X95" s="127"/>
      <c r="Y95" s="127"/>
      <c r="Z95" s="4"/>
    </row>
    <row r="96" spans="1:27" ht="18" customHeight="1">
      <c r="A96" s="5">
        <v>1465</v>
      </c>
      <c r="B96" s="21">
        <v>45644</v>
      </c>
      <c r="C96" s="21" t="s">
        <v>315</v>
      </c>
      <c r="D96" s="74" t="str">
        <f t="shared" si="36"/>
        <v>qua</v>
      </c>
      <c r="E96" s="169">
        <f>IF(K96&lt;&gt;"",VLOOKUP(K96,'Catálogo SAP'!$A$1:$F$245,2,FALSE),"-")</f>
        <v>160</v>
      </c>
      <c r="F96" s="16">
        <v>1344</v>
      </c>
      <c r="G96" s="16">
        <v>1353</v>
      </c>
      <c r="H96" s="22"/>
      <c r="I96" s="133">
        <v>182</v>
      </c>
      <c r="J96" s="162" t="str">
        <f t="shared" si="35"/>
        <v>PORTO FRANCO</v>
      </c>
      <c r="K96" s="16">
        <v>160</v>
      </c>
      <c r="L96" s="167" t="str">
        <f>IF(K96&lt;&gt;"",VLOOKUP(K96,'Catálogo SAP'!A:F,3,FALSE),"")</f>
        <v>S.VP-01441</v>
      </c>
      <c r="M96" s="162" t="str">
        <f>IF(K96&lt;&gt;"",VLOOKUP(K96,'Catálogo SAP'!A:F,4,FALSE),"")</f>
        <v>Hora Produtiva Pa Carregadeira C/Operador</v>
      </c>
      <c r="N96" s="168" t="str">
        <f>IF(K96&lt;&gt;"",VLOOKUP(K96,'Catálogo SAP'!A:F,5,FALSE),"")</f>
        <v>H</v>
      </c>
      <c r="O96" s="160">
        <v>9</v>
      </c>
      <c r="P96" s="70">
        <f t="shared" si="24"/>
        <v>9</v>
      </c>
      <c r="Q96" s="163" t="e">
        <f t="shared" si="17"/>
        <v>#VALUE!</v>
      </c>
      <c r="R96" s="44" t="str">
        <f>IF(J96&lt;&gt;"",VLOOKUP(J96,'RESUMO DR'!$B$4:$E$253,4,FALSE),"-")</f>
        <v>T-01</v>
      </c>
      <c r="S96" s="58" t="str">
        <f>IF(J96&lt;&gt;"",VLOOKUP(J96,'RESUMO DR'!$B$4:$E$253,3,FALSE),"-")</f>
        <v>IMPERATRIZ</v>
      </c>
      <c r="T96" s="129"/>
      <c r="U96" s="129"/>
      <c r="V96" s="129"/>
      <c r="W96" s="128"/>
      <c r="X96" s="127"/>
      <c r="Y96" s="127"/>
      <c r="Z96" s="4"/>
    </row>
    <row r="97" spans="1:26" ht="18" customHeight="1">
      <c r="A97" s="5">
        <v>1463</v>
      </c>
      <c r="B97" s="21">
        <v>45644</v>
      </c>
      <c r="C97" s="21" t="s">
        <v>320</v>
      </c>
      <c r="D97" s="74" t="str">
        <f t="shared" si="36"/>
        <v>qua</v>
      </c>
      <c r="E97" s="169">
        <f>IF(K97&lt;&gt;"",VLOOKUP(K97,'Catálogo SAP'!$A$1:$F$245,2,FALSE),"-")</f>
        <v>280</v>
      </c>
      <c r="F97" s="16">
        <v>257</v>
      </c>
      <c r="G97" s="16">
        <v>266</v>
      </c>
      <c r="H97" s="22"/>
      <c r="I97" s="133">
        <v>578</v>
      </c>
      <c r="J97" s="162" t="str">
        <f t="shared" si="35"/>
        <v>Tupirama</v>
      </c>
      <c r="K97" s="16">
        <v>280</v>
      </c>
      <c r="L97" s="167" t="str">
        <f>IF(K97&lt;&gt;"",VLOOKUP(K97,'Catálogo SAP'!A:F,3,FALSE),"")</f>
        <v>S.VP-01453</v>
      </c>
      <c r="M97" s="162" t="str">
        <f>IF(K97&lt;&gt;"",VLOOKUP(K97,'Catálogo SAP'!A:F,4,FALSE),"")</f>
        <v>Hora Produtiva Motoniveladora C/Operador</v>
      </c>
      <c r="N97" s="168" t="str">
        <f>IF(K97&lt;&gt;"",VLOOKUP(K97,'Catálogo SAP'!A:F,5,FALSE),"")</f>
        <v>H</v>
      </c>
      <c r="O97" s="160">
        <v>9</v>
      </c>
      <c r="P97" s="70">
        <f t="shared" si="24"/>
        <v>9</v>
      </c>
      <c r="Q97" s="163" t="e">
        <f t="shared" ref="Q97:Q98" si="37">IF(K97="","-",N97*O97)</f>
        <v>#VALUE!</v>
      </c>
      <c r="R97" s="44" t="str">
        <f>IF(J97&lt;&gt;"",VLOOKUP(J97,'RESUMO DR'!$B$4:$E$253,4,FALSE),"-")</f>
        <v>T-03</v>
      </c>
      <c r="S97" s="58" t="str">
        <f>IF(J97&lt;&gt;"",VLOOKUP(J97,'RESUMO DR'!$B$4:$E$253,3,FALSE),"-")</f>
        <v>PALMAS</v>
      </c>
      <c r="T97" s="129"/>
      <c r="U97" s="129"/>
      <c r="V97" s="181">
        <f>V90-V89</f>
        <v>1528000</v>
      </c>
      <c r="W97" s="128"/>
      <c r="X97" s="127"/>
      <c r="Y97" s="127"/>
      <c r="Z97" s="4"/>
    </row>
    <row r="98" spans="1:26" ht="13.8">
      <c r="A98" s="5"/>
      <c r="B98" s="21">
        <v>45644</v>
      </c>
      <c r="C98" s="21" t="s">
        <v>320</v>
      </c>
      <c r="D98" s="74" t="str">
        <f t="shared" ref="D98" si="38">IF(B98="","-",TEXT(B98,"ddd"))</f>
        <v>qua</v>
      </c>
      <c r="E98" s="169" t="str">
        <f>IF(K98&lt;&gt;"",VLOOKUP(K98,'Catálogo SAP'!$A$1:$F$245,2,FALSE),"-")</f>
        <v>-</v>
      </c>
      <c r="F98" s="16"/>
      <c r="G98" s="16"/>
      <c r="H98" s="22"/>
      <c r="I98" s="133"/>
      <c r="J98" s="162" t="str">
        <f t="shared" si="35"/>
        <v/>
      </c>
      <c r="K98" s="16"/>
      <c r="L98" s="167" t="str">
        <f>IF(K98&lt;&gt;"",VLOOKUP(K98,'Catálogo SAP'!A:F,3,FALSE),"")</f>
        <v/>
      </c>
      <c r="M98" s="162" t="str">
        <f>IF(K98&lt;&gt;"",VLOOKUP(K98,'Catálogo SAP'!A:F,4,FALSE),"")</f>
        <v/>
      </c>
      <c r="N98" s="168" t="str">
        <f>IF(K98&lt;&gt;"",VLOOKUP(K98,'Catálogo SAP'!A:F,5,FALSE),"")</f>
        <v/>
      </c>
      <c r="O98" s="160"/>
      <c r="P98" s="70" t="str">
        <f t="shared" si="24"/>
        <v>-</v>
      </c>
      <c r="Q98" s="163" t="str">
        <f t="shared" si="37"/>
        <v>-</v>
      </c>
      <c r="R98" s="44" t="str">
        <f>IF(J98&lt;&gt;"",VLOOKUP(J98,'RESUMO DR'!$B$4:$E$253,4,FALSE),"-")</f>
        <v>-</v>
      </c>
      <c r="S98" s="58" t="str">
        <f>IF(J98&lt;&gt;"",VLOOKUP(J98,'RESUMO DR'!$B$4:$E$253,3,FALSE),"-")</f>
        <v>-</v>
      </c>
      <c r="T98" s="129"/>
      <c r="U98" s="129"/>
      <c r="V98" s="129"/>
      <c r="W98" s="128"/>
      <c r="X98" s="127"/>
      <c r="Y98" s="127"/>
      <c r="Z98" s="4"/>
    </row>
    <row r="99" spans="1:26" ht="18" customHeight="1">
      <c r="A99" s="5"/>
      <c r="B99" s="21">
        <v>45644</v>
      </c>
      <c r="C99" s="21" t="s">
        <v>132</v>
      </c>
      <c r="D99" s="74" t="str">
        <f t="shared" si="31"/>
        <v>qua</v>
      </c>
      <c r="E99" s="169" t="str">
        <f>IF(K99&lt;&gt;"",VLOOKUP(K99,'Catálogo SAP'!$A$1:$F$245,2,FALSE),"-")</f>
        <v>-</v>
      </c>
      <c r="F99" s="16"/>
      <c r="G99" s="16"/>
      <c r="H99" s="22"/>
      <c r="I99" s="133"/>
      <c r="J99" s="162" t="str">
        <f t="shared" si="35"/>
        <v/>
      </c>
      <c r="K99" s="16"/>
      <c r="L99" s="167" t="str">
        <f>IF(K99&lt;&gt;"",VLOOKUP(K99,'Catálogo SAP'!A:F,3,FALSE),"")</f>
        <v/>
      </c>
      <c r="M99" s="162" t="str">
        <f>IF(K99&lt;&gt;"",VLOOKUP(K99,'Catálogo SAP'!A:F,4,FALSE),"")</f>
        <v/>
      </c>
      <c r="N99" s="168" t="str">
        <f>IF(K99&lt;&gt;"",VLOOKUP(K99,'Catálogo SAP'!A:F,5,FALSE),"")</f>
        <v/>
      </c>
      <c r="O99" s="160"/>
      <c r="P99" s="70" t="str">
        <f t="shared" si="24"/>
        <v>-</v>
      </c>
      <c r="Q99" s="163" t="str">
        <f t="shared" ref="Q99:Q183" si="39">IF(K99="","-",N99*O99)</f>
        <v>-</v>
      </c>
      <c r="R99" s="44" t="str">
        <f>IF(J99&lt;&gt;"",VLOOKUP(J99,'RESUMO DR'!$B$4:$E$253,4,FALSE),"-")</f>
        <v>-</v>
      </c>
      <c r="S99" s="58" t="str">
        <f>IF(J99&lt;&gt;"",VLOOKUP(J99,'RESUMO DR'!$B$4:$E$253,3,FALSE),"-")</f>
        <v>-</v>
      </c>
      <c r="T99" s="129"/>
      <c r="U99" s="129"/>
      <c r="V99" s="129"/>
      <c r="W99" s="128"/>
      <c r="X99" s="127"/>
      <c r="Y99" s="127"/>
      <c r="Z99" s="4"/>
    </row>
    <row r="100" spans="1:26" ht="18" customHeight="1">
      <c r="A100" s="5">
        <v>1462</v>
      </c>
      <c r="B100" s="21">
        <v>45644</v>
      </c>
      <c r="C100" s="21" t="s">
        <v>310</v>
      </c>
      <c r="D100" s="74" t="str">
        <f t="shared" ref="D100:D101" si="40">IF(B100="","-",TEXT(B100,"ddd"))</f>
        <v>qua</v>
      </c>
      <c r="E100" s="169">
        <f>IF(K100&lt;&gt;"",VLOOKUP(K100,'Catálogo SAP'!$A$1:$F$245,2,FALSE),"-")</f>
        <v>120</v>
      </c>
      <c r="F100" s="225">
        <v>109</v>
      </c>
      <c r="G100" s="225">
        <v>115</v>
      </c>
      <c r="H100" s="226"/>
      <c r="I100" s="230">
        <v>452</v>
      </c>
      <c r="J100" s="162" t="str">
        <f t="shared" si="35"/>
        <v>Palmeirante</v>
      </c>
      <c r="K100" s="16">
        <v>120</v>
      </c>
      <c r="L100" s="167" t="str">
        <f>IF(K100&lt;&gt;"",VLOOKUP(K100,'Catálogo SAP'!A:F,3,FALSE),"")</f>
        <v>S.VP-01437</v>
      </c>
      <c r="M100" s="162" t="str">
        <f>IF(K100&lt;&gt;"",VLOOKUP(K100,'Catálogo SAP'!A:F,4,FALSE),"")</f>
        <v>Hr Produtiva Retroescavadeira C/Operador</v>
      </c>
      <c r="N100" s="168" t="str">
        <f>IF(K100&lt;&gt;"",VLOOKUP(K100,'Catálogo SAP'!A:F,5,FALSE),"")</f>
        <v>H</v>
      </c>
      <c r="O100" s="160">
        <v>6</v>
      </c>
      <c r="P100" s="70">
        <f t="shared" si="24"/>
        <v>6</v>
      </c>
      <c r="Q100" s="163" t="e">
        <f t="shared" ref="Q100" si="41">IF(K100="","-",N100*O100)</f>
        <v>#VALUE!</v>
      </c>
      <c r="R100" s="44" t="s">
        <v>192</v>
      </c>
      <c r="S100" s="58" t="s">
        <v>193</v>
      </c>
      <c r="T100" s="129"/>
      <c r="U100" s="129"/>
      <c r="V100" s="129"/>
      <c r="W100" s="128"/>
      <c r="X100" s="127"/>
      <c r="Y100" s="127"/>
      <c r="Z100" s="4"/>
    </row>
    <row r="101" spans="1:26" ht="18" customHeight="1">
      <c r="A101" s="5">
        <v>1462</v>
      </c>
      <c r="B101" s="21">
        <v>45644</v>
      </c>
      <c r="C101" s="21" t="s">
        <v>310</v>
      </c>
      <c r="D101" s="74" t="str">
        <f t="shared" si="40"/>
        <v>qua</v>
      </c>
      <c r="E101" s="169">
        <f>IF(K101&lt;&gt;"",VLOOKUP(K101,'Catálogo SAP'!$A$1:$F$245,2,FALSE),"-")</f>
        <v>130</v>
      </c>
      <c r="F101" s="225">
        <v>115</v>
      </c>
      <c r="G101" s="225">
        <v>115</v>
      </c>
      <c r="H101" s="226"/>
      <c r="I101" s="230">
        <v>452</v>
      </c>
      <c r="J101" s="162" t="str">
        <f t="shared" si="35"/>
        <v>Palmeirante</v>
      </c>
      <c r="K101" s="225">
        <v>130</v>
      </c>
      <c r="L101" s="167" t="str">
        <f>IF(K101&lt;&gt;"",VLOOKUP(K101,'Catálogo SAP'!A:F,3,FALSE),"")</f>
        <v>S.VP-01438</v>
      </c>
      <c r="M101" s="162" t="str">
        <f>IF(K101&lt;&gt;"",VLOOKUP(K101,'Catálogo SAP'!A:F,4,FALSE),"")</f>
        <v>Hr Improdutiva Retroescavadeira C/Operador</v>
      </c>
      <c r="N101" s="168" t="str">
        <f>IF(K101&lt;&gt;"",VLOOKUP(K101,'Catálogo SAP'!A:F,5,FALSE),"")</f>
        <v>H</v>
      </c>
      <c r="O101" s="231">
        <v>3</v>
      </c>
      <c r="P101" s="70">
        <f t="shared" si="24"/>
        <v>0</v>
      </c>
      <c r="Q101" s="163" t="e">
        <f t="shared" ref="Q101:Q102" si="42">IF(K101="","-",N101*O101)</f>
        <v>#VALUE!</v>
      </c>
      <c r="R101" s="44" t="s">
        <v>192</v>
      </c>
      <c r="S101" s="58" t="s">
        <v>193</v>
      </c>
      <c r="T101" s="129"/>
      <c r="U101" s="129"/>
      <c r="V101" s="129"/>
      <c r="W101" s="128"/>
      <c r="X101" s="127"/>
      <c r="Y101" s="127"/>
      <c r="Z101" s="4"/>
    </row>
    <row r="102" spans="1:26" ht="18" customHeight="1">
      <c r="A102" s="5"/>
      <c r="B102" s="21">
        <v>45644</v>
      </c>
      <c r="C102" s="21" t="s">
        <v>138</v>
      </c>
      <c r="D102" s="74" t="str">
        <f t="shared" ref="D102" si="43">IF(B102="","-",TEXT(B102,"ddd"))</f>
        <v>qua</v>
      </c>
      <c r="E102" s="169" t="str">
        <f>IF(K102&lt;&gt;"",VLOOKUP(K102,'Catálogo SAP'!$A$1:$F$245,2,FALSE),"-")</f>
        <v>-</v>
      </c>
      <c r="F102" s="16"/>
      <c r="G102" s="225"/>
      <c r="H102" s="22"/>
      <c r="I102" s="133"/>
      <c r="J102" s="162" t="str">
        <f t="shared" si="35"/>
        <v/>
      </c>
      <c r="K102" s="16"/>
      <c r="L102" s="167" t="str">
        <f>IF(K102&lt;&gt;"",VLOOKUP(K102,'Catálogo SAP'!A:F,3,FALSE),"")</f>
        <v/>
      </c>
      <c r="M102" s="162" t="str">
        <f>IF(K102&lt;&gt;"",VLOOKUP(K102,'Catálogo SAP'!A:F,4,FALSE),"")</f>
        <v/>
      </c>
      <c r="N102" s="168" t="str">
        <f>IF(K102&lt;&gt;"",VLOOKUP(K102,'Catálogo SAP'!A:F,5,FALSE),"")</f>
        <v/>
      </c>
      <c r="O102" s="160"/>
      <c r="P102" s="70" t="str">
        <f t="shared" si="24"/>
        <v>-</v>
      </c>
      <c r="Q102" s="163" t="str">
        <f t="shared" si="42"/>
        <v>-</v>
      </c>
      <c r="R102" s="44" t="str">
        <f>IF(J102&lt;&gt;"",VLOOKUP(J102,'RESUMO DR'!$B$4:$E$253,4,FALSE),"-")</f>
        <v>-</v>
      </c>
      <c r="S102" s="58" t="str">
        <f>IF(J102&lt;&gt;"",VLOOKUP(J102,'RESUMO DR'!$B$4:$E$253,3,FALSE),"-")</f>
        <v>-</v>
      </c>
      <c r="T102" s="129"/>
      <c r="U102" s="129"/>
      <c r="V102" s="129"/>
      <c r="W102" s="128"/>
      <c r="X102" s="127"/>
      <c r="Y102" s="127"/>
      <c r="Z102" s="4"/>
    </row>
    <row r="103" spans="1:26" ht="18" customHeight="1">
      <c r="A103" s="5"/>
      <c r="B103" s="21">
        <v>45644</v>
      </c>
      <c r="C103" s="21" t="s">
        <v>138</v>
      </c>
      <c r="D103" s="74" t="str">
        <f t="shared" ref="D103" si="44">IF(B103="","-",TEXT(B103,"ddd"))</f>
        <v>qua</v>
      </c>
      <c r="E103" s="169" t="str">
        <f>IF(K103&lt;&gt;"",VLOOKUP(K103,'Catálogo SAP'!$A$1:$F$245,2,FALSE),"-")</f>
        <v>-</v>
      </c>
      <c r="F103" s="225"/>
      <c r="G103" s="225"/>
      <c r="H103" s="226"/>
      <c r="I103" s="227"/>
      <c r="J103" s="162" t="str">
        <f t="shared" si="35"/>
        <v/>
      </c>
      <c r="K103" s="225"/>
      <c r="L103" s="167" t="str">
        <f>IF(K103&lt;&gt;"",VLOOKUP(K103,'Catálogo SAP'!A:F,3,FALSE),"")</f>
        <v/>
      </c>
      <c r="M103" s="162" t="str">
        <f>IF(K103&lt;&gt;"",VLOOKUP(K103,'Catálogo SAP'!A:F,4,FALSE),"")</f>
        <v/>
      </c>
      <c r="N103" s="168" t="str">
        <f>IF(K103&lt;&gt;"",VLOOKUP(K103,'Catálogo SAP'!A:F,5,FALSE),"")</f>
        <v/>
      </c>
      <c r="O103" s="160"/>
      <c r="P103" s="70" t="str">
        <f t="shared" si="24"/>
        <v>-</v>
      </c>
      <c r="Q103" s="163" t="str">
        <f t="shared" ref="Q103" si="45">IF(K103="","-",N103*O103)</f>
        <v>-</v>
      </c>
      <c r="R103" s="44" t="str">
        <f>IF(J103&lt;&gt;"",VLOOKUP(J103,'RESUMO DR'!$B$4:$E$253,4,FALSE),"-")</f>
        <v>-</v>
      </c>
      <c r="S103" s="58" t="str">
        <f>IF(J103&lt;&gt;"",VLOOKUP(J103,'RESUMO DR'!$B$4:$E$253,3,FALSE),"-")</f>
        <v>-</v>
      </c>
      <c r="T103" s="129"/>
      <c r="U103" s="129"/>
      <c r="V103" s="129"/>
      <c r="W103" s="128"/>
      <c r="X103" s="127"/>
      <c r="Y103" s="127"/>
      <c r="Z103" s="4"/>
    </row>
    <row r="104" spans="1:26" ht="18" customHeight="1">
      <c r="A104" s="5"/>
      <c r="B104" s="21">
        <v>45644</v>
      </c>
      <c r="C104" s="21" t="s">
        <v>139</v>
      </c>
      <c r="D104" s="74" t="str">
        <f t="shared" ref="D104:D111" si="46">IF(B104="","-",TEXT(B104,"ddd"))</f>
        <v>qua</v>
      </c>
      <c r="E104" s="169" t="str">
        <f>IF(K104&lt;&gt;"",VLOOKUP(K104,'Catálogo SAP'!$A$1:$F$245,2,FALSE),"-")</f>
        <v>-</v>
      </c>
      <c r="F104" s="225"/>
      <c r="G104" s="225"/>
      <c r="H104" s="226"/>
      <c r="I104" s="230"/>
      <c r="J104" s="162" t="str">
        <f t="shared" ref="J104:J111" si="47">IF(AND(I104&gt;=0.001,I104&lt;=16),"AÇAILÂNDIA","")&amp;IF(AND(I104&gt;=16.001,I104&lt;=44),"S.F. BREJÃO","")&amp;IF(AND(I104&gt;=44.001,I104&lt;=78),"JOÃO LISBOA","")&amp;IF(AND(I104&gt;=78.001,I104&lt;=96.397),"IMPERATRIZ","")&amp;IF(AND(I104&gt;=96.398,I104&lt;=122.82),"EDSON LOBÃO","")&amp;IF(AND(I104&gt;=122.821,I104&lt;=152.303),"RIBAMAR FIQUENE","")&amp;IF(AND(I104&gt;=152.304,I104&lt;=172.403),"CAMPESTRE","")&amp;IF(AND(I104&gt;=172.404,I104&lt;=195),"PORTO FRANCO","")&amp;IF(AND(I104&gt;=300,I104&lt;=300),"SAO LUIS","")&amp;IF(AND(I104&gt;=385.4,I104&lt;=465.4),"Palmeirante","")&amp;IF(AND(I104&gt;=465.401,I104&lt;=520.455),"Tupiratins","")&amp;IF(AND(I104&gt;=520.456,I104&lt;=536.741),"Guaraí","")&amp;IF(AND(I104&gt;=536.742,I104&lt;=580.293),"Tupirama","")&amp;IF(AND(I104&gt;=580.294,I104&lt;=608.637),"Rio dos Bois","")&amp;IF(AND(I104&gt;=608.638,I104&lt;=698.981),"Miracema","")&amp;IF(AND(I104&gt;=698.982,I104&lt;=735.6),"Porto Nacional","")&amp;IF(AND(I104&gt;=195.1,I104&lt;=213.603),"ESTREITO","")&amp;IF(AND(I104&gt;=213.604,I104&lt;=218.976),"AGUIARNÓPOLIS","")&amp;IF(AND(I104&gt;=218.977,I104&lt;=253.5),"PALMEIRAS DO TOCANTINS","")&amp;IF(AND(I104&gt;=253.501,I104&lt;=274.15),"DARCINÓPOLIS","")&amp;IF(AND(I104&gt;=274.151,I104&lt;=299.999),"BABAÇULÂNDIA","")&amp;IF(AND(I104&gt;=356.62,I104&lt;=385.4),"ARAGUAÍNA","")&amp;IF(AND(I104&gt;=300.001,I104&lt;=356.619),"BABAÇULÂNDIA","")&amp;IF(AND(I104&gt;=900,I104&lt;=902),"ENG. VLI","")</f>
        <v/>
      </c>
      <c r="K104" s="16"/>
      <c r="L104" s="167" t="str">
        <f>IF(K104&lt;&gt;"",VLOOKUP(K104,'Catálogo SAP'!A:F,3,FALSE),"")</f>
        <v/>
      </c>
      <c r="M104" s="162" t="str">
        <f>IF(K104&lt;&gt;"",VLOOKUP(K104,'Catálogo SAP'!A:F,4,FALSE),"")</f>
        <v/>
      </c>
      <c r="N104" s="168" t="str">
        <f>IF(K104&lt;&gt;"",VLOOKUP(K104,'Catálogo SAP'!A:F,5,FALSE),"")</f>
        <v/>
      </c>
      <c r="O104" s="160"/>
      <c r="P104" s="70" t="str">
        <f t="shared" si="24"/>
        <v>-</v>
      </c>
      <c r="Q104" s="163" t="str">
        <f t="shared" si="39"/>
        <v>-</v>
      </c>
      <c r="R104" s="44" t="str">
        <f>IF(J104&lt;&gt;"",VLOOKUP(J104,'RESUMO DR'!$B$4:$E$253,4,FALSE),"-")</f>
        <v>-</v>
      </c>
      <c r="S104" s="58" t="str">
        <f>IF(J104&lt;&gt;"",VLOOKUP(J104,'RESUMO DR'!$B$4:$E$253,3,FALSE),"-")</f>
        <v>-</v>
      </c>
      <c r="T104" s="129"/>
      <c r="U104" s="129"/>
      <c r="V104" s="181">
        <f>V97/2</f>
        <v>764000</v>
      </c>
      <c r="W104" s="128"/>
      <c r="X104" s="127"/>
      <c r="Y104" s="127"/>
      <c r="Z104" s="4"/>
    </row>
    <row r="105" spans="1:26" ht="18" customHeight="1">
      <c r="A105" s="5"/>
      <c r="B105" s="21">
        <v>45644</v>
      </c>
      <c r="C105" s="21" t="s">
        <v>139</v>
      </c>
      <c r="D105" s="74" t="str">
        <f t="shared" si="46"/>
        <v>qua</v>
      </c>
      <c r="E105" s="169" t="str">
        <f>IF(K105&lt;&gt;"",VLOOKUP(K105,'Catálogo SAP'!$A$1:$F$245,2,FALSE),"-")</f>
        <v>-</v>
      </c>
      <c r="F105" s="225"/>
      <c r="G105" s="225"/>
      <c r="H105" s="226"/>
      <c r="I105" s="230"/>
      <c r="J105" s="162" t="str">
        <f t="shared" si="47"/>
        <v/>
      </c>
      <c r="K105" s="16"/>
      <c r="L105" s="167" t="str">
        <f>IF(K105&lt;&gt;"",VLOOKUP(K105,'Catálogo SAP'!A:F,3,FALSE),"")</f>
        <v/>
      </c>
      <c r="M105" s="162" t="str">
        <f>IF(K105&lt;&gt;"",VLOOKUP(K105,'Catálogo SAP'!A:F,4,FALSE),"")</f>
        <v/>
      </c>
      <c r="N105" s="168" t="str">
        <f>IF(K105&lt;&gt;"",VLOOKUP(K105,'Catálogo SAP'!A:F,5,FALSE),"")</f>
        <v/>
      </c>
      <c r="O105" s="160"/>
      <c r="P105" s="70" t="str">
        <f t="shared" si="24"/>
        <v>-</v>
      </c>
      <c r="Q105" s="163" t="str">
        <f t="shared" si="39"/>
        <v>-</v>
      </c>
      <c r="R105" s="44" t="str">
        <f>IF(J105&lt;&gt;"",VLOOKUP(J105,'RESUMO DR'!$B$4:$E$253,4,FALSE),"-")</f>
        <v>-</v>
      </c>
      <c r="S105" s="58" t="str">
        <f>IF(J105&lt;&gt;"",VLOOKUP(J105,'RESUMO DR'!$B$4:$E$253,3,FALSE),"-")</f>
        <v>-</v>
      </c>
      <c r="T105" s="129"/>
      <c r="U105" s="129"/>
      <c r="V105" s="129"/>
      <c r="W105" s="128"/>
      <c r="X105" s="127"/>
      <c r="Y105" s="127"/>
      <c r="Z105" s="4"/>
    </row>
    <row r="106" spans="1:26" ht="18" customHeight="1">
      <c r="A106" s="5"/>
      <c r="B106" s="21">
        <v>45644</v>
      </c>
      <c r="C106" s="222" t="s">
        <v>303</v>
      </c>
      <c r="D106" s="74" t="str">
        <f t="shared" ref="D106:D107" si="48">IF(B106="","-",TEXT(B106,"ddd"))</f>
        <v>qua</v>
      </c>
      <c r="E106" s="169" t="str">
        <f>IF(K106&lt;&gt;"",VLOOKUP(K106,'Catálogo SAP'!$A$1:$F$245,2,FALSE),"-")</f>
        <v>-</v>
      </c>
      <c r="F106" s="225"/>
      <c r="G106" s="225"/>
      <c r="H106" s="226"/>
      <c r="I106" s="230"/>
      <c r="J106" s="162" t="str">
        <f t="shared" si="47"/>
        <v/>
      </c>
      <c r="K106" s="225"/>
      <c r="L106" s="167" t="str">
        <f>IF(K106&lt;&gt;"",VLOOKUP(K106,'Catálogo SAP'!A:F,3,FALSE),"")</f>
        <v/>
      </c>
      <c r="M106" s="162" t="str">
        <f>IF(K106&lt;&gt;"",VLOOKUP(K106,'Catálogo SAP'!A:F,4,FALSE),"")</f>
        <v/>
      </c>
      <c r="N106" s="168" t="str">
        <f>IF(K106&lt;&gt;"",VLOOKUP(K106,'Catálogo SAP'!A:F,5,FALSE),"")</f>
        <v/>
      </c>
      <c r="O106" s="160"/>
      <c r="P106" s="70" t="str">
        <f t="shared" si="24"/>
        <v>-</v>
      </c>
      <c r="Q106" s="163" t="str">
        <f t="shared" ref="Q106:Q109" si="49">IF(K106="","-",N106*O106)</f>
        <v>-</v>
      </c>
      <c r="R106" s="44" t="str">
        <f>IF(J106&lt;&gt;"",VLOOKUP(J106,'RESUMO DR'!$B$4:$E$253,4,FALSE),"-")</f>
        <v>-</v>
      </c>
      <c r="S106" s="58" t="str">
        <f>IF(J106&lt;&gt;"",VLOOKUP(J106,'RESUMO DR'!$B$4:$E$253,3,FALSE),"-")</f>
        <v>-</v>
      </c>
      <c r="T106" s="129"/>
      <c r="U106" s="129"/>
      <c r="V106" s="129"/>
      <c r="W106" s="128"/>
      <c r="X106" s="127"/>
      <c r="Y106" s="127"/>
      <c r="Z106" s="4"/>
    </row>
    <row r="107" spans="1:26" ht="18" customHeight="1">
      <c r="A107" s="5"/>
      <c r="B107" s="21">
        <v>45644</v>
      </c>
      <c r="C107" s="222" t="s">
        <v>303</v>
      </c>
      <c r="D107" s="74" t="str">
        <f t="shared" si="48"/>
        <v>qua</v>
      </c>
      <c r="E107" s="169" t="str">
        <f>IF(K107&lt;&gt;"",VLOOKUP(K107,'Catálogo SAP'!$A$1:$F$245,2,FALSE),"-")</f>
        <v>-</v>
      </c>
      <c r="F107" s="225"/>
      <c r="G107" s="225"/>
      <c r="H107" s="226"/>
      <c r="I107" s="230"/>
      <c r="J107" s="162" t="str">
        <f t="shared" si="47"/>
        <v/>
      </c>
      <c r="K107" s="225"/>
      <c r="L107" s="167" t="str">
        <f>IF(K107&lt;&gt;"",VLOOKUP(K107,'Catálogo SAP'!A:F,3,FALSE),"")</f>
        <v/>
      </c>
      <c r="M107" s="162" t="str">
        <f>IF(K107&lt;&gt;"",VLOOKUP(K107,'Catálogo SAP'!A:F,4,FALSE),"")</f>
        <v/>
      </c>
      <c r="N107" s="168" t="str">
        <f>IF(K107&lt;&gt;"",VLOOKUP(K107,'Catálogo SAP'!A:F,5,FALSE),"")</f>
        <v/>
      </c>
      <c r="O107" s="160"/>
      <c r="P107" s="70" t="str">
        <f t="shared" si="24"/>
        <v>-</v>
      </c>
      <c r="Q107" s="163" t="str">
        <f t="shared" si="49"/>
        <v>-</v>
      </c>
      <c r="R107" s="44" t="str">
        <f>IF(J107&lt;&gt;"",VLOOKUP(J107,'RESUMO DR'!$B$4:$E$253,4,FALSE),"-")</f>
        <v>-</v>
      </c>
      <c r="S107" s="58" t="str">
        <f>IF(J107&lt;&gt;"",VLOOKUP(J107,'RESUMO DR'!$B$4:$E$253,3,FALSE),"-")</f>
        <v>-</v>
      </c>
      <c r="T107" s="129"/>
      <c r="U107" s="129"/>
      <c r="V107" s="129"/>
      <c r="W107" s="128"/>
      <c r="X107" s="127"/>
      <c r="Y107" s="127"/>
      <c r="Z107" s="4"/>
    </row>
    <row r="108" spans="1:26" ht="18" customHeight="1">
      <c r="A108" s="5"/>
      <c r="B108" s="222"/>
      <c r="C108" s="222"/>
      <c r="D108" s="223"/>
      <c r="E108" s="224"/>
      <c r="F108" s="225"/>
      <c r="G108" s="225"/>
      <c r="H108" s="226"/>
      <c r="I108" s="230"/>
      <c r="J108" s="162" t="str">
        <f t="shared" si="47"/>
        <v/>
      </c>
      <c r="K108" s="225"/>
      <c r="L108" s="167" t="str">
        <f>IF(K108&lt;&gt;"",VLOOKUP(K108,'Catálogo SAP'!A:F,3,FALSE),"")</f>
        <v/>
      </c>
      <c r="M108" s="162" t="str">
        <f>IF(K108&lt;&gt;"",VLOOKUP(K108,'Catálogo SAP'!A:F,4,FALSE),"")</f>
        <v/>
      </c>
      <c r="N108" s="168" t="str">
        <f>IF(K108&lt;&gt;"",VLOOKUP(K108,'Catálogo SAP'!A:F,5,FALSE),"")</f>
        <v/>
      </c>
      <c r="O108" s="160"/>
      <c r="P108" s="70" t="str">
        <f t="shared" si="24"/>
        <v>-</v>
      </c>
      <c r="Q108" s="163" t="str">
        <f t="shared" si="49"/>
        <v>-</v>
      </c>
      <c r="R108" s="44" t="str">
        <f>IF(J108&lt;&gt;"",VLOOKUP(J108,'RESUMO DR'!$B$4:$E$253,4,FALSE),"-")</f>
        <v>-</v>
      </c>
      <c r="S108" s="58" t="str">
        <f>IF(J108&lt;&gt;"",VLOOKUP(J108,'RESUMO DR'!$B$4:$E$253,3,FALSE),"-")</f>
        <v>-</v>
      </c>
      <c r="T108" s="129"/>
      <c r="U108" s="129"/>
      <c r="V108" s="129"/>
      <c r="W108" s="128"/>
      <c r="X108" s="127"/>
      <c r="Y108" s="127"/>
      <c r="Z108" s="4"/>
    </row>
    <row r="109" spans="1:26" ht="18" customHeight="1">
      <c r="A109" s="5">
        <v>1555</v>
      </c>
      <c r="B109" s="21">
        <v>45645</v>
      </c>
      <c r="C109" s="21" t="s">
        <v>121</v>
      </c>
      <c r="D109" s="74" t="str">
        <f t="shared" si="46"/>
        <v>qui</v>
      </c>
      <c r="E109" s="169">
        <f>IF(K109&lt;&gt;"",VLOOKUP(K109,'Catálogo SAP'!$A$1:$F$245,2,FALSE),"-")</f>
        <v>120</v>
      </c>
      <c r="F109" s="16">
        <v>8671</v>
      </c>
      <c r="G109" s="16">
        <v>8679</v>
      </c>
      <c r="H109" s="22"/>
      <c r="I109" s="133">
        <v>300</v>
      </c>
      <c r="J109" s="162" t="str">
        <f t="shared" si="47"/>
        <v>SAO LUIS</v>
      </c>
      <c r="K109" s="16">
        <v>120</v>
      </c>
      <c r="L109" s="167" t="str">
        <f>IF(K109&lt;&gt;"",VLOOKUP(K109,'Catálogo SAP'!A:F,3,FALSE),"")</f>
        <v>S.VP-01437</v>
      </c>
      <c r="M109" s="162" t="str">
        <f>IF(K109&lt;&gt;"",VLOOKUP(K109,'Catálogo SAP'!A:F,4,FALSE),"")</f>
        <v>Hr Produtiva Retroescavadeira C/Operador</v>
      </c>
      <c r="N109" s="168" t="str">
        <f>IF(K109&lt;&gt;"",VLOOKUP(K109,'Catálogo SAP'!A:F,5,FALSE),"")</f>
        <v>H</v>
      </c>
      <c r="O109" s="160">
        <v>8</v>
      </c>
      <c r="P109" s="70">
        <f t="shared" si="24"/>
        <v>8</v>
      </c>
      <c r="Q109" s="163" t="e">
        <f t="shared" si="49"/>
        <v>#VALUE!</v>
      </c>
      <c r="R109" s="44" t="str">
        <f>IF(J109&lt;&gt;"",VLOOKUP(J109,'RESUMO DR'!$B$4:$E$253,4,FALSE),"-")</f>
        <v>T-02</v>
      </c>
      <c r="S109" s="58" t="str">
        <f>IF(J109&lt;&gt;"",VLOOKUP(J109,'RESUMO DR'!$B$4:$E$253,3,FALSE),"-")</f>
        <v>ARAGUAINA</v>
      </c>
      <c r="T109" s="129"/>
      <c r="U109" s="129"/>
      <c r="V109" s="129"/>
      <c r="W109" s="128"/>
      <c r="X109" s="127"/>
      <c r="Y109" s="127"/>
      <c r="Z109" s="4"/>
    </row>
    <row r="110" spans="1:26" ht="18" customHeight="1">
      <c r="A110" s="5">
        <v>1555</v>
      </c>
      <c r="B110" s="21">
        <v>45645</v>
      </c>
      <c r="C110" s="21" t="s">
        <v>121</v>
      </c>
      <c r="D110" s="74" t="str">
        <f t="shared" si="46"/>
        <v>qui</v>
      </c>
      <c r="E110" s="169">
        <f>IF(K110&lt;&gt;"",VLOOKUP(K110,'Catálogo SAP'!$A$1:$F$245,2,FALSE),"-")</f>
        <v>130</v>
      </c>
      <c r="F110" s="16">
        <v>8679</v>
      </c>
      <c r="G110" s="16">
        <v>8679</v>
      </c>
      <c r="H110" s="22"/>
      <c r="I110" s="133">
        <v>300</v>
      </c>
      <c r="J110" s="162" t="str">
        <f t="shared" si="47"/>
        <v>SAO LUIS</v>
      </c>
      <c r="K110" s="16">
        <v>130</v>
      </c>
      <c r="L110" s="167" t="str">
        <f>IF(K110&lt;&gt;"",VLOOKUP(K110,'Catálogo SAP'!A:F,3,FALSE),"")</f>
        <v>S.VP-01438</v>
      </c>
      <c r="M110" s="162" t="str">
        <f>IF(K110&lt;&gt;"",VLOOKUP(K110,'Catálogo SAP'!A:F,4,FALSE),"")</f>
        <v>Hr Improdutiva Retroescavadeira C/Operador</v>
      </c>
      <c r="N110" s="168" t="str">
        <f>IF(K110&lt;&gt;"",VLOOKUP(K110,'Catálogo SAP'!A:F,5,FALSE),"")</f>
        <v>H</v>
      </c>
      <c r="O110" s="160">
        <v>1</v>
      </c>
      <c r="P110" s="70">
        <f t="shared" si="24"/>
        <v>0</v>
      </c>
      <c r="Q110" s="163" t="e">
        <f t="shared" si="39"/>
        <v>#VALUE!</v>
      </c>
      <c r="R110" s="44" t="str">
        <f>IF(J110&lt;&gt;"",VLOOKUP(J110,'RESUMO DR'!$B$4:$E$253,4,FALSE),"-")</f>
        <v>T-02</v>
      </c>
      <c r="S110" s="58" t="str">
        <f>IF(J110&lt;&gt;"",VLOOKUP(J110,'RESUMO DR'!$B$4:$E$253,3,FALSE),"-")</f>
        <v>ARAGUAINA</v>
      </c>
      <c r="T110" s="129"/>
      <c r="U110" s="129"/>
      <c r="V110" s="129"/>
      <c r="W110" s="128"/>
      <c r="X110" s="127"/>
      <c r="Y110" s="127"/>
      <c r="Z110" s="4"/>
    </row>
    <row r="111" spans="1:26" ht="18" customHeight="1">
      <c r="A111" s="5">
        <v>1473</v>
      </c>
      <c r="B111" s="21">
        <v>45645</v>
      </c>
      <c r="C111" s="21" t="s">
        <v>122</v>
      </c>
      <c r="D111" s="74" t="str">
        <f t="shared" si="46"/>
        <v>qui</v>
      </c>
      <c r="E111" s="169">
        <f>IF(K111&lt;&gt;"",VLOOKUP(K111,'Catálogo SAP'!$A$1:$F$245,2,FALSE),"-")</f>
        <v>120</v>
      </c>
      <c r="F111" s="225">
        <v>3778</v>
      </c>
      <c r="G111" s="225">
        <v>3787</v>
      </c>
      <c r="H111" s="226"/>
      <c r="I111" s="230">
        <v>323</v>
      </c>
      <c r="J111" s="162" t="str">
        <f t="shared" si="47"/>
        <v>BABAÇULÂNDIA</v>
      </c>
      <c r="K111" s="16">
        <v>120</v>
      </c>
      <c r="L111" s="167" t="str">
        <f>IF(K111&lt;&gt;"",VLOOKUP(K111,'Catálogo SAP'!A:F,3,FALSE),"")</f>
        <v>S.VP-01437</v>
      </c>
      <c r="M111" s="162" t="str">
        <f>IF(K111&lt;&gt;"",VLOOKUP(K111,'Catálogo SAP'!A:F,4,FALSE),"")</f>
        <v>Hr Produtiva Retroescavadeira C/Operador</v>
      </c>
      <c r="N111" s="168" t="str">
        <f>IF(K111&lt;&gt;"",VLOOKUP(K111,'Catálogo SAP'!A:F,5,FALSE),"")</f>
        <v>H</v>
      </c>
      <c r="O111" s="160">
        <v>9</v>
      </c>
      <c r="P111" s="70">
        <f t="shared" si="24"/>
        <v>9</v>
      </c>
      <c r="Q111" s="163" t="e">
        <f t="shared" si="39"/>
        <v>#VALUE!</v>
      </c>
      <c r="R111" s="44" t="str">
        <f>IF(J111&lt;&gt;"",VLOOKUP(J111,'RESUMO DR'!$B$4:$E$253,4,FALSE),"-")</f>
        <v>T-02</v>
      </c>
      <c r="S111" s="58" t="str">
        <f>IF(J111&lt;&gt;"",VLOOKUP(J111,'RESUMO DR'!$B$4:$E$253,3,FALSE),"-")</f>
        <v>ARAGUAINA</v>
      </c>
      <c r="T111" s="129"/>
      <c r="U111" s="129"/>
      <c r="V111" s="129"/>
      <c r="W111" s="128"/>
      <c r="X111" s="127"/>
      <c r="Y111" s="127"/>
      <c r="Z111" s="4"/>
    </row>
    <row r="112" spans="1:26" ht="18" customHeight="1">
      <c r="A112" s="5">
        <v>1475</v>
      </c>
      <c r="B112" s="21">
        <v>45645</v>
      </c>
      <c r="C112" s="21" t="s">
        <v>123</v>
      </c>
      <c r="D112" s="74" t="str">
        <f t="shared" si="31"/>
        <v>qui</v>
      </c>
      <c r="E112" s="169">
        <f>IF(K112&lt;&gt;"",VLOOKUP(K112,'Catálogo SAP'!$A$1:$F$245,2,FALSE),"-")</f>
        <v>120</v>
      </c>
      <c r="F112" s="16">
        <v>5810</v>
      </c>
      <c r="G112" s="16">
        <v>5819</v>
      </c>
      <c r="H112" s="22"/>
      <c r="I112" s="133">
        <v>578</v>
      </c>
      <c r="J112" s="162" t="str">
        <f t="shared" si="32"/>
        <v>Tupirama</v>
      </c>
      <c r="K112" s="16">
        <v>120</v>
      </c>
      <c r="L112" s="167" t="str">
        <f>IF(K112&lt;&gt;"",VLOOKUP(K112,'Catálogo SAP'!A:F,3,FALSE),"")</f>
        <v>S.VP-01437</v>
      </c>
      <c r="M112" s="162" t="str">
        <f>IF(K112&lt;&gt;"",VLOOKUP(K112,'Catálogo SAP'!A:F,4,FALSE),"")</f>
        <v>Hr Produtiva Retroescavadeira C/Operador</v>
      </c>
      <c r="N112" s="168" t="str">
        <f>IF(K112&lt;&gt;"",VLOOKUP(K112,'Catálogo SAP'!A:F,5,FALSE),"")</f>
        <v>H</v>
      </c>
      <c r="O112" s="160">
        <v>9</v>
      </c>
      <c r="P112" s="70">
        <f t="shared" si="24"/>
        <v>9</v>
      </c>
      <c r="Q112" s="163" t="e">
        <f t="shared" si="39"/>
        <v>#VALUE!</v>
      </c>
      <c r="R112" s="44" t="str">
        <f>IF(J112&lt;&gt;"",VLOOKUP(J112,'RESUMO DR'!$B$4:$E$253,4,FALSE),"-")</f>
        <v>T-03</v>
      </c>
      <c r="S112" s="58" t="str">
        <f>IF(J112&lt;&gt;"",VLOOKUP(J112,'RESUMO DR'!$B$4:$E$253,3,FALSE),"-")</f>
        <v>PALMAS</v>
      </c>
      <c r="T112" s="129"/>
      <c r="U112" s="129"/>
      <c r="V112" s="213" t="s">
        <v>8</v>
      </c>
      <c r="W112" s="128"/>
      <c r="X112" s="127"/>
      <c r="Y112" s="127"/>
      <c r="Z112" s="4"/>
    </row>
    <row r="113" spans="1:27" ht="13.8">
      <c r="A113" s="5"/>
      <c r="B113" s="21">
        <v>45645</v>
      </c>
      <c r="C113" s="21" t="s">
        <v>124</v>
      </c>
      <c r="D113" s="74" t="str">
        <f t="shared" ref="D113:D114" si="50">IF(B113="","-",TEXT(B113,"ddd"))</f>
        <v>qui</v>
      </c>
      <c r="E113" s="169" t="str">
        <f>IF(K113&lt;&gt;"",VLOOKUP(K113,'Catálogo SAP'!$A$1:$F$245,2,FALSE),"-")</f>
        <v>-</v>
      </c>
      <c r="F113" s="16"/>
      <c r="G113" s="16"/>
      <c r="H113" s="22"/>
      <c r="I113" s="133"/>
      <c r="J113" s="162" t="str">
        <f t="shared" ref="J113:J114" si="51">IF(AND(I113&gt;=0.001,I113&lt;=16),"AÇAILÂNDIA","")&amp;IF(AND(I113&gt;=16.001,I113&lt;=44),"S.F. BREJÃO","")&amp;IF(AND(I113&gt;=44.001,I113&lt;=78),"JOÃO LISBOA","")&amp;IF(AND(I113&gt;=78.001,I113&lt;=96.397),"IMPERATRIZ","")&amp;IF(AND(I113&gt;=96.398,I113&lt;=122.82),"EDSON LOBÃO","")&amp;IF(AND(I113&gt;=122.821,I113&lt;=152.303),"RIBAMAR FIQUENE","")&amp;IF(AND(I113&gt;=152.304,I113&lt;=172.403),"CAMPESTRE","")&amp;IF(AND(I113&gt;=172.404,I113&lt;=195),"PORTO FRANCO","")&amp;IF(AND(I113&gt;=300,I113&lt;=300),"SAO LUIS","")&amp;IF(AND(I113&gt;=385.4,I113&lt;=465.4),"Palmeirante","")&amp;IF(AND(I113&gt;=465.401,I113&lt;=520.455),"Tupiratins","")&amp;IF(AND(I113&gt;=520.456,I113&lt;=536.741),"Guaraí","")&amp;IF(AND(I113&gt;=536.742,I113&lt;=580.293),"Tupirama","")&amp;IF(AND(I113&gt;=580.294,I113&lt;=608.637),"Rio dos Bois","")&amp;IF(AND(I113&gt;=608.638,I113&lt;=698.981),"Miracema","")&amp;IF(AND(I113&gt;=698.982,I113&lt;=735.6),"Porto Nacional","")&amp;IF(AND(I113&gt;=195.1,I113&lt;=213.603),"ESTREITO","")&amp;IF(AND(I113&gt;=213.604,I113&lt;=218.976),"AGUIARNÓPOLIS","")&amp;IF(AND(I113&gt;=218.977,I113&lt;=253.5),"PALMEIRAS DO TOCANTINS","")&amp;IF(AND(I113&gt;=253.501,I113&lt;=274.15),"DARCINÓPOLIS","")&amp;IF(AND(I113&gt;=274.151,I113&lt;=299.999),"BABAÇULÂNDIA","")&amp;IF(AND(I113&gt;=356.62,I113&lt;=385.4),"ARAGUAÍNA","")&amp;IF(AND(I113&gt;=300.001,I113&lt;=356.619),"BABAÇULÂNDIA","")&amp;IF(AND(I113&gt;=900,I113&lt;=902),"ENG. VLI","")</f>
        <v/>
      </c>
      <c r="K113" s="16"/>
      <c r="L113" s="167" t="str">
        <f>IF(K113&lt;&gt;"",VLOOKUP(K113,'Catálogo SAP'!A:F,3,FALSE),"")</f>
        <v/>
      </c>
      <c r="M113" s="162" t="str">
        <f>IF(K113&lt;&gt;"",VLOOKUP(K113,'Catálogo SAP'!A:F,4,FALSE),"")</f>
        <v/>
      </c>
      <c r="N113" s="168" t="str">
        <f>IF(K113&lt;&gt;"",VLOOKUP(K113,'Catálogo SAP'!A:F,5,FALSE),"")</f>
        <v/>
      </c>
      <c r="O113" s="160"/>
      <c r="P113" s="70" t="str">
        <f t="shared" si="24"/>
        <v>-</v>
      </c>
      <c r="Q113" s="163" t="str">
        <f t="shared" si="39"/>
        <v>-</v>
      </c>
      <c r="R113" s="44" t="str">
        <f>IF(J113&lt;&gt;"",VLOOKUP(J113,'RESUMO DR'!$B$4:$E$253,4,FALSE),"-")</f>
        <v>-</v>
      </c>
      <c r="S113" s="58" t="str">
        <f>IF(J113&lt;&gt;"",VLOOKUP(J113,'RESUMO DR'!$B$4:$E$253,3,FALSE),"-")</f>
        <v>-</v>
      </c>
      <c r="T113" s="129"/>
      <c r="U113" s="129"/>
      <c r="V113" s="129"/>
      <c r="W113" s="128"/>
      <c r="X113" s="127"/>
      <c r="Y113" s="127"/>
      <c r="Z113" s="4"/>
    </row>
    <row r="114" spans="1:27" ht="13.8">
      <c r="A114" s="5"/>
      <c r="B114" s="21">
        <v>45645</v>
      </c>
      <c r="C114" s="21" t="s">
        <v>124</v>
      </c>
      <c r="D114" s="74" t="str">
        <f t="shared" si="50"/>
        <v>qui</v>
      </c>
      <c r="E114" s="169" t="str">
        <f>IF(K114&lt;&gt;"",VLOOKUP(K114,'Catálogo SAP'!$A$1:$F$245,2,FALSE),"-")</f>
        <v>-</v>
      </c>
      <c r="F114" s="16"/>
      <c r="G114" s="16"/>
      <c r="H114" s="22"/>
      <c r="I114" s="133"/>
      <c r="J114" s="162" t="str">
        <f t="shared" si="51"/>
        <v/>
      </c>
      <c r="K114" s="16"/>
      <c r="L114" s="167" t="str">
        <f>IF(K114&lt;&gt;"",VLOOKUP(K114,'Catálogo SAP'!A:F,3,FALSE),"")</f>
        <v/>
      </c>
      <c r="M114" s="162" t="str">
        <f>IF(K114&lt;&gt;"",VLOOKUP(K114,'Catálogo SAP'!A:F,4,FALSE),"")</f>
        <v/>
      </c>
      <c r="N114" s="168" t="str">
        <f>IF(K114&lt;&gt;"",VLOOKUP(K114,'Catálogo SAP'!A:F,5,FALSE),"")</f>
        <v/>
      </c>
      <c r="O114" s="160"/>
      <c r="P114" s="70" t="str">
        <f t="shared" si="24"/>
        <v>-</v>
      </c>
      <c r="Q114" s="163" t="str">
        <f t="shared" si="39"/>
        <v>-</v>
      </c>
      <c r="R114" s="44" t="str">
        <f>IF(J114&lt;&gt;"",VLOOKUP(J114,'RESUMO DR'!$B$4:$E$253,4,FALSE),"-")</f>
        <v>-</v>
      </c>
      <c r="S114" s="58" t="str">
        <f>IF(J114&lt;&gt;"",VLOOKUP(J114,'RESUMO DR'!$B$4:$E$253,3,FALSE),"-")</f>
        <v>-</v>
      </c>
      <c r="T114" s="129"/>
      <c r="U114" s="129"/>
      <c r="V114" s="129"/>
      <c r="W114" s="128"/>
      <c r="X114" s="127"/>
      <c r="Y114" s="127"/>
      <c r="Z114" s="4"/>
    </row>
    <row r="115" spans="1:27" ht="18" customHeight="1">
      <c r="A115" s="5">
        <v>1469</v>
      </c>
      <c r="B115" s="21">
        <v>45645</v>
      </c>
      <c r="C115" s="21" t="s">
        <v>307</v>
      </c>
      <c r="D115" s="74" t="str">
        <f t="shared" si="31"/>
        <v>qui</v>
      </c>
      <c r="E115" s="169">
        <f>IF(K115&lt;&gt;"",VLOOKUP(K115,'Catálogo SAP'!$A$1:$F$245,2,FALSE),"-")</f>
        <v>200</v>
      </c>
      <c r="F115" s="225">
        <v>63749</v>
      </c>
      <c r="G115" s="225">
        <v>64115</v>
      </c>
      <c r="H115" s="226"/>
      <c r="I115" s="230">
        <v>134</v>
      </c>
      <c r="J115" s="162" t="str">
        <f t="shared" si="32"/>
        <v>RIBAMAR FIQUENE</v>
      </c>
      <c r="K115" s="16">
        <v>200</v>
      </c>
      <c r="L115" s="167" t="str">
        <f>IF(K115&lt;&gt;"",VLOOKUP(K115,'Catálogo SAP'!A:F,3,FALSE),"")</f>
        <v>S.VP-01445</v>
      </c>
      <c r="M115" s="162" t="str">
        <f>IF(K115&lt;&gt;"",VLOOKUP(K115,'Catálogo SAP'!A:F,4,FALSE),"")</f>
        <v>Km Rodado Caminhão Basculante - C/Motorista</v>
      </c>
      <c r="N115" s="168" t="str">
        <f>IF(K115&lt;&gt;"",VLOOKUP(K115,'Catálogo SAP'!A:F,5,FALSE),"")</f>
        <v>KM</v>
      </c>
      <c r="O115" s="160">
        <v>366</v>
      </c>
      <c r="P115" s="70">
        <f t="shared" si="24"/>
        <v>366</v>
      </c>
      <c r="Q115" s="163" t="e">
        <f t="shared" si="39"/>
        <v>#VALUE!</v>
      </c>
      <c r="R115" s="44" t="str">
        <f>IF(J115&lt;&gt;"",VLOOKUP(J115,'RESUMO DR'!$B$4:$E$253,4,FALSE),"-")</f>
        <v>T-01</v>
      </c>
      <c r="S115" s="58" t="str">
        <f>IF(J115&lt;&gt;"",VLOOKUP(J115,'RESUMO DR'!$B$4:$E$253,3,FALSE),"-")</f>
        <v>IMPERATRIZ</v>
      </c>
      <c r="T115" s="129"/>
      <c r="U115" s="129"/>
      <c r="V115" s="129"/>
      <c r="W115" s="128"/>
      <c r="X115" s="127"/>
      <c r="Y115" s="127"/>
      <c r="Z115" s="4"/>
    </row>
    <row r="116" spans="1:27" ht="18" customHeight="1">
      <c r="A116" s="5">
        <v>1469</v>
      </c>
      <c r="B116" s="21">
        <v>45645</v>
      </c>
      <c r="C116" s="21" t="s">
        <v>308</v>
      </c>
      <c r="D116" s="74" t="str">
        <f t="shared" si="31"/>
        <v>qui</v>
      </c>
      <c r="E116" s="169">
        <f>IF(K116&lt;&gt;"",VLOOKUP(K116,'Catálogo SAP'!$A$1:$F$245,2,FALSE),"-")</f>
        <v>200</v>
      </c>
      <c r="F116" s="225">
        <v>63755</v>
      </c>
      <c r="G116" s="225">
        <v>64136</v>
      </c>
      <c r="H116" s="226"/>
      <c r="I116" s="230">
        <v>134</v>
      </c>
      <c r="J116" s="162" t="str">
        <f t="shared" si="32"/>
        <v>RIBAMAR FIQUENE</v>
      </c>
      <c r="K116" s="16">
        <v>200</v>
      </c>
      <c r="L116" s="167" t="str">
        <f>IF(K116&lt;&gt;"",VLOOKUP(K116,'Catálogo SAP'!A:F,3,FALSE),"")</f>
        <v>S.VP-01445</v>
      </c>
      <c r="M116" s="162" t="str">
        <f>IF(K116&lt;&gt;"",VLOOKUP(K116,'Catálogo SAP'!A:F,4,FALSE),"")</f>
        <v>Km Rodado Caminhão Basculante - C/Motorista</v>
      </c>
      <c r="N116" s="168" t="str">
        <f>IF(K116&lt;&gt;"",VLOOKUP(K116,'Catálogo SAP'!A:F,5,FALSE),"")</f>
        <v>KM</v>
      </c>
      <c r="O116" s="160">
        <v>381</v>
      </c>
      <c r="P116" s="70">
        <f t="shared" si="24"/>
        <v>381</v>
      </c>
      <c r="Q116" s="163" t="e">
        <f t="shared" si="39"/>
        <v>#VALUE!</v>
      </c>
      <c r="R116" s="44" t="str">
        <f>IF(J116&lt;&gt;"",VLOOKUP(J116,'RESUMO DR'!$B$4:$E$253,4,FALSE),"-")</f>
        <v>T-01</v>
      </c>
      <c r="S116" s="58" t="str">
        <f>IF(J116&lt;&gt;"",VLOOKUP(J116,'RESUMO DR'!$B$4:$E$253,3,FALSE),"-")</f>
        <v>IMPERATRIZ</v>
      </c>
      <c r="T116" s="129"/>
      <c r="U116" s="129"/>
      <c r="V116" s="129"/>
      <c r="W116" s="128"/>
      <c r="X116" s="127"/>
      <c r="Y116" s="127"/>
      <c r="Z116" s="4"/>
    </row>
    <row r="117" spans="1:27" ht="18" customHeight="1">
      <c r="A117" s="5">
        <v>1472</v>
      </c>
      <c r="B117" s="21">
        <v>45645</v>
      </c>
      <c r="C117" s="21" t="s">
        <v>127</v>
      </c>
      <c r="D117" s="74" t="str">
        <f t="shared" ref="D117:D123" si="52">IF(B117="","-",TEXT(B117,"ddd"))</f>
        <v>qui</v>
      </c>
      <c r="E117" s="169">
        <f>IF(K117&lt;&gt;"",VLOOKUP(K117,'Catálogo SAP'!$A$1:$F$245,2,FALSE),"-")</f>
        <v>200</v>
      </c>
      <c r="F117" s="225">
        <v>47794</v>
      </c>
      <c r="G117" s="225">
        <v>48240</v>
      </c>
      <c r="H117" s="226"/>
      <c r="I117" s="230">
        <v>442</v>
      </c>
      <c r="J117" s="162" t="str">
        <f t="shared" ref="J117:J123" si="53">IF(AND(I117&gt;=0.001,I117&lt;=16),"AÇAILÂNDIA","")&amp;IF(AND(I117&gt;=16.001,I117&lt;=44),"S.F. BREJÃO","")&amp;IF(AND(I117&gt;=44.001,I117&lt;=78),"JOÃO LISBOA","")&amp;IF(AND(I117&gt;=78.001,I117&lt;=96.397),"IMPERATRIZ","")&amp;IF(AND(I117&gt;=96.398,I117&lt;=122.82),"EDSON LOBÃO","")&amp;IF(AND(I117&gt;=122.821,I117&lt;=152.303),"RIBAMAR FIQUENE","")&amp;IF(AND(I117&gt;=152.304,I117&lt;=172.403),"CAMPESTRE","")&amp;IF(AND(I117&gt;=172.404,I117&lt;=195),"PORTO FRANCO","")&amp;IF(AND(I117&gt;=300,I117&lt;=300),"SAO LUIS","")&amp;IF(AND(I117&gt;=385.4,I117&lt;=465.4),"Palmeirante","")&amp;IF(AND(I117&gt;=465.401,I117&lt;=520.455),"Tupiratins","")&amp;IF(AND(I117&gt;=520.456,I117&lt;=536.741),"Guaraí","")&amp;IF(AND(I117&gt;=536.742,I117&lt;=580.293),"Tupirama","")&amp;IF(AND(I117&gt;=580.294,I117&lt;=608.637),"Rio dos Bois","")&amp;IF(AND(I117&gt;=608.638,I117&lt;=698.981),"Miracema","")&amp;IF(AND(I117&gt;=698.982,I117&lt;=735.6),"Porto Nacional","")&amp;IF(AND(I117&gt;=195.1,I117&lt;=213.603),"ESTREITO","")&amp;IF(AND(I117&gt;=213.604,I117&lt;=218.976),"AGUIARNÓPOLIS","")&amp;IF(AND(I117&gt;=218.977,I117&lt;=253.5),"PALMEIRAS DO TOCANTINS","")&amp;IF(AND(I117&gt;=253.501,I117&lt;=274.15),"DARCINÓPOLIS","")&amp;IF(AND(I117&gt;=274.151,I117&lt;=299.999),"BABAÇULÂNDIA","")&amp;IF(AND(I117&gt;=356.62,I117&lt;=385.4),"ARAGUAÍNA","")&amp;IF(AND(I117&gt;=300.001,I117&lt;=356.619),"BABAÇULÂNDIA","")&amp;IF(AND(I117&gt;=900,I117&lt;=902),"ENG. VLI","")</f>
        <v>Palmeirante</v>
      </c>
      <c r="K117" s="16">
        <v>200</v>
      </c>
      <c r="L117" s="167" t="str">
        <f>IF(K117&lt;&gt;"",VLOOKUP(K117,'Catálogo SAP'!A:F,3,FALSE),"")</f>
        <v>S.VP-01445</v>
      </c>
      <c r="M117" s="162" t="str">
        <f>IF(K117&lt;&gt;"",VLOOKUP(K117,'Catálogo SAP'!A:F,4,FALSE),"")</f>
        <v>Km Rodado Caminhão Basculante - C/Motorista</v>
      </c>
      <c r="N117" s="168" t="str">
        <f>IF(K117&lt;&gt;"",VLOOKUP(K117,'Catálogo SAP'!A:F,5,FALSE),"")</f>
        <v>KM</v>
      </c>
      <c r="O117" s="160">
        <v>446</v>
      </c>
      <c r="P117" s="70">
        <f t="shared" si="24"/>
        <v>446</v>
      </c>
      <c r="Q117" s="163" t="e">
        <f t="shared" si="39"/>
        <v>#VALUE!</v>
      </c>
      <c r="R117" s="44" t="str">
        <f>IF(J117&lt;&gt;"",VLOOKUP(J117,'RESUMO DR'!$B$4:$E$253,4,FALSE),"-")</f>
        <v>T-02</v>
      </c>
      <c r="S117" s="58" t="str">
        <f>IF(J117&lt;&gt;"",VLOOKUP(J117,'RESUMO DR'!$B$4:$E$253,3,FALSE),"-")</f>
        <v>ARAGUAINA</v>
      </c>
      <c r="T117" s="129"/>
      <c r="U117" s="129"/>
      <c r="V117" s="129"/>
      <c r="W117" s="128"/>
      <c r="X117" s="127"/>
      <c r="Y117" s="127"/>
      <c r="Z117" s="4"/>
    </row>
    <row r="118" spans="1:27" ht="13.8">
      <c r="A118" s="5">
        <v>1471</v>
      </c>
      <c r="B118" s="21">
        <v>45645</v>
      </c>
      <c r="C118" s="21" t="s">
        <v>313</v>
      </c>
      <c r="D118" s="74" t="str">
        <f t="shared" si="52"/>
        <v>qui</v>
      </c>
      <c r="E118" s="169">
        <f>IF(K118&lt;&gt;"",VLOOKUP(K118,'Catálogo SAP'!$A$1:$F$245,2,FALSE),"-")</f>
        <v>200</v>
      </c>
      <c r="F118" s="225">
        <v>60464</v>
      </c>
      <c r="G118" s="225">
        <v>60635</v>
      </c>
      <c r="H118" s="226"/>
      <c r="I118" s="230">
        <v>33</v>
      </c>
      <c r="J118" s="162" t="str">
        <f t="shared" si="53"/>
        <v>S.F. BREJÃO</v>
      </c>
      <c r="K118" s="16">
        <v>200</v>
      </c>
      <c r="L118" s="167" t="str">
        <f>IF(K118&lt;&gt;"",VLOOKUP(K118,'Catálogo SAP'!A:F,3,FALSE),"")</f>
        <v>S.VP-01445</v>
      </c>
      <c r="M118" s="162" t="str">
        <f>IF(K118&lt;&gt;"",VLOOKUP(K118,'Catálogo SAP'!A:F,4,FALSE),"")</f>
        <v>Km Rodado Caminhão Basculante - C/Motorista</v>
      </c>
      <c r="N118" s="168" t="str">
        <f>IF(K118&lt;&gt;"",VLOOKUP(K118,'Catálogo SAP'!A:F,5,FALSE),"")</f>
        <v>KM</v>
      </c>
      <c r="O118" s="160">
        <v>171</v>
      </c>
      <c r="P118" s="70">
        <f t="shared" si="24"/>
        <v>171</v>
      </c>
      <c r="Q118" s="163" t="e">
        <f t="shared" si="39"/>
        <v>#VALUE!</v>
      </c>
      <c r="R118" s="44" t="str">
        <f>IF(J118&lt;&gt;"",VLOOKUP(J118,'RESUMO DR'!$B$4:$E$253,4,FALSE),"-")</f>
        <v>T-01</v>
      </c>
      <c r="S118" s="58" t="str">
        <f>IF(J118&lt;&gt;"",VLOOKUP(J118,'RESUMO DR'!$B$4:$E$253,3,FALSE),"-")</f>
        <v>IMPERATRIZ</v>
      </c>
      <c r="T118" s="129"/>
      <c r="U118" s="129"/>
      <c r="V118" s="129"/>
      <c r="W118" s="128"/>
      <c r="X118" s="127"/>
      <c r="Y118" s="127"/>
      <c r="Z118" s="4"/>
    </row>
    <row r="119" spans="1:27" ht="13.8">
      <c r="A119" s="5">
        <v>1481</v>
      </c>
      <c r="B119" s="21">
        <v>45645</v>
      </c>
      <c r="C119" s="21" t="s">
        <v>314</v>
      </c>
      <c r="D119" s="74" t="str">
        <f t="shared" si="52"/>
        <v>qui</v>
      </c>
      <c r="E119" s="169">
        <f>IF(K119&lt;&gt;"",VLOOKUP(K119,'Catálogo SAP'!$A$1:$F$245,2,FALSE),"-")</f>
        <v>200</v>
      </c>
      <c r="F119" s="16">
        <v>63858</v>
      </c>
      <c r="G119" s="16">
        <v>64196</v>
      </c>
      <c r="H119" s="22"/>
      <c r="I119" s="133">
        <v>57</v>
      </c>
      <c r="J119" s="162" t="str">
        <f t="shared" si="53"/>
        <v>JOÃO LISBOA</v>
      </c>
      <c r="K119" s="16">
        <v>200</v>
      </c>
      <c r="L119" s="167" t="str">
        <f>IF(K119&lt;&gt;"",VLOOKUP(K119,'Catálogo SAP'!A:F,3,FALSE),"")</f>
        <v>S.VP-01445</v>
      </c>
      <c r="M119" s="162" t="str">
        <f>IF(K119&lt;&gt;"",VLOOKUP(K119,'Catálogo SAP'!A:F,4,FALSE),"")</f>
        <v>Km Rodado Caminhão Basculante - C/Motorista</v>
      </c>
      <c r="N119" s="168" t="str">
        <f>IF(K119&lt;&gt;"",VLOOKUP(K119,'Catálogo SAP'!A:F,5,FALSE),"")</f>
        <v>KM</v>
      </c>
      <c r="O119" s="160">
        <v>338</v>
      </c>
      <c r="P119" s="70">
        <f t="shared" si="24"/>
        <v>338</v>
      </c>
      <c r="Q119" s="163" t="e">
        <f t="shared" si="39"/>
        <v>#VALUE!</v>
      </c>
      <c r="R119" s="44" t="str">
        <f>IF(J119&lt;&gt;"",VLOOKUP(J119,'RESUMO DR'!$B$4:$E$253,4,FALSE),"-")</f>
        <v>T-01</v>
      </c>
      <c r="S119" s="58" t="str">
        <f>IF(J119&lt;&gt;"",VLOOKUP(J119,'RESUMO DR'!$B$4:$E$253,3,FALSE),"-")</f>
        <v>IMPERATRIZ</v>
      </c>
      <c r="T119" s="129"/>
      <c r="U119" s="129"/>
      <c r="V119" s="129"/>
      <c r="W119" s="128"/>
      <c r="X119" s="127"/>
      <c r="Y119" s="127"/>
      <c r="Z119" s="4"/>
    </row>
    <row r="120" spans="1:27" ht="18" customHeight="1">
      <c r="A120" s="5">
        <v>1475</v>
      </c>
      <c r="B120" s="21">
        <v>45645</v>
      </c>
      <c r="C120" s="21" t="s">
        <v>129</v>
      </c>
      <c r="D120" s="74" t="str">
        <f t="shared" si="52"/>
        <v>qui</v>
      </c>
      <c r="E120" s="169">
        <f>IF(K120&lt;&gt;"",VLOOKUP(K120,'Catálogo SAP'!$A$1:$F$245,2,FALSE),"-")</f>
        <v>200</v>
      </c>
      <c r="F120" s="16">
        <v>80286</v>
      </c>
      <c r="G120" s="16">
        <v>80376</v>
      </c>
      <c r="H120" s="22"/>
      <c r="I120" s="133">
        <v>578</v>
      </c>
      <c r="J120" s="162" t="str">
        <f t="shared" si="53"/>
        <v>Tupirama</v>
      </c>
      <c r="K120" s="16">
        <v>200</v>
      </c>
      <c r="L120" s="167" t="str">
        <f>IF(K120&lt;&gt;"",VLOOKUP(K120,'Catálogo SAP'!A:F,3,FALSE),"")</f>
        <v>S.VP-01445</v>
      </c>
      <c r="M120" s="162" t="str">
        <f>IF(K120&lt;&gt;"",VLOOKUP(K120,'Catálogo SAP'!A:F,4,FALSE),"")</f>
        <v>Km Rodado Caminhão Basculante - C/Motorista</v>
      </c>
      <c r="N120" s="168" t="str">
        <f>IF(K120&lt;&gt;"",VLOOKUP(K120,'Catálogo SAP'!A:F,5,FALSE),"")</f>
        <v>KM</v>
      </c>
      <c r="O120" s="160">
        <v>90</v>
      </c>
      <c r="P120" s="70">
        <f t="shared" si="24"/>
        <v>90</v>
      </c>
      <c r="Q120" s="163" t="e">
        <f t="shared" si="39"/>
        <v>#VALUE!</v>
      </c>
      <c r="R120" s="44" t="str">
        <f>IF(J120&lt;&gt;"",VLOOKUP(J120,'RESUMO DR'!$B$4:$E$253,4,FALSE),"-")</f>
        <v>T-03</v>
      </c>
      <c r="S120" s="58" t="str">
        <f>IF(J120&lt;&gt;"",VLOOKUP(J120,'RESUMO DR'!$B$4:$E$253,3,FALSE),"-")</f>
        <v>PALMAS</v>
      </c>
      <c r="T120" s="129"/>
      <c r="U120" s="129"/>
      <c r="V120" s="129"/>
      <c r="W120" s="128"/>
      <c r="X120" s="127"/>
      <c r="Y120" s="127"/>
      <c r="Z120" s="4"/>
    </row>
    <row r="121" spans="1:27" ht="18" customHeight="1">
      <c r="A121" s="5">
        <v>1469</v>
      </c>
      <c r="B121" s="21">
        <v>45645</v>
      </c>
      <c r="C121" s="21" t="s">
        <v>298</v>
      </c>
      <c r="D121" s="74" t="str">
        <f t="shared" si="52"/>
        <v>qui</v>
      </c>
      <c r="E121" s="169">
        <f>IF(K121&lt;&gt;"",VLOOKUP(K121,'Catálogo SAP'!$A$1:$F$245,2,FALSE),"-")</f>
        <v>160</v>
      </c>
      <c r="F121" s="225">
        <v>513</v>
      </c>
      <c r="G121" s="225">
        <v>522</v>
      </c>
      <c r="H121" s="226"/>
      <c r="I121" s="230">
        <v>123</v>
      </c>
      <c r="J121" s="162" t="str">
        <f t="shared" si="53"/>
        <v>RIBAMAR FIQUENE</v>
      </c>
      <c r="K121" s="16">
        <v>160</v>
      </c>
      <c r="L121" s="167" t="str">
        <f>IF(K121&lt;&gt;"",VLOOKUP(K121,'Catálogo SAP'!A:F,3,FALSE),"")</f>
        <v>S.VP-01441</v>
      </c>
      <c r="M121" s="162" t="str">
        <f>IF(K121&lt;&gt;"",VLOOKUP(K121,'Catálogo SAP'!A:F,4,FALSE),"")</f>
        <v>Hora Produtiva Pa Carregadeira C/Operador</v>
      </c>
      <c r="N121" s="168" t="str">
        <f>IF(K121&lt;&gt;"",VLOOKUP(K121,'Catálogo SAP'!A:F,5,FALSE),"")</f>
        <v>H</v>
      </c>
      <c r="O121" s="160">
        <v>9</v>
      </c>
      <c r="P121" s="70">
        <f t="shared" si="24"/>
        <v>9</v>
      </c>
      <c r="Q121" s="163" t="e">
        <f t="shared" si="39"/>
        <v>#VALUE!</v>
      </c>
      <c r="R121" s="44" t="str">
        <f>IF(J121&lt;&gt;"",VLOOKUP(J121,'RESUMO DR'!$B$4:$E$253,4,FALSE),"-")</f>
        <v>T-01</v>
      </c>
      <c r="S121" s="58" t="str">
        <f>IF(J121&lt;&gt;"",VLOOKUP(J121,'RESUMO DR'!$B$4:$E$253,3,FALSE),"-")</f>
        <v>IMPERATRIZ</v>
      </c>
      <c r="T121" s="129"/>
      <c r="U121" s="129"/>
      <c r="V121" s="129"/>
      <c r="W121" s="128"/>
      <c r="X121" s="127"/>
      <c r="Y121" s="127"/>
      <c r="Z121" s="4"/>
    </row>
    <row r="122" spans="1:27" ht="18" customHeight="1">
      <c r="A122" s="5">
        <v>1470</v>
      </c>
      <c r="B122" s="21">
        <v>45645</v>
      </c>
      <c r="C122" s="21" t="s">
        <v>131</v>
      </c>
      <c r="D122" s="74" t="str">
        <f t="shared" si="52"/>
        <v>qui</v>
      </c>
      <c r="E122" s="169">
        <f>IF(K122&lt;&gt;"",VLOOKUP(K122,'Catálogo SAP'!$A$1:$F$245,2,FALSE),"-")</f>
        <v>520</v>
      </c>
      <c r="F122" s="225">
        <v>10531</v>
      </c>
      <c r="G122" s="225">
        <v>10539</v>
      </c>
      <c r="H122" s="226"/>
      <c r="I122" s="230">
        <v>195</v>
      </c>
      <c r="J122" s="162" t="str">
        <f t="shared" si="53"/>
        <v>PORTO FRANCO</v>
      </c>
      <c r="K122" s="16">
        <v>520</v>
      </c>
      <c r="L122" s="167" t="str">
        <f>IF(K122&lt;&gt;"",VLOOKUP(K122,'Catálogo SAP'!A:F,3,FALSE),"")</f>
        <v>S.VP-01469</v>
      </c>
      <c r="M122" s="162" t="str">
        <f>IF(K122&lt;&gt;"",VLOOKUP(K122,'Catálogo SAP'!A:F,4,FALSE),"")</f>
        <v>Hora Produtiva Escavadeira Hidraulica</v>
      </c>
      <c r="N122" s="168" t="str">
        <f>IF(K122&lt;&gt;"",VLOOKUP(K122,'Catálogo SAP'!A:F,5,FALSE),"")</f>
        <v>H</v>
      </c>
      <c r="O122" s="160">
        <v>8</v>
      </c>
      <c r="P122" s="70">
        <f t="shared" si="24"/>
        <v>8</v>
      </c>
      <c r="Q122" s="163" t="e">
        <f t="shared" si="39"/>
        <v>#VALUE!</v>
      </c>
      <c r="R122" s="44" t="str">
        <f>IF(J122&lt;&gt;"",VLOOKUP(J122,'RESUMO DR'!$B$4:$E$253,4,FALSE),"-")</f>
        <v>T-01</v>
      </c>
      <c r="S122" s="58" t="str">
        <f>IF(J122&lt;&gt;"",VLOOKUP(J122,'RESUMO DR'!$B$4:$E$253,3,FALSE),"-")</f>
        <v>IMPERATRIZ</v>
      </c>
      <c r="T122" s="129"/>
      <c r="U122" s="129"/>
      <c r="V122" s="129"/>
      <c r="W122" s="128"/>
      <c r="X122" s="127"/>
      <c r="Y122" s="127"/>
      <c r="Z122" s="4"/>
    </row>
    <row r="123" spans="1:27" ht="18" customHeight="1">
      <c r="A123" s="5">
        <v>1470</v>
      </c>
      <c r="B123" s="21">
        <v>45645</v>
      </c>
      <c r="C123" s="21" t="s">
        <v>131</v>
      </c>
      <c r="D123" s="74" t="str">
        <f t="shared" si="52"/>
        <v>qui</v>
      </c>
      <c r="E123" s="169">
        <f>IF(K123&lt;&gt;"",VLOOKUP(K123,'Catálogo SAP'!$A$1:$F$245,2,FALSE),"-")</f>
        <v>530</v>
      </c>
      <c r="F123" s="225">
        <v>10539</v>
      </c>
      <c r="G123" s="225">
        <v>10539</v>
      </c>
      <c r="H123" s="226"/>
      <c r="I123" s="230">
        <v>195</v>
      </c>
      <c r="J123" s="162" t="str">
        <f t="shared" si="53"/>
        <v>PORTO FRANCO</v>
      </c>
      <c r="K123" s="16">
        <v>530</v>
      </c>
      <c r="L123" s="167" t="str">
        <f>IF(K123&lt;&gt;"",VLOOKUP(K123,'Catálogo SAP'!A:F,3,FALSE),"")</f>
        <v>S.VP-01470</v>
      </c>
      <c r="M123" s="162" t="str">
        <f>IF(K123&lt;&gt;"",VLOOKUP(K123,'Catálogo SAP'!A:F,4,FALSE),"")</f>
        <v>Hora Improdutiva Escavadeira Hidraulica</v>
      </c>
      <c r="N123" s="168" t="str">
        <f>IF(K123&lt;&gt;"",VLOOKUP(K123,'Catálogo SAP'!A:F,5,FALSE),"")</f>
        <v>H</v>
      </c>
      <c r="O123" s="160">
        <v>1</v>
      </c>
      <c r="P123" s="70">
        <f t="shared" si="24"/>
        <v>0</v>
      </c>
      <c r="Q123" s="163" t="e">
        <f t="shared" si="39"/>
        <v>#VALUE!</v>
      </c>
      <c r="R123" s="44" t="str">
        <f>IF(J123&lt;&gt;"",VLOOKUP(J123,'RESUMO DR'!$B$4:$E$253,4,FALSE),"-")</f>
        <v>T-01</v>
      </c>
      <c r="S123" s="58" t="str">
        <f>IF(J123&lt;&gt;"",VLOOKUP(J123,'RESUMO DR'!$B$4:$E$253,3,FALSE),"-")</f>
        <v>IMPERATRIZ</v>
      </c>
      <c r="T123" s="129"/>
      <c r="U123" s="129"/>
      <c r="V123" s="129"/>
      <c r="W123" s="128"/>
      <c r="X123" s="127"/>
      <c r="Y123" s="127"/>
      <c r="Z123" s="4"/>
    </row>
    <row r="124" spans="1:27" ht="18" customHeight="1">
      <c r="A124" s="5">
        <v>1472</v>
      </c>
      <c r="B124" s="21">
        <v>45645</v>
      </c>
      <c r="C124" s="21" t="s">
        <v>311</v>
      </c>
      <c r="D124" s="74" t="str">
        <f t="shared" si="31"/>
        <v>qui</v>
      </c>
      <c r="E124" s="169">
        <f>IF(K124&lt;&gt;"",VLOOKUP(K124,'Catálogo SAP'!$A$1:$F$245,2,FALSE),"-")</f>
        <v>120</v>
      </c>
      <c r="F124" s="16">
        <v>1115</v>
      </c>
      <c r="G124" s="16">
        <v>1124</v>
      </c>
      <c r="H124" s="22"/>
      <c r="I124" s="133">
        <v>442</v>
      </c>
      <c r="J124" s="162" t="str">
        <f t="shared" si="32"/>
        <v>Palmeirante</v>
      </c>
      <c r="K124" s="16">
        <v>120</v>
      </c>
      <c r="L124" s="167" t="str">
        <f>IF(K124&lt;&gt;"",VLOOKUP(K124,'Catálogo SAP'!A:F,3,FALSE),"")</f>
        <v>S.VP-01437</v>
      </c>
      <c r="M124" s="162" t="str">
        <f>IF(K124&lt;&gt;"",VLOOKUP(K124,'Catálogo SAP'!A:F,4,FALSE),"")</f>
        <v>Hr Produtiva Retroescavadeira C/Operador</v>
      </c>
      <c r="N124" s="168" t="str">
        <f>IF(K124&lt;&gt;"",VLOOKUP(K124,'Catálogo SAP'!A:F,5,FALSE),"")</f>
        <v>H</v>
      </c>
      <c r="O124" s="160">
        <v>9</v>
      </c>
      <c r="P124" s="70">
        <f t="shared" si="24"/>
        <v>9</v>
      </c>
      <c r="Q124" s="163" t="e">
        <f t="shared" si="39"/>
        <v>#VALUE!</v>
      </c>
      <c r="R124" s="44" t="str">
        <f>IF(J124&lt;&gt;"",VLOOKUP(J124,'RESUMO DR'!$B$4:$E$253,4,FALSE),"-")</f>
        <v>T-02</v>
      </c>
      <c r="S124" s="58" t="str">
        <f>IF(J124&lt;&gt;"",VLOOKUP(J124,'RESUMO DR'!$B$4:$E$253,3,FALSE),"-")</f>
        <v>ARAGUAINA</v>
      </c>
      <c r="T124" s="129"/>
      <c r="U124" s="129"/>
      <c r="V124" s="129"/>
      <c r="W124" s="128"/>
      <c r="X124" s="127"/>
      <c r="Y124" s="127"/>
      <c r="Z124" s="4"/>
    </row>
    <row r="125" spans="1:27" ht="18" customHeight="1">
      <c r="A125" s="5"/>
      <c r="B125" s="21">
        <v>45645</v>
      </c>
      <c r="C125" s="21" t="s">
        <v>311</v>
      </c>
      <c r="D125" s="74" t="str">
        <f t="shared" ref="D125:D129" si="54">IF(B125="","-",TEXT(B125,"ddd"))</f>
        <v>qui</v>
      </c>
      <c r="E125" s="169" t="str">
        <f>IF(K125&lt;&gt;"",VLOOKUP(K125,'Catálogo SAP'!$A$1:$F$245,2,FALSE),"-")</f>
        <v>-</v>
      </c>
      <c r="F125" s="225"/>
      <c r="G125" s="225"/>
      <c r="H125" s="226"/>
      <c r="I125" s="230"/>
      <c r="J125" s="162" t="str">
        <f t="shared" ref="J125:J128" si="55">IF(AND(I125&gt;=0.001,I125&lt;=16),"AÇAILÂNDIA","")&amp;IF(AND(I125&gt;=16.001,I125&lt;=44),"S.F. BREJÃO","")&amp;IF(AND(I125&gt;=44.001,I125&lt;=78),"JOÃO LISBOA","")&amp;IF(AND(I125&gt;=78.001,I125&lt;=96.397),"IMPERATRIZ","")&amp;IF(AND(I125&gt;=96.398,I125&lt;=122.82),"EDSON LOBÃO","")&amp;IF(AND(I125&gt;=122.821,I125&lt;=152.303),"RIBAMAR FIQUENE","")&amp;IF(AND(I125&gt;=152.304,I125&lt;=172.403),"CAMPESTRE","")&amp;IF(AND(I125&gt;=172.404,I125&lt;=195),"PORTO FRANCO","")&amp;IF(AND(I125&gt;=300,I125&lt;=300),"SAO LUIS","")&amp;IF(AND(I125&gt;=385.4,I125&lt;=465.4),"Palmeirante","")&amp;IF(AND(I125&gt;=465.401,I125&lt;=520.455),"Tupiratins","")&amp;IF(AND(I125&gt;=520.456,I125&lt;=536.741),"Guaraí","")&amp;IF(AND(I125&gt;=536.742,I125&lt;=580.293),"Tupirama","")&amp;IF(AND(I125&gt;=580.294,I125&lt;=608.637),"Rio dos Bois","")&amp;IF(AND(I125&gt;=608.638,I125&lt;=698.981),"Miracema","")&amp;IF(AND(I125&gt;=698.982,I125&lt;=735.6),"Porto Nacional","")&amp;IF(AND(I125&gt;=195.1,I125&lt;=213.603),"ESTREITO","")&amp;IF(AND(I125&gt;=213.604,I125&lt;=218.976),"AGUIARNÓPOLIS","")&amp;IF(AND(I125&gt;=218.977,I125&lt;=253.5),"PALMEIRAS DO TOCANTINS","")&amp;IF(AND(I125&gt;=253.501,I125&lt;=274.15),"DARCINÓPOLIS","")&amp;IF(AND(I125&gt;=274.151,I125&lt;=299.999),"BABAÇULÂNDIA","")&amp;IF(AND(I125&gt;=356.62,I125&lt;=385.4),"ARAGUAÍNA","")&amp;IF(AND(I125&gt;=300.001,I125&lt;=356.619),"BABAÇULÂNDIA","")&amp;IF(AND(I125&gt;=900,I125&lt;=902),"ENG. VLI","")</f>
        <v/>
      </c>
      <c r="K125" s="16"/>
      <c r="L125" s="167" t="str">
        <f>IF(K125&lt;&gt;"",VLOOKUP(K125,'Catálogo SAP'!A:F,3,FALSE),"")</f>
        <v/>
      </c>
      <c r="M125" s="162" t="str">
        <f>IF(K125&lt;&gt;"",VLOOKUP(K125,'Catálogo SAP'!A:F,4,FALSE),"")</f>
        <v/>
      </c>
      <c r="N125" s="168" t="str">
        <f>IF(K125&lt;&gt;"",VLOOKUP(K125,'Catálogo SAP'!A:F,5,FALSE),"")</f>
        <v/>
      </c>
      <c r="O125" s="160"/>
      <c r="P125" s="70" t="str">
        <f t="shared" si="24"/>
        <v>-</v>
      </c>
      <c r="Q125" s="163" t="str">
        <f t="shared" si="39"/>
        <v>-</v>
      </c>
      <c r="R125" s="44" t="str">
        <f>IF(J125&lt;&gt;"",VLOOKUP(J125,'RESUMO DR'!$B$4:$E$253,4,FALSE),"-")</f>
        <v>-</v>
      </c>
      <c r="S125" s="58" t="str">
        <f>IF(J125&lt;&gt;"",VLOOKUP(J125,'RESUMO DR'!$B$4:$E$253,3,FALSE),"-")</f>
        <v>-</v>
      </c>
      <c r="T125" s="129"/>
      <c r="U125" s="129"/>
      <c r="V125" s="129"/>
      <c r="W125" s="128"/>
      <c r="X125" s="127"/>
      <c r="Y125" s="127"/>
      <c r="Z125" s="4"/>
    </row>
    <row r="126" spans="1:27" ht="18" customHeight="1">
      <c r="A126" s="5">
        <v>1472</v>
      </c>
      <c r="B126" s="21">
        <v>45645</v>
      </c>
      <c r="C126" s="21" t="s">
        <v>305</v>
      </c>
      <c r="D126" s="74" t="str">
        <f t="shared" si="54"/>
        <v>qui</v>
      </c>
      <c r="E126" s="169">
        <f>IF(K126&lt;&gt;"",VLOOKUP(K126,'Catálogo SAP'!$A$1:$F$245,2,FALSE),"-")</f>
        <v>280</v>
      </c>
      <c r="F126" s="225">
        <v>175</v>
      </c>
      <c r="G126" s="225">
        <v>182</v>
      </c>
      <c r="H126" s="226"/>
      <c r="I126" s="230">
        <v>442</v>
      </c>
      <c r="J126" s="162" t="str">
        <f t="shared" si="55"/>
        <v>Palmeirante</v>
      </c>
      <c r="K126" s="16">
        <v>280</v>
      </c>
      <c r="L126" s="167" t="str">
        <f>IF(K126&lt;&gt;"",VLOOKUP(K126,'Catálogo SAP'!A:F,3,FALSE),"")</f>
        <v>S.VP-01453</v>
      </c>
      <c r="M126" s="162" t="str">
        <f>IF(K126&lt;&gt;"",VLOOKUP(K126,'Catálogo SAP'!A:F,4,FALSE),"")</f>
        <v>Hora Produtiva Motoniveladora C/Operador</v>
      </c>
      <c r="N126" s="168" t="str">
        <f>IF(K126&lt;&gt;"",VLOOKUP(K126,'Catálogo SAP'!A:F,5,FALSE),"")</f>
        <v>H</v>
      </c>
      <c r="O126" s="160">
        <v>7</v>
      </c>
      <c r="P126" s="70">
        <f t="shared" si="24"/>
        <v>7</v>
      </c>
      <c r="Q126" s="163" t="e">
        <f t="shared" ref="Q126" si="56">IF(K126="","-",N126*O126)</f>
        <v>#VALUE!</v>
      </c>
      <c r="R126" s="44" t="str">
        <f>IF(J126&lt;&gt;"",VLOOKUP(J126,'RESUMO DR'!$B$4:$E$253,4,FALSE),"-")</f>
        <v>T-02</v>
      </c>
      <c r="S126" s="58" t="str">
        <f>IF(J126&lt;&gt;"",VLOOKUP(J126,'RESUMO DR'!$B$4:$E$253,3,FALSE),"-")</f>
        <v>ARAGUAINA</v>
      </c>
      <c r="T126" s="129"/>
      <c r="U126" s="129"/>
      <c r="V126" s="129"/>
      <c r="W126" s="128"/>
      <c r="X126" s="127"/>
      <c r="Y126" s="127"/>
      <c r="Z126" s="198">
        <v>153000</v>
      </c>
      <c r="AA126" s="172" t="s">
        <v>142</v>
      </c>
    </row>
    <row r="127" spans="1:27" ht="18" customHeight="1">
      <c r="A127" s="5"/>
      <c r="B127" s="21">
        <v>45645</v>
      </c>
      <c r="C127" s="21" t="s">
        <v>305</v>
      </c>
      <c r="D127" s="74" t="str">
        <f t="shared" si="54"/>
        <v>qui</v>
      </c>
      <c r="E127" s="169" t="str">
        <f>IF(K127&lt;&gt;"",VLOOKUP(K127,'Catálogo SAP'!$A$1:$F$245,2,FALSE),"-")</f>
        <v>-</v>
      </c>
      <c r="F127" s="16"/>
      <c r="G127" s="16"/>
      <c r="H127" s="22"/>
      <c r="I127" s="133"/>
      <c r="J127" s="162" t="str">
        <f t="shared" si="55"/>
        <v/>
      </c>
      <c r="K127" s="16"/>
      <c r="L127" s="167" t="str">
        <f>IF(K127&lt;&gt;"",VLOOKUP(K127,'Catálogo SAP'!A:F,3,FALSE),"")</f>
        <v/>
      </c>
      <c r="M127" s="162" t="str">
        <f>IF(K127&lt;&gt;"",VLOOKUP(K127,'Catálogo SAP'!A:F,4,FALSE),"")</f>
        <v/>
      </c>
      <c r="N127" s="168" t="str">
        <f>IF(K127&lt;&gt;"",VLOOKUP(K127,'Catálogo SAP'!A:F,5,FALSE),"")</f>
        <v/>
      </c>
      <c r="O127" s="160"/>
      <c r="P127" s="70" t="str">
        <f t="shared" si="24"/>
        <v>-</v>
      </c>
      <c r="Q127" s="163" t="str">
        <f t="shared" si="39"/>
        <v>-</v>
      </c>
      <c r="R127" s="44" t="str">
        <f>IF(J127&lt;&gt;"",VLOOKUP(J127,'RESUMO DR'!$B$4:$E$253,4,FALSE),"-")</f>
        <v>-</v>
      </c>
      <c r="S127" s="58" t="str">
        <f>IF(J127&lt;&gt;"",VLOOKUP(J127,'RESUMO DR'!$B$4:$E$253,3,FALSE),"-")</f>
        <v>-</v>
      </c>
      <c r="T127" s="129"/>
      <c r="U127" s="129"/>
      <c r="V127" s="129"/>
      <c r="W127" s="128"/>
      <c r="X127" s="127"/>
      <c r="Y127" s="127"/>
      <c r="Z127" s="4"/>
    </row>
    <row r="128" spans="1:27" ht="18" customHeight="1">
      <c r="A128" s="5">
        <v>1477</v>
      </c>
      <c r="B128" s="21">
        <v>45645</v>
      </c>
      <c r="C128" s="21" t="s">
        <v>301</v>
      </c>
      <c r="D128" s="74" t="str">
        <f t="shared" ref="D128" si="57">IF(B128="","-",TEXT(B128,"ddd"))</f>
        <v>qui</v>
      </c>
      <c r="E128" s="169">
        <f>IF(K128&lt;&gt;"",VLOOKUP(K128,'Catálogo SAP'!$A$1:$F$245,2,FALSE),"-")</f>
        <v>160</v>
      </c>
      <c r="F128" s="225">
        <v>128</v>
      </c>
      <c r="G128" s="16">
        <v>134</v>
      </c>
      <c r="H128" s="226"/>
      <c r="I128" s="230">
        <v>563</v>
      </c>
      <c r="J128" s="162" t="str">
        <f t="shared" si="55"/>
        <v>Tupirama</v>
      </c>
      <c r="K128" s="16">
        <v>160</v>
      </c>
      <c r="L128" s="167" t="str">
        <f>IF(K128&lt;&gt;"",VLOOKUP(K128,'Catálogo SAP'!A:F,3,FALSE),"")</f>
        <v>S.VP-01441</v>
      </c>
      <c r="M128" s="162" t="str">
        <f>IF(K128&lt;&gt;"",VLOOKUP(K128,'Catálogo SAP'!A:F,4,FALSE),"")</f>
        <v>Hora Produtiva Pa Carregadeira C/Operador</v>
      </c>
      <c r="N128" s="168" t="str">
        <f>IF(K128&lt;&gt;"",VLOOKUP(K128,'Catálogo SAP'!A:F,5,FALSE),"")</f>
        <v>H</v>
      </c>
      <c r="O128" s="160">
        <v>6</v>
      </c>
      <c r="P128" s="70">
        <f t="shared" si="24"/>
        <v>6</v>
      </c>
      <c r="Q128" s="163" t="e">
        <f t="shared" ref="Q128" si="58">IF(K128="","-",N128*O128)</f>
        <v>#VALUE!</v>
      </c>
      <c r="R128" s="44" t="str">
        <f>IF(J128&lt;&gt;"",VLOOKUP(J128,'RESUMO DR'!$B$4:$E$253,4,FALSE),"-")</f>
        <v>T-03</v>
      </c>
      <c r="S128" s="58" t="str">
        <f>IF(J128&lt;&gt;"",VLOOKUP(J128,'RESUMO DR'!$B$4:$E$253,3,FALSE),"-")</f>
        <v>PALMAS</v>
      </c>
      <c r="T128" s="129"/>
      <c r="U128" s="129"/>
      <c r="V128" s="129"/>
      <c r="W128" s="128"/>
      <c r="X128" s="127"/>
      <c r="Y128" s="127"/>
      <c r="Z128" s="4"/>
    </row>
    <row r="129" spans="1:26" ht="13.8">
      <c r="A129" s="5">
        <v>1477</v>
      </c>
      <c r="B129" s="21">
        <v>45645</v>
      </c>
      <c r="C129" s="21" t="s">
        <v>301</v>
      </c>
      <c r="D129" s="74" t="str">
        <f t="shared" si="54"/>
        <v>qui</v>
      </c>
      <c r="E129" s="169">
        <f>IF(K129&lt;&gt;"",VLOOKUP(K129,'Catálogo SAP'!$A$1:$F$245,2,FALSE),"-")</f>
        <v>170</v>
      </c>
      <c r="F129" s="16">
        <v>134</v>
      </c>
      <c r="G129" s="16">
        <v>134</v>
      </c>
      <c r="H129" s="22"/>
      <c r="I129" s="133">
        <v>563</v>
      </c>
      <c r="J129" s="162" t="str">
        <f t="shared" si="32"/>
        <v>Tupirama</v>
      </c>
      <c r="K129" s="16">
        <v>170</v>
      </c>
      <c r="L129" s="167" t="str">
        <f>IF(K129&lt;&gt;"",VLOOKUP(K129,'Catálogo SAP'!A:F,3,FALSE),"")</f>
        <v>S.VP-01442</v>
      </c>
      <c r="M129" s="162" t="str">
        <f>IF(K129&lt;&gt;"",VLOOKUP(K129,'Catálogo SAP'!A:F,4,FALSE),"")</f>
        <v>Hora Improdutiva Pa Carregadeira C/Operador</v>
      </c>
      <c r="N129" s="168" t="str">
        <f>IF(K129&lt;&gt;"",VLOOKUP(K129,'Catálogo SAP'!A:F,5,FALSE),"")</f>
        <v>H</v>
      </c>
      <c r="O129" s="160">
        <v>3</v>
      </c>
      <c r="P129" s="70">
        <f t="shared" si="24"/>
        <v>0</v>
      </c>
      <c r="Q129" s="163" t="e">
        <f t="shared" si="39"/>
        <v>#VALUE!</v>
      </c>
      <c r="R129" s="44" t="str">
        <f>IF(J129&lt;&gt;"",VLOOKUP(J129,'RESUMO DR'!$B$4:$E$253,4,FALSE),"-")</f>
        <v>T-03</v>
      </c>
      <c r="S129" s="58" t="str">
        <f>IF(J129&lt;&gt;"",VLOOKUP(J129,'RESUMO DR'!$B$4:$E$253,3,FALSE),"-")</f>
        <v>PALMAS</v>
      </c>
      <c r="T129" s="129"/>
      <c r="U129" s="129"/>
      <c r="V129" s="129"/>
      <c r="W129" s="128"/>
      <c r="X129" s="127"/>
      <c r="Y129" s="127"/>
      <c r="Z129" s="4"/>
    </row>
    <row r="130" spans="1:26" ht="18" customHeight="1">
      <c r="A130" s="5">
        <v>1480</v>
      </c>
      <c r="B130" s="21">
        <v>45645</v>
      </c>
      <c r="C130" s="21" t="s">
        <v>134</v>
      </c>
      <c r="D130" s="74" t="str">
        <f t="shared" ref="D130:D133" si="59">IF(B130="","-",TEXT(B130,"ddd"))</f>
        <v>qui</v>
      </c>
      <c r="E130" s="169">
        <f>IF(K130&lt;&gt;"",VLOOKUP(K130,'Catálogo SAP'!$A$1:$F$245,2,FALSE),"-")</f>
        <v>480</v>
      </c>
      <c r="F130" s="225">
        <v>3366</v>
      </c>
      <c r="G130" s="225">
        <v>3373</v>
      </c>
      <c r="H130" s="226"/>
      <c r="I130" s="230">
        <v>91</v>
      </c>
      <c r="J130" s="162" t="str">
        <f t="shared" ref="J130:J133" si="60">IF(AND(I130&gt;=0.001,I130&lt;=16),"AÇAILÂNDIA","")&amp;IF(AND(I130&gt;=16.001,I130&lt;=44),"S.F. BREJÃO","")&amp;IF(AND(I130&gt;=44.001,I130&lt;=78),"JOÃO LISBOA","")&amp;IF(AND(I130&gt;=78.001,I130&lt;=96.397),"IMPERATRIZ","")&amp;IF(AND(I130&gt;=96.398,I130&lt;=122.82),"EDSON LOBÃO","")&amp;IF(AND(I130&gt;=122.821,I130&lt;=152.303),"RIBAMAR FIQUENE","")&amp;IF(AND(I130&gt;=152.304,I130&lt;=172.403),"CAMPESTRE","")&amp;IF(AND(I130&gt;=172.404,I130&lt;=195),"PORTO FRANCO","")&amp;IF(AND(I130&gt;=300,I130&lt;=300),"SAO LUIS","")&amp;IF(AND(I130&gt;=385.4,I130&lt;=465.4),"Palmeirante","")&amp;IF(AND(I130&gt;=465.401,I130&lt;=520.455),"Tupiratins","")&amp;IF(AND(I130&gt;=520.456,I130&lt;=536.741),"Guaraí","")&amp;IF(AND(I130&gt;=536.742,I130&lt;=580.293),"Tupirama","")&amp;IF(AND(I130&gt;=580.294,I130&lt;=608.637),"Rio dos Bois","")&amp;IF(AND(I130&gt;=608.638,I130&lt;=698.981),"Miracema","")&amp;IF(AND(I130&gt;=698.982,I130&lt;=735.6),"Porto Nacional","")&amp;IF(AND(I130&gt;=195.1,I130&lt;=213.603),"ESTREITO","")&amp;IF(AND(I130&gt;=213.604,I130&lt;=218.976),"AGUIARNÓPOLIS","")&amp;IF(AND(I130&gt;=218.977,I130&lt;=253.5),"PALMEIRAS DO TOCANTINS","")&amp;IF(AND(I130&gt;=253.501,I130&lt;=274.15),"DARCINÓPOLIS","")&amp;IF(AND(I130&gt;=274.151,I130&lt;=299.999),"BABAÇULÂNDIA","")&amp;IF(AND(I130&gt;=356.62,I130&lt;=385.4),"ARAGUAÍNA","")&amp;IF(AND(I130&gt;=300.001,I130&lt;=356.619),"BABAÇULÂNDIA","")&amp;IF(AND(I130&gt;=900,I130&lt;=902),"ENG. VLI","")</f>
        <v>IMPERATRIZ</v>
      </c>
      <c r="K130" s="16">
        <v>480</v>
      </c>
      <c r="L130" s="167" t="str">
        <f>IF(K130&lt;&gt;"",VLOOKUP(K130,'Catálogo SAP'!A:F,3,FALSE),"")</f>
        <v>S.VP-01465</v>
      </c>
      <c r="M130" s="162" t="str">
        <f>IF(K130&lt;&gt;"",VLOOKUP(K130,'Catálogo SAP'!A:F,4,FALSE),"")</f>
        <v>Hora Produtiva Miniescavadeira Hidraulica C/ Operador</v>
      </c>
      <c r="N130" s="168" t="str">
        <f>IF(K130&lt;&gt;"",VLOOKUP(K130,'Catálogo SAP'!A:F,5,FALSE),"")</f>
        <v>H</v>
      </c>
      <c r="O130" s="160">
        <v>7</v>
      </c>
      <c r="P130" s="70">
        <f t="shared" si="24"/>
        <v>7</v>
      </c>
      <c r="Q130" s="163" t="e">
        <f t="shared" si="39"/>
        <v>#VALUE!</v>
      </c>
      <c r="R130" s="44" t="str">
        <f>IF(J130&lt;&gt;"",VLOOKUP(J130,'RESUMO DR'!$B$4:$E$253,4,FALSE),"-")</f>
        <v>T-01</v>
      </c>
      <c r="S130" s="58" t="str">
        <f>IF(J130&lt;&gt;"",VLOOKUP(J130,'RESUMO DR'!$B$4:$E$253,3,FALSE),"-")</f>
        <v>IMPERATRIZ</v>
      </c>
      <c r="T130" s="129"/>
      <c r="U130" s="129"/>
      <c r="V130" s="129"/>
      <c r="W130" s="128"/>
      <c r="X130" s="127"/>
      <c r="Y130" s="127"/>
      <c r="Z130" s="4"/>
    </row>
    <row r="131" spans="1:26" ht="18" customHeight="1">
      <c r="A131" s="5">
        <v>1480</v>
      </c>
      <c r="B131" s="21">
        <v>45645</v>
      </c>
      <c r="C131" s="21" t="s">
        <v>134</v>
      </c>
      <c r="D131" s="74" t="str">
        <f t="shared" si="59"/>
        <v>qui</v>
      </c>
      <c r="E131" s="169">
        <f>IF(K131&lt;&gt;"",VLOOKUP(K131,'Catálogo SAP'!$A$1:$F$245,2,FALSE),"-")</f>
        <v>490</v>
      </c>
      <c r="F131" s="225">
        <v>3373</v>
      </c>
      <c r="G131" s="225">
        <v>3373</v>
      </c>
      <c r="H131" s="226"/>
      <c r="I131" s="230">
        <v>91</v>
      </c>
      <c r="J131" s="162" t="str">
        <f t="shared" si="60"/>
        <v>IMPERATRIZ</v>
      </c>
      <c r="K131" s="16">
        <v>490</v>
      </c>
      <c r="L131" s="167" t="str">
        <f>IF(K131&lt;&gt;"",VLOOKUP(K131,'Catálogo SAP'!A:F,3,FALSE),"")</f>
        <v>S.VP-01466</v>
      </c>
      <c r="M131" s="162" t="str">
        <f>IF(K131&lt;&gt;"",VLOOKUP(K131,'Catálogo SAP'!A:F,4,FALSE),"")</f>
        <v>Hora Improdutiva Miniescavadeira Hidraulica C/ Operador</v>
      </c>
      <c r="N131" s="168" t="str">
        <f>IF(K131&lt;&gt;"",VLOOKUP(K131,'Catálogo SAP'!A:F,5,FALSE),"")</f>
        <v>H</v>
      </c>
      <c r="O131" s="160">
        <v>2</v>
      </c>
      <c r="P131" s="70">
        <f t="shared" si="24"/>
        <v>0</v>
      </c>
      <c r="Q131" s="163" t="e">
        <f t="shared" si="39"/>
        <v>#VALUE!</v>
      </c>
      <c r="R131" s="44" t="str">
        <f>IF(J131&lt;&gt;"",VLOOKUP(J131,'RESUMO DR'!$B$4:$E$253,4,FALSE),"-")</f>
        <v>T-01</v>
      </c>
      <c r="S131" s="58" t="str">
        <f>IF(J131&lt;&gt;"",VLOOKUP(J131,'RESUMO DR'!$B$4:$E$253,3,FALSE),"-")</f>
        <v>IMPERATRIZ</v>
      </c>
      <c r="T131" s="129"/>
      <c r="U131" s="129"/>
      <c r="V131" s="129"/>
      <c r="W131" s="128"/>
      <c r="X131" s="127"/>
      <c r="Y131" s="127"/>
      <c r="Z131" s="4"/>
    </row>
    <row r="132" spans="1:26" ht="18" customHeight="1">
      <c r="A132" s="5">
        <v>1471</v>
      </c>
      <c r="B132" s="21">
        <v>45645</v>
      </c>
      <c r="C132" s="21" t="s">
        <v>315</v>
      </c>
      <c r="D132" s="74" t="str">
        <f t="shared" si="59"/>
        <v>qui</v>
      </c>
      <c r="E132" s="169">
        <f>IF(K132&lt;&gt;"",VLOOKUP(K132,'Catálogo SAP'!$A$1:$F$245,2,FALSE),"-")</f>
        <v>160</v>
      </c>
      <c r="F132" s="16">
        <v>1353</v>
      </c>
      <c r="G132" s="16">
        <v>1362</v>
      </c>
      <c r="H132" s="22"/>
      <c r="I132" s="133">
        <v>33</v>
      </c>
      <c r="J132" s="162" t="str">
        <f t="shared" si="60"/>
        <v>S.F. BREJÃO</v>
      </c>
      <c r="K132" s="16">
        <v>160</v>
      </c>
      <c r="L132" s="167" t="str">
        <f>IF(K132&lt;&gt;"",VLOOKUP(K132,'Catálogo SAP'!A:F,3,FALSE),"")</f>
        <v>S.VP-01441</v>
      </c>
      <c r="M132" s="162" t="str">
        <f>IF(K132&lt;&gt;"",VLOOKUP(K132,'Catálogo SAP'!A:F,4,FALSE),"")</f>
        <v>Hora Produtiva Pa Carregadeira C/Operador</v>
      </c>
      <c r="N132" s="168" t="str">
        <f>IF(K132&lt;&gt;"",VLOOKUP(K132,'Catálogo SAP'!A:F,5,FALSE),"")</f>
        <v>H</v>
      </c>
      <c r="O132" s="160">
        <v>9</v>
      </c>
      <c r="P132" s="70">
        <f t="shared" si="24"/>
        <v>9</v>
      </c>
      <c r="Q132" s="163" t="e">
        <f t="shared" si="39"/>
        <v>#VALUE!</v>
      </c>
      <c r="R132" s="44" t="str">
        <f>IF(J132&lt;&gt;"",VLOOKUP(J132,'RESUMO DR'!$B$4:$E$253,4,FALSE),"-")</f>
        <v>T-01</v>
      </c>
      <c r="S132" s="58" t="str">
        <f>IF(J132&lt;&gt;"",VLOOKUP(J132,'RESUMO DR'!$B$4:$E$253,3,FALSE),"-")</f>
        <v>IMPERATRIZ</v>
      </c>
      <c r="T132" s="129"/>
      <c r="U132" s="129"/>
      <c r="V132" s="129"/>
      <c r="W132" s="128"/>
      <c r="X132" s="127"/>
      <c r="Y132" s="127"/>
      <c r="Z132" s="4"/>
    </row>
    <row r="133" spans="1:26" ht="18" customHeight="1">
      <c r="A133" s="5">
        <v>1475</v>
      </c>
      <c r="B133" s="21">
        <v>45645</v>
      </c>
      <c r="C133" s="21" t="s">
        <v>306</v>
      </c>
      <c r="D133" s="74" t="str">
        <f t="shared" si="59"/>
        <v>qui</v>
      </c>
      <c r="E133" s="169">
        <f>IF(K133&lt;&gt;"",VLOOKUP(K133,'Catálogo SAP'!$A$1:$F$245,2,FALSE),"-")</f>
        <v>280</v>
      </c>
      <c r="F133" s="16">
        <v>266</v>
      </c>
      <c r="G133" s="16">
        <v>275</v>
      </c>
      <c r="H133" s="22"/>
      <c r="I133" s="133">
        <v>578</v>
      </c>
      <c r="J133" s="162" t="str">
        <f t="shared" si="60"/>
        <v>Tupirama</v>
      </c>
      <c r="K133" s="16">
        <v>280</v>
      </c>
      <c r="L133" s="167" t="str">
        <f>IF(K133&lt;&gt;"",VLOOKUP(K133,'Catálogo SAP'!A:F,3,FALSE),"")</f>
        <v>S.VP-01453</v>
      </c>
      <c r="M133" s="162" t="str">
        <f>IF(K133&lt;&gt;"",VLOOKUP(K133,'Catálogo SAP'!A:F,4,FALSE),"")</f>
        <v>Hora Produtiva Motoniveladora C/Operador</v>
      </c>
      <c r="N133" s="168" t="str">
        <f>IF(K133&lt;&gt;"",VLOOKUP(K133,'Catálogo SAP'!A:F,5,FALSE),"")</f>
        <v>H</v>
      </c>
      <c r="O133" s="160">
        <v>9</v>
      </c>
      <c r="P133" s="70">
        <f t="shared" si="24"/>
        <v>9</v>
      </c>
      <c r="Q133" s="163" t="e">
        <f t="shared" si="39"/>
        <v>#VALUE!</v>
      </c>
      <c r="R133" s="44" t="str">
        <f>IF(J133&lt;&gt;"",VLOOKUP(J133,'RESUMO DR'!$B$4:$E$253,4,FALSE),"-")</f>
        <v>T-03</v>
      </c>
      <c r="S133" s="58" t="str">
        <f>IF(J133&lt;&gt;"",VLOOKUP(J133,'RESUMO DR'!$B$4:$E$253,3,FALSE),"-")</f>
        <v>PALMAS</v>
      </c>
      <c r="T133" s="129"/>
      <c r="U133" s="129"/>
      <c r="V133" s="129"/>
      <c r="W133" s="128"/>
      <c r="X133" s="127"/>
      <c r="Y133" s="127"/>
      <c r="Z133" s="4"/>
    </row>
    <row r="134" spans="1:26" ht="13.8">
      <c r="A134" s="5"/>
      <c r="B134" s="21">
        <v>45645</v>
      </c>
      <c r="C134" s="21" t="s">
        <v>306</v>
      </c>
      <c r="D134" s="74" t="str">
        <f t="shared" si="31"/>
        <v>qui</v>
      </c>
      <c r="E134" s="169" t="str">
        <f>IF(K134&lt;&gt;"",VLOOKUP(K134,'Catálogo SAP'!$A$1:$F$245,2,FALSE),"-")</f>
        <v>-</v>
      </c>
      <c r="F134" s="16"/>
      <c r="G134" s="16"/>
      <c r="H134" s="22"/>
      <c r="I134" s="133"/>
      <c r="J134" s="162" t="str">
        <f t="shared" si="32"/>
        <v/>
      </c>
      <c r="K134" s="16"/>
      <c r="L134" s="167" t="str">
        <f>IF(K134&lt;&gt;"",VLOOKUP(K134,'Catálogo SAP'!A:F,3,FALSE),"")</f>
        <v/>
      </c>
      <c r="M134" s="162" t="str">
        <f>IF(K134&lt;&gt;"",VLOOKUP(K134,'Catálogo SAP'!A:F,4,FALSE),"")</f>
        <v/>
      </c>
      <c r="N134" s="168" t="str">
        <f>IF(K134&lt;&gt;"",VLOOKUP(K134,'Catálogo SAP'!A:F,5,FALSE),"")</f>
        <v/>
      </c>
      <c r="O134" s="160"/>
      <c r="P134" s="70" t="str">
        <f t="shared" ref="P134:P197" si="61">IF(G134="","-",G134-F134)</f>
        <v>-</v>
      </c>
      <c r="Q134" s="163" t="str">
        <f t="shared" si="39"/>
        <v>-</v>
      </c>
      <c r="R134" s="44" t="str">
        <f>IF(J134&lt;&gt;"",VLOOKUP(J134,'RESUMO DR'!$B$4:$E$253,4,FALSE),"-")</f>
        <v>-</v>
      </c>
      <c r="S134" s="58" t="str">
        <f>IF(J134&lt;&gt;"",VLOOKUP(J134,'RESUMO DR'!$B$4:$E$253,3,FALSE),"-")</f>
        <v>-</v>
      </c>
      <c r="T134" s="129"/>
      <c r="U134" s="129"/>
      <c r="V134" s="129"/>
      <c r="W134" s="128"/>
      <c r="X134" s="127"/>
      <c r="Y134" s="127"/>
      <c r="Z134" s="4"/>
    </row>
    <row r="135" spans="1:26" ht="13.8">
      <c r="A135" s="5">
        <v>1474</v>
      </c>
      <c r="B135" s="21">
        <v>45645</v>
      </c>
      <c r="C135" s="21" t="s">
        <v>312</v>
      </c>
      <c r="D135" s="74" t="str">
        <f t="shared" ref="D135" si="62">IF(B135="","-",TEXT(B135,"ddd"))</f>
        <v>qui</v>
      </c>
      <c r="E135" s="169">
        <f>IF(K135&lt;&gt;"",VLOOKUP(K135,'Catálogo SAP'!$A$1:$F$245,2,FALSE),"-")</f>
        <v>200</v>
      </c>
      <c r="F135" s="16">
        <v>69678</v>
      </c>
      <c r="G135" s="16">
        <v>70268</v>
      </c>
      <c r="H135" s="22"/>
      <c r="I135" s="133">
        <v>442</v>
      </c>
      <c r="J135" s="162" t="str">
        <f t="shared" ref="J135" si="63">IF(AND(I135&gt;=0.001,I135&lt;=16),"AÇAILÂNDIA","")&amp;IF(AND(I135&gt;=16.001,I135&lt;=44),"S.F. BREJÃO","")&amp;IF(AND(I135&gt;=44.001,I135&lt;=78),"JOÃO LISBOA","")&amp;IF(AND(I135&gt;=78.001,I135&lt;=96.397),"IMPERATRIZ","")&amp;IF(AND(I135&gt;=96.398,I135&lt;=122.82),"EDSON LOBÃO","")&amp;IF(AND(I135&gt;=122.821,I135&lt;=152.303),"RIBAMAR FIQUENE","")&amp;IF(AND(I135&gt;=152.304,I135&lt;=172.403),"CAMPESTRE","")&amp;IF(AND(I135&gt;=172.404,I135&lt;=195),"PORTO FRANCO","")&amp;IF(AND(I135&gt;=300,I135&lt;=300),"SAO LUIS","")&amp;IF(AND(I135&gt;=385.4,I135&lt;=465.4),"Palmeirante","")&amp;IF(AND(I135&gt;=465.401,I135&lt;=520.455),"Tupiratins","")&amp;IF(AND(I135&gt;=520.456,I135&lt;=536.741),"Guaraí","")&amp;IF(AND(I135&gt;=536.742,I135&lt;=580.293),"Tupirama","")&amp;IF(AND(I135&gt;=580.294,I135&lt;=608.637),"Rio dos Bois","")&amp;IF(AND(I135&gt;=608.638,I135&lt;=698.981),"Miracema","")&amp;IF(AND(I135&gt;=698.982,I135&lt;=735.6),"Porto Nacional","")&amp;IF(AND(I135&gt;=195.1,I135&lt;=213.603),"ESTREITO","")&amp;IF(AND(I135&gt;=213.604,I135&lt;=218.976),"AGUIARNÓPOLIS","")&amp;IF(AND(I135&gt;=218.977,I135&lt;=253.5),"PALMEIRAS DO TOCANTINS","")&amp;IF(AND(I135&gt;=253.501,I135&lt;=274.15),"DARCINÓPOLIS","")&amp;IF(AND(I135&gt;=274.151,I135&lt;=299.999),"BABAÇULÂNDIA","")&amp;IF(AND(I135&gt;=356.62,I135&lt;=385.4),"ARAGUAÍNA","")&amp;IF(AND(I135&gt;=300.001,I135&lt;=356.619),"BABAÇULÂNDIA","")&amp;IF(AND(I135&gt;=900,I135&lt;=902),"ENG. VLI","")</f>
        <v>Palmeirante</v>
      </c>
      <c r="K135" s="16">
        <v>200</v>
      </c>
      <c r="L135" s="167" t="str">
        <f>IF(K135&lt;&gt;"",VLOOKUP(K135,'Catálogo SAP'!A:F,3,FALSE),"")</f>
        <v>S.VP-01445</v>
      </c>
      <c r="M135" s="162" t="str">
        <f>IF(K135&lt;&gt;"",VLOOKUP(K135,'Catálogo SAP'!A:F,4,FALSE),"")</f>
        <v>Km Rodado Caminhão Basculante - C/Motorista</v>
      </c>
      <c r="N135" s="168" t="str">
        <f>IF(K135&lt;&gt;"",VLOOKUP(K135,'Catálogo SAP'!A:F,5,FALSE),"")</f>
        <v>KM</v>
      </c>
      <c r="O135" s="160">
        <v>590</v>
      </c>
      <c r="P135" s="70">
        <f t="shared" si="61"/>
        <v>590</v>
      </c>
      <c r="Q135" s="163" t="e">
        <f t="shared" si="39"/>
        <v>#VALUE!</v>
      </c>
      <c r="R135" s="44" t="str">
        <f>IF(J135&lt;&gt;"",VLOOKUP(J135,'RESUMO DR'!$B$4:$E$253,4,FALSE),"-")</f>
        <v>T-02</v>
      </c>
      <c r="S135" s="58" t="str">
        <f>IF(J135&lt;&gt;"",VLOOKUP(J135,'RESUMO DR'!$B$4:$E$253,3,FALSE),"-")</f>
        <v>ARAGUAINA</v>
      </c>
      <c r="T135" s="129"/>
      <c r="U135" s="129"/>
      <c r="V135" s="129"/>
      <c r="W135" s="128"/>
      <c r="X135" s="127"/>
      <c r="Y135" s="127"/>
      <c r="Z135" s="4"/>
    </row>
    <row r="136" spans="1:26" ht="13.8">
      <c r="A136" s="5">
        <v>1476</v>
      </c>
      <c r="B136" s="21">
        <v>45645</v>
      </c>
      <c r="C136" s="21" t="s">
        <v>310</v>
      </c>
      <c r="D136" s="74" t="str">
        <f t="shared" ref="D136:D140" si="64">IF(B136="","-",TEXT(B136,"ddd"))</f>
        <v>qui</v>
      </c>
      <c r="E136" s="169">
        <f>IF(K136&lt;&gt;"",VLOOKUP(K136,'Catálogo SAP'!$A$1:$F$245,2,FALSE),"-")</f>
        <v>120</v>
      </c>
      <c r="F136" s="225">
        <v>115</v>
      </c>
      <c r="G136" s="225">
        <v>121</v>
      </c>
      <c r="H136" s="226"/>
      <c r="I136" s="230">
        <v>453</v>
      </c>
      <c r="J136" s="162" t="str">
        <f t="shared" ref="J136:J140" si="65">IF(AND(I136&gt;=0.001,I136&lt;=16),"AÇAILÂNDIA","")&amp;IF(AND(I136&gt;=16.001,I136&lt;=44),"S.F. BREJÃO","")&amp;IF(AND(I136&gt;=44.001,I136&lt;=78),"JOÃO LISBOA","")&amp;IF(AND(I136&gt;=78.001,I136&lt;=96.397),"IMPERATRIZ","")&amp;IF(AND(I136&gt;=96.398,I136&lt;=122.82),"EDSON LOBÃO","")&amp;IF(AND(I136&gt;=122.821,I136&lt;=152.303),"RIBAMAR FIQUENE","")&amp;IF(AND(I136&gt;=152.304,I136&lt;=172.403),"CAMPESTRE","")&amp;IF(AND(I136&gt;=172.404,I136&lt;=195),"PORTO FRANCO","")&amp;IF(AND(I136&gt;=300,I136&lt;=300),"SAO LUIS","")&amp;IF(AND(I136&gt;=385.4,I136&lt;=465.4),"Palmeirante","")&amp;IF(AND(I136&gt;=465.401,I136&lt;=520.455),"Tupiratins","")&amp;IF(AND(I136&gt;=520.456,I136&lt;=536.741),"Guaraí","")&amp;IF(AND(I136&gt;=536.742,I136&lt;=580.293),"Tupirama","")&amp;IF(AND(I136&gt;=580.294,I136&lt;=608.637),"Rio dos Bois","")&amp;IF(AND(I136&gt;=608.638,I136&lt;=698.981),"Miracema","")&amp;IF(AND(I136&gt;=698.982,I136&lt;=735.6),"Porto Nacional","")&amp;IF(AND(I136&gt;=195.1,I136&lt;=213.603),"ESTREITO","")&amp;IF(AND(I136&gt;=213.604,I136&lt;=218.976),"AGUIARNÓPOLIS","")&amp;IF(AND(I136&gt;=218.977,I136&lt;=253.5),"PALMEIRAS DO TOCANTINS","")&amp;IF(AND(I136&gt;=253.501,I136&lt;=274.15),"DARCINÓPOLIS","")&amp;IF(AND(I136&gt;=274.151,I136&lt;=299.999),"BABAÇULÂNDIA","")&amp;IF(AND(I136&gt;=356.62,I136&lt;=385.4),"ARAGUAÍNA","")&amp;IF(AND(I136&gt;=300.001,I136&lt;=356.619),"BABAÇULÂNDIA","")&amp;IF(AND(I136&gt;=900,I136&lt;=902),"ENG. VLI","")</f>
        <v>Palmeirante</v>
      </c>
      <c r="K136" s="16">
        <v>120</v>
      </c>
      <c r="L136" s="167" t="str">
        <f>IF(K136&lt;&gt;"",VLOOKUP(K136,'Catálogo SAP'!A:F,3,FALSE),"")</f>
        <v>S.VP-01437</v>
      </c>
      <c r="M136" s="162" t="str">
        <f>IF(K136&lt;&gt;"",VLOOKUP(K136,'Catálogo SAP'!A:F,4,FALSE),"")</f>
        <v>Hr Produtiva Retroescavadeira C/Operador</v>
      </c>
      <c r="N136" s="168" t="str">
        <f>IF(K136&lt;&gt;"",VLOOKUP(K136,'Catálogo SAP'!A:F,5,FALSE),"")</f>
        <v>H</v>
      </c>
      <c r="O136" s="160">
        <v>6</v>
      </c>
      <c r="P136" s="70">
        <f t="shared" si="61"/>
        <v>6</v>
      </c>
      <c r="Q136" s="163" t="e">
        <f t="shared" ref="Q136:Q140" si="66">IF(K136="","-",N136*O136)</f>
        <v>#VALUE!</v>
      </c>
      <c r="R136" s="44" t="s">
        <v>192</v>
      </c>
      <c r="S136" s="58" t="s">
        <v>193</v>
      </c>
      <c r="T136" s="129"/>
      <c r="U136" s="129"/>
      <c r="V136" s="129"/>
      <c r="W136" s="128"/>
      <c r="X136" s="127"/>
      <c r="Y136" s="127"/>
      <c r="Z136" s="4"/>
    </row>
    <row r="137" spans="1:26" ht="13.8">
      <c r="A137" s="5">
        <v>1476</v>
      </c>
      <c r="B137" s="21">
        <v>45645</v>
      </c>
      <c r="C137" s="21" t="s">
        <v>310</v>
      </c>
      <c r="D137" s="74" t="str">
        <f t="shared" ref="D137:D138" si="67">IF(B137="","-",TEXT(B137,"ddd"))</f>
        <v>qui</v>
      </c>
      <c r="E137" s="169">
        <f>IF(K137&lt;&gt;"",VLOOKUP(K137,'Catálogo SAP'!$A$1:$F$245,2,FALSE),"-")</f>
        <v>130</v>
      </c>
      <c r="F137" s="225">
        <v>121</v>
      </c>
      <c r="G137" s="225">
        <v>121</v>
      </c>
      <c r="H137" s="226"/>
      <c r="I137" s="227">
        <v>453</v>
      </c>
      <c r="J137" s="228" t="str">
        <f t="shared" si="65"/>
        <v>Palmeirante</v>
      </c>
      <c r="K137" s="225">
        <v>130</v>
      </c>
      <c r="L137" s="167" t="str">
        <f>IF(K137&lt;&gt;"",VLOOKUP(K137,'Catálogo SAP'!A:F,3,FALSE),"")</f>
        <v>S.VP-01438</v>
      </c>
      <c r="M137" s="162" t="str">
        <f>IF(K137&lt;&gt;"",VLOOKUP(K137,'Catálogo SAP'!A:F,4,FALSE),"")</f>
        <v>Hr Improdutiva Retroescavadeira C/Operador</v>
      </c>
      <c r="N137" s="168" t="str">
        <f>IF(K137&lt;&gt;"",VLOOKUP(K137,'Catálogo SAP'!A:F,5,FALSE),"")</f>
        <v>H</v>
      </c>
      <c r="O137" s="231">
        <v>3</v>
      </c>
      <c r="P137" s="70">
        <f t="shared" si="61"/>
        <v>0</v>
      </c>
      <c r="Q137" s="163" t="e">
        <f t="shared" ref="Q137:Q138" si="68">IF(K137="","-",N137*O137)</f>
        <v>#VALUE!</v>
      </c>
      <c r="R137" s="44" t="s">
        <v>192</v>
      </c>
      <c r="S137" s="58" t="s">
        <v>193</v>
      </c>
      <c r="T137" s="129"/>
      <c r="U137" s="129"/>
      <c r="V137" s="129"/>
      <c r="W137" s="128"/>
      <c r="X137" s="127"/>
      <c r="Y137" s="127"/>
      <c r="Z137" s="4"/>
    </row>
    <row r="138" spans="1:26" ht="18" customHeight="1">
      <c r="A138" s="5"/>
      <c r="B138" s="21">
        <v>45645</v>
      </c>
      <c r="C138" s="21" t="s">
        <v>138</v>
      </c>
      <c r="D138" s="74" t="str">
        <f t="shared" si="67"/>
        <v>qui</v>
      </c>
      <c r="E138" s="169" t="str">
        <f>IF(K138&lt;&gt;"",VLOOKUP(K138,'Catálogo SAP'!$A$1:$F$245,2,FALSE),"-")</f>
        <v>-</v>
      </c>
      <c r="F138" s="16"/>
      <c r="G138" s="16"/>
      <c r="H138" s="22"/>
      <c r="I138" s="133"/>
      <c r="J138" s="162" t="str">
        <f t="shared" si="65"/>
        <v/>
      </c>
      <c r="K138" s="16"/>
      <c r="L138" s="167" t="str">
        <f>IF(K138&lt;&gt;"",VLOOKUP(K138,'Catálogo SAP'!A:F,3,FALSE),"")</f>
        <v/>
      </c>
      <c r="M138" s="162" t="str">
        <f>IF(K138&lt;&gt;"",VLOOKUP(K138,'Catálogo SAP'!A:F,4,FALSE),"")</f>
        <v/>
      </c>
      <c r="N138" s="168" t="str">
        <f>IF(K138&lt;&gt;"",VLOOKUP(K138,'Catálogo SAP'!A:F,5,FALSE),"")</f>
        <v/>
      </c>
      <c r="O138" s="160"/>
      <c r="P138" s="70" t="str">
        <f t="shared" si="61"/>
        <v>-</v>
      </c>
      <c r="Q138" s="163" t="str">
        <f t="shared" si="68"/>
        <v>-</v>
      </c>
      <c r="R138" s="44" t="str">
        <f>IF(J138&lt;&gt;"",VLOOKUP(J138,'RESUMO DR'!$B$4:$E$253,4,FALSE),"-")</f>
        <v>-</v>
      </c>
      <c r="S138" s="58" t="str">
        <f>IF(J138&lt;&gt;"",VLOOKUP(J138,'RESUMO DR'!$B$4:$E$253,3,FALSE),"-")</f>
        <v>-</v>
      </c>
      <c r="T138" s="129"/>
      <c r="U138" s="129"/>
      <c r="V138" s="129"/>
      <c r="W138" s="128"/>
      <c r="X138" s="127"/>
      <c r="Y138" s="127"/>
      <c r="Z138" s="4"/>
    </row>
    <row r="139" spans="1:26" ht="18" customHeight="1">
      <c r="A139" s="5"/>
      <c r="B139" s="21">
        <v>45645</v>
      </c>
      <c r="C139" s="21" t="s">
        <v>139</v>
      </c>
      <c r="D139" s="74" t="str">
        <f t="shared" si="64"/>
        <v>qui</v>
      </c>
      <c r="E139" s="169" t="str">
        <f>IF(K139&lt;&gt;"",VLOOKUP(K139,'Catálogo SAP'!$A$1:$F$245,2,FALSE),"-")</f>
        <v>-</v>
      </c>
      <c r="F139" s="225"/>
      <c r="G139" s="225"/>
      <c r="H139" s="226"/>
      <c r="I139" s="230"/>
      <c r="J139" s="162" t="str">
        <f t="shared" si="65"/>
        <v/>
      </c>
      <c r="K139" s="16"/>
      <c r="L139" s="167" t="str">
        <f>IF(K139&lt;&gt;"",VLOOKUP(K139,'Catálogo SAP'!A:F,3,FALSE),"")</f>
        <v/>
      </c>
      <c r="M139" s="162" t="str">
        <f>IF(K139&lt;&gt;"",VLOOKUP(K139,'Catálogo SAP'!A:F,4,FALSE),"")</f>
        <v/>
      </c>
      <c r="N139" s="168" t="str">
        <f>IF(K139&lt;&gt;"",VLOOKUP(K139,'Catálogo SAP'!A:F,5,FALSE),"")</f>
        <v/>
      </c>
      <c r="O139" s="160"/>
      <c r="P139" s="70" t="str">
        <f t="shared" si="61"/>
        <v>-</v>
      </c>
      <c r="Q139" s="163" t="str">
        <f t="shared" si="66"/>
        <v>-</v>
      </c>
      <c r="R139" s="44" t="str">
        <f>IF(J139&lt;&gt;"",VLOOKUP(J139,'RESUMO DR'!$B$4:$E$253,4,FALSE),"-")</f>
        <v>-</v>
      </c>
      <c r="S139" s="58" t="str">
        <f>IF(J139&lt;&gt;"",VLOOKUP(J139,'RESUMO DR'!$B$4:$E$253,3,FALSE),"-")</f>
        <v>-</v>
      </c>
      <c r="T139" s="129"/>
      <c r="U139" s="129"/>
      <c r="V139" s="129"/>
      <c r="W139" s="128"/>
      <c r="X139" s="127"/>
      <c r="Y139" s="127"/>
      <c r="Z139" s="4"/>
    </row>
    <row r="140" spans="1:26" ht="13.8">
      <c r="A140" s="5"/>
      <c r="B140" s="21">
        <v>45645</v>
      </c>
      <c r="C140" s="21" t="s">
        <v>139</v>
      </c>
      <c r="D140" s="74" t="str">
        <f t="shared" si="64"/>
        <v>qui</v>
      </c>
      <c r="E140" s="169" t="str">
        <f>IF(K140&lt;&gt;"",VLOOKUP(K140,'Catálogo SAP'!$A$1:$F$245,2,FALSE),"-")</f>
        <v>-</v>
      </c>
      <c r="F140" s="16"/>
      <c r="G140" s="16"/>
      <c r="H140" s="22"/>
      <c r="I140" s="133"/>
      <c r="J140" s="162" t="str">
        <f t="shared" si="65"/>
        <v/>
      </c>
      <c r="K140" s="16"/>
      <c r="L140" s="167" t="str">
        <f>IF(K140&lt;&gt;"",VLOOKUP(K140,'Catálogo SAP'!A:F,3,FALSE),"")</f>
        <v/>
      </c>
      <c r="M140" s="162" t="str">
        <f>IF(K140&lt;&gt;"",VLOOKUP(K140,'Catálogo SAP'!A:F,4,FALSE),"")</f>
        <v/>
      </c>
      <c r="N140" s="168" t="str">
        <f>IF(K140&lt;&gt;"",VLOOKUP(K140,'Catálogo SAP'!A:F,5,FALSE),"")</f>
        <v/>
      </c>
      <c r="O140" s="160"/>
      <c r="P140" s="70" t="str">
        <f t="shared" si="61"/>
        <v>-</v>
      </c>
      <c r="Q140" s="163" t="str">
        <f t="shared" si="66"/>
        <v>-</v>
      </c>
      <c r="R140" s="44" t="str">
        <f>IF(J140&lt;&gt;"",VLOOKUP(J140,'RESUMO DR'!$B$4:$E$253,4,FALSE),"-")</f>
        <v>-</v>
      </c>
      <c r="S140" s="58" t="str">
        <f>IF(J140&lt;&gt;"",VLOOKUP(J140,'RESUMO DR'!$B$4:$E$253,3,FALSE),"-")</f>
        <v>-</v>
      </c>
      <c r="T140" s="129"/>
      <c r="U140" s="129"/>
      <c r="V140" s="129"/>
      <c r="W140" s="128"/>
      <c r="X140" s="127"/>
      <c r="Y140" s="127"/>
      <c r="Z140" s="4"/>
    </row>
    <row r="141" spans="1:26" ht="18" customHeight="1">
      <c r="A141" s="5"/>
      <c r="B141" s="21">
        <v>45645</v>
      </c>
      <c r="C141" s="21" t="s">
        <v>124</v>
      </c>
      <c r="D141" s="74" t="str">
        <f t="shared" ref="D141:D143" si="69">IF(B141="","-",TEXT(B141,"ddd"))</f>
        <v>qui</v>
      </c>
      <c r="E141" s="169" t="str">
        <f>IF(K141&lt;&gt;"",VLOOKUP(K141,'Catálogo SAP'!$A$1:$F$245,2,FALSE),"-")</f>
        <v>-</v>
      </c>
      <c r="F141" s="16"/>
      <c r="G141" s="16"/>
      <c r="H141" s="22"/>
      <c r="I141" s="133"/>
      <c r="J141" s="162" t="str">
        <f t="shared" ref="J141:J143" si="70">IF(AND(I141&gt;=0.001,I141&lt;=16),"AÇAILÂNDIA","")&amp;IF(AND(I141&gt;=16.001,I141&lt;=44),"S.F. BREJÃO","")&amp;IF(AND(I141&gt;=44.001,I141&lt;=78),"JOÃO LISBOA","")&amp;IF(AND(I141&gt;=78.001,I141&lt;=96.397),"IMPERATRIZ","")&amp;IF(AND(I141&gt;=96.398,I141&lt;=122.82),"EDSON LOBÃO","")&amp;IF(AND(I141&gt;=122.821,I141&lt;=152.303),"RIBAMAR FIQUENE","")&amp;IF(AND(I141&gt;=152.304,I141&lt;=172.403),"CAMPESTRE","")&amp;IF(AND(I141&gt;=172.404,I141&lt;=195),"PORTO FRANCO","")&amp;IF(AND(I141&gt;=300,I141&lt;=300),"SAO LUIS","")&amp;IF(AND(I141&gt;=385.4,I141&lt;=465.4),"Palmeirante","")&amp;IF(AND(I141&gt;=465.401,I141&lt;=520.455),"Tupiratins","")&amp;IF(AND(I141&gt;=520.456,I141&lt;=536.741),"Guaraí","")&amp;IF(AND(I141&gt;=536.742,I141&lt;=580.293),"Tupirama","")&amp;IF(AND(I141&gt;=580.294,I141&lt;=608.637),"Rio dos Bois","")&amp;IF(AND(I141&gt;=608.638,I141&lt;=698.981),"Miracema","")&amp;IF(AND(I141&gt;=698.982,I141&lt;=735.6),"Porto Nacional","")&amp;IF(AND(I141&gt;=195.1,I141&lt;=213.603),"ESTREITO","")&amp;IF(AND(I141&gt;=213.604,I141&lt;=218.976),"AGUIARNÓPOLIS","")&amp;IF(AND(I141&gt;=218.977,I141&lt;=253.5),"PALMEIRAS DO TOCANTINS","")&amp;IF(AND(I141&gt;=253.501,I141&lt;=274.15),"DARCINÓPOLIS","")&amp;IF(AND(I141&gt;=274.151,I141&lt;=299.999),"BABAÇULÂNDIA","")&amp;IF(AND(I141&gt;=356.62,I141&lt;=385.4),"ARAGUAÍNA","")&amp;IF(AND(I141&gt;=300.001,I141&lt;=356.619),"BABAÇULÂNDIA","")&amp;IF(AND(I141&gt;=900,I141&lt;=902),"ENG. VLI","")</f>
        <v/>
      </c>
      <c r="K141" s="16"/>
      <c r="L141" s="167" t="str">
        <f>IF(K141&lt;&gt;"",VLOOKUP(K141,'Catálogo SAP'!A:F,3,FALSE),"")</f>
        <v/>
      </c>
      <c r="M141" s="162" t="str">
        <f>IF(K141&lt;&gt;"",VLOOKUP(K141,'Catálogo SAP'!A:F,4,FALSE),"")</f>
        <v/>
      </c>
      <c r="N141" s="168" t="str">
        <f>IF(K141&lt;&gt;"",VLOOKUP(K141,'Catálogo SAP'!A:F,5,FALSE),"")</f>
        <v/>
      </c>
      <c r="O141" s="160"/>
      <c r="P141" s="70" t="str">
        <f t="shared" si="61"/>
        <v>-</v>
      </c>
      <c r="Q141" s="163" t="str">
        <f t="shared" si="39"/>
        <v>-</v>
      </c>
      <c r="R141" s="44" t="str">
        <f>IF(J141&lt;&gt;"",VLOOKUP(J141,'RESUMO DR'!$B$4:$E$253,4,FALSE),"-")</f>
        <v>-</v>
      </c>
      <c r="S141" s="58" t="str">
        <f>IF(J141&lt;&gt;"",VLOOKUP(J141,'RESUMO DR'!$B$4:$E$253,3,FALSE),"-")</f>
        <v>-</v>
      </c>
      <c r="T141" s="129"/>
      <c r="U141" s="129"/>
      <c r="V141" s="129"/>
      <c r="W141" s="128"/>
      <c r="X141" s="127"/>
      <c r="Y141" s="127"/>
      <c r="Z141" s="4"/>
    </row>
    <row r="142" spans="1:26" ht="18" customHeight="1">
      <c r="A142" s="5"/>
      <c r="B142" s="222"/>
      <c r="C142" s="222"/>
      <c r="D142" s="223"/>
      <c r="E142" s="224"/>
      <c r="F142" s="225"/>
      <c r="G142" s="225"/>
      <c r="H142" s="226"/>
      <c r="I142" s="227"/>
      <c r="J142" s="228"/>
      <c r="K142" s="225"/>
      <c r="L142" s="167" t="str">
        <f>IF(K142&lt;&gt;"",VLOOKUP(K142,'Catálogo SAP'!A:F,3,FALSE),"")</f>
        <v/>
      </c>
      <c r="M142" s="162" t="str">
        <f>IF(K142&lt;&gt;"",VLOOKUP(K142,'Catálogo SAP'!A:F,4,FALSE),"")</f>
        <v/>
      </c>
      <c r="N142" s="168" t="str">
        <f>IF(K142&lt;&gt;"",VLOOKUP(K142,'Catálogo SAP'!A:F,5,FALSE),"")</f>
        <v/>
      </c>
      <c r="O142" s="231"/>
      <c r="P142" s="70" t="str">
        <f t="shared" si="61"/>
        <v>-</v>
      </c>
      <c r="Q142" s="229"/>
      <c r="R142" s="44" t="str">
        <f>IF(J142&lt;&gt;"",VLOOKUP(J142,'RESUMO DR'!$B$4:$E$253,4,FALSE),"-")</f>
        <v>-</v>
      </c>
      <c r="S142" s="58" t="str">
        <f>IF(J142&lt;&gt;"",VLOOKUP(J142,'RESUMO DR'!$B$4:$E$253,3,FALSE),"-")</f>
        <v>-</v>
      </c>
      <c r="T142" s="129"/>
      <c r="U142" s="129"/>
      <c r="V142" s="129"/>
      <c r="W142" s="128"/>
      <c r="X142" s="127"/>
      <c r="Y142" s="127"/>
      <c r="Z142" s="4"/>
    </row>
    <row r="143" spans="1:26" ht="18" customHeight="1">
      <c r="A143" s="5">
        <v>1556</v>
      </c>
      <c r="B143" s="21">
        <v>45646</v>
      </c>
      <c r="C143" s="21" t="s">
        <v>121</v>
      </c>
      <c r="D143" s="74" t="str">
        <f t="shared" si="69"/>
        <v>sex</v>
      </c>
      <c r="E143" s="169">
        <f>IF(K143&lt;&gt;"",VLOOKUP(K143,'Catálogo SAP'!$A$1:$F$245,2,FALSE),"-")</f>
        <v>120</v>
      </c>
      <c r="F143" s="16">
        <v>8679</v>
      </c>
      <c r="G143" s="16">
        <v>8686</v>
      </c>
      <c r="H143" s="22"/>
      <c r="I143" s="133">
        <v>300</v>
      </c>
      <c r="J143" s="162" t="str">
        <f t="shared" si="70"/>
        <v>SAO LUIS</v>
      </c>
      <c r="K143" s="16">
        <v>120</v>
      </c>
      <c r="L143" s="167" t="str">
        <f>IF(K143&lt;&gt;"",VLOOKUP(K143,'Catálogo SAP'!A:F,3,FALSE),"")</f>
        <v>S.VP-01437</v>
      </c>
      <c r="M143" s="162" t="str">
        <f>IF(K143&lt;&gt;"",VLOOKUP(K143,'Catálogo SAP'!A:F,4,FALSE),"")</f>
        <v>Hr Produtiva Retroescavadeira C/Operador</v>
      </c>
      <c r="N143" s="168" t="str">
        <f>IF(K143&lt;&gt;"",VLOOKUP(K143,'Catálogo SAP'!A:F,5,FALSE),"")</f>
        <v>H</v>
      </c>
      <c r="O143" s="160">
        <v>7</v>
      </c>
      <c r="P143" s="70">
        <f t="shared" si="61"/>
        <v>7</v>
      </c>
      <c r="Q143" s="163" t="e">
        <f t="shared" si="39"/>
        <v>#VALUE!</v>
      </c>
      <c r="R143" s="44" t="str">
        <f>IF(J143&lt;&gt;"",VLOOKUP(J143,'RESUMO DR'!$B$4:$E$253,4,FALSE),"-")</f>
        <v>T-02</v>
      </c>
      <c r="S143" s="58" t="str">
        <f>IF(J143&lt;&gt;"",VLOOKUP(J143,'RESUMO DR'!$B$4:$E$253,3,FALSE),"-")</f>
        <v>ARAGUAINA</v>
      </c>
      <c r="T143" s="129"/>
      <c r="U143" s="129"/>
      <c r="V143" s="129"/>
      <c r="W143" s="128"/>
      <c r="X143" s="127"/>
      <c r="Y143" s="127"/>
      <c r="Z143" s="4"/>
    </row>
    <row r="144" spans="1:26" ht="18" customHeight="1">
      <c r="A144" s="5">
        <v>1556</v>
      </c>
      <c r="B144" s="21">
        <v>45646</v>
      </c>
      <c r="C144" s="21" t="s">
        <v>121</v>
      </c>
      <c r="D144" s="74" t="str">
        <f t="shared" si="31"/>
        <v>sex</v>
      </c>
      <c r="E144" s="169">
        <f>IF(K144&lt;&gt;"",VLOOKUP(K144,'Catálogo SAP'!$A$1:$F$245,2,FALSE),"-")</f>
        <v>130</v>
      </c>
      <c r="F144" s="16">
        <v>8686</v>
      </c>
      <c r="G144" s="16">
        <v>8686</v>
      </c>
      <c r="H144" s="22"/>
      <c r="I144" s="133">
        <v>300</v>
      </c>
      <c r="J144" s="162" t="str">
        <f t="shared" si="32"/>
        <v>SAO LUIS</v>
      </c>
      <c r="K144" s="16">
        <v>130</v>
      </c>
      <c r="L144" s="167" t="str">
        <f>IF(K144&lt;&gt;"",VLOOKUP(K144,'Catálogo SAP'!A:F,3,FALSE),"")</f>
        <v>S.VP-01438</v>
      </c>
      <c r="M144" s="162" t="str">
        <f>IF(K144&lt;&gt;"",VLOOKUP(K144,'Catálogo SAP'!A:F,4,FALSE),"")</f>
        <v>Hr Improdutiva Retroescavadeira C/Operador</v>
      </c>
      <c r="N144" s="168" t="str">
        <f>IF(K144&lt;&gt;"",VLOOKUP(K144,'Catálogo SAP'!A:F,5,FALSE),"")</f>
        <v>H</v>
      </c>
      <c r="O144" s="160">
        <v>1</v>
      </c>
      <c r="P144" s="70">
        <f t="shared" si="61"/>
        <v>0</v>
      </c>
      <c r="Q144" s="163" t="e">
        <f t="shared" si="39"/>
        <v>#VALUE!</v>
      </c>
      <c r="R144" s="44" t="str">
        <f>IF(J144&lt;&gt;"",VLOOKUP(J144,'RESUMO DR'!$B$4:$E$253,4,FALSE),"-")</f>
        <v>T-02</v>
      </c>
      <c r="S144" s="58" t="str">
        <f>IF(J144&lt;&gt;"",VLOOKUP(J144,'RESUMO DR'!$B$4:$E$253,3,FALSE),"-")</f>
        <v>ARAGUAINA</v>
      </c>
      <c r="T144" s="129"/>
      <c r="U144" s="129"/>
      <c r="V144" s="129"/>
      <c r="W144" s="128"/>
      <c r="X144" s="127"/>
      <c r="Y144" s="127"/>
      <c r="Z144" s="4"/>
    </row>
    <row r="145" spans="1:27" ht="18" customHeight="1">
      <c r="A145" s="5">
        <v>1954</v>
      </c>
      <c r="B145" s="21">
        <v>45646</v>
      </c>
      <c r="C145" s="21" t="s">
        <v>123</v>
      </c>
      <c r="D145" s="74" t="str">
        <f t="shared" si="31"/>
        <v>sex</v>
      </c>
      <c r="E145" s="169">
        <f>IF(K145&lt;&gt;"",VLOOKUP(K145,'Catálogo SAP'!$A$1:$F$245,2,FALSE),"-")</f>
        <v>130</v>
      </c>
      <c r="F145" s="16">
        <v>5819</v>
      </c>
      <c r="G145" s="16">
        <v>5819</v>
      </c>
      <c r="H145" s="22"/>
      <c r="I145" s="133">
        <v>578</v>
      </c>
      <c r="J145" s="162" t="str">
        <f t="shared" si="32"/>
        <v>Tupirama</v>
      </c>
      <c r="K145" s="16">
        <v>130</v>
      </c>
      <c r="L145" s="167" t="str">
        <f>IF(K145&lt;&gt;"",VLOOKUP(K145,'Catálogo SAP'!A:F,3,FALSE),"")</f>
        <v>S.VP-01438</v>
      </c>
      <c r="M145" s="162" t="str">
        <f>IF(K145&lt;&gt;"",VLOOKUP(K145,'Catálogo SAP'!A:F,4,FALSE),"")</f>
        <v>Hr Improdutiva Retroescavadeira C/Operador</v>
      </c>
      <c r="N145" s="168" t="str">
        <f>IF(K145&lt;&gt;"",VLOOKUP(K145,'Catálogo SAP'!A:F,5,FALSE),"")</f>
        <v>H</v>
      </c>
      <c r="O145" s="160">
        <v>8</v>
      </c>
      <c r="P145" s="70">
        <f t="shared" si="61"/>
        <v>0</v>
      </c>
      <c r="Q145" s="163" t="e">
        <f t="shared" ref="Q145:Q150" si="71">IF(K145="","-",N145*O145)</f>
        <v>#VALUE!</v>
      </c>
      <c r="R145" s="44" t="str">
        <f>IF(J145&lt;&gt;"",VLOOKUP(J145,'RESUMO DR'!$B$4:$E$253,4,FALSE),"-")</f>
        <v>T-03</v>
      </c>
      <c r="S145" s="58" t="str">
        <f>IF(J145&lt;&gt;"",VLOOKUP(J145,'RESUMO DR'!$B$4:$E$253,3,FALSE),"-")</f>
        <v>PALMAS</v>
      </c>
      <c r="T145" s="129"/>
      <c r="U145" s="129"/>
      <c r="V145" s="129"/>
      <c r="W145" s="128"/>
      <c r="X145" s="127"/>
      <c r="Y145" s="127"/>
      <c r="Z145" s="38">
        <v>849244.1</v>
      </c>
    </row>
    <row r="146" spans="1:27" ht="18" customHeight="1">
      <c r="A146" s="5">
        <v>1498</v>
      </c>
      <c r="B146" s="21">
        <v>45646</v>
      </c>
      <c r="C146" s="21" t="s">
        <v>122</v>
      </c>
      <c r="D146" s="74" t="str">
        <f t="shared" ref="D146" si="72">IF(B146="","-",TEXT(B146,"ddd"))</f>
        <v>sex</v>
      </c>
      <c r="E146" s="169">
        <f>IF(K146&lt;&gt;"",VLOOKUP(K146,'Catálogo SAP'!$A$1:$F$245,2,FALSE),"-")</f>
        <v>120</v>
      </c>
      <c r="F146" s="225">
        <v>3787</v>
      </c>
      <c r="G146" s="225">
        <v>3796</v>
      </c>
      <c r="H146" s="226"/>
      <c r="I146" s="230">
        <v>360</v>
      </c>
      <c r="J146" s="162" t="str">
        <f t="shared" si="32"/>
        <v>ARAGUAÍNA</v>
      </c>
      <c r="K146" s="225">
        <v>120</v>
      </c>
      <c r="L146" s="167" t="str">
        <f>IF(K146&lt;&gt;"",VLOOKUP(K146,'Catálogo SAP'!A:F,3,FALSE),"")</f>
        <v>S.VP-01437</v>
      </c>
      <c r="M146" s="162" t="str">
        <f>IF(K146&lt;&gt;"",VLOOKUP(K146,'Catálogo SAP'!A:F,4,FALSE),"")</f>
        <v>Hr Produtiva Retroescavadeira C/Operador</v>
      </c>
      <c r="N146" s="168" t="str">
        <f>IF(K146&lt;&gt;"",VLOOKUP(K146,'Catálogo SAP'!A:F,5,FALSE),"")</f>
        <v>H</v>
      </c>
      <c r="O146" s="231">
        <v>9</v>
      </c>
      <c r="P146" s="70">
        <f t="shared" si="61"/>
        <v>9</v>
      </c>
      <c r="Q146" s="163" t="e">
        <f t="shared" si="71"/>
        <v>#VALUE!</v>
      </c>
      <c r="R146" s="44" t="str">
        <f>IF(J146&lt;&gt;"",VLOOKUP(J146,'RESUMO DR'!$B$4:$E$253,4,FALSE),"-")</f>
        <v>T-02</v>
      </c>
      <c r="S146" s="58" t="str">
        <f>IF(J146&lt;&gt;"",VLOOKUP(J146,'RESUMO DR'!$B$4:$E$253,3,FALSE),"-")</f>
        <v>ARAGUAINA</v>
      </c>
      <c r="T146" s="129"/>
      <c r="U146" s="129"/>
      <c r="V146" s="129"/>
      <c r="W146" s="128"/>
      <c r="X146" s="127"/>
      <c r="Y146" s="127"/>
      <c r="Z146" s="38"/>
    </row>
    <row r="147" spans="1:27" ht="18" customHeight="1">
      <c r="A147" s="5">
        <v>1485</v>
      </c>
      <c r="B147" s="21">
        <v>45646</v>
      </c>
      <c r="C147" s="21" t="s">
        <v>124</v>
      </c>
      <c r="D147" s="74" t="str">
        <f t="shared" ref="D147:D158" si="73">IF(B147="","-",TEXT(B147,"ddd"))</f>
        <v>sex</v>
      </c>
      <c r="E147" s="169">
        <f>IF(K147&lt;&gt;"",VLOOKUP(K147,'Catálogo SAP'!$A$1:$F$245,2,FALSE),"-")</f>
        <v>400</v>
      </c>
      <c r="F147" s="16">
        <v>418308</v>
      </c>
      <c r="G147" s="16">
        <v>418529</v>
      </c>
      <c r="H147" s="22"/>
      <c r="I147" s="133">
        <v>57</v>
      </c>
      <c r="J147" s="162" t="str">
        <f t="shared" si="32"/>
        <v>JOÃO LISBOA</v>
      </c>
      <c r="K147" s="16">
        <v>400</v>
      </c>
      <c r="L147" s="167" t="str">
        <f>IF(K147&lt;&gt;"",VLOOKUP(K147,'Catálogo SAP'!A:F,3,FALSE),"")</f>
        <v>S.VP-01461</v>
      </c>
      <c r="M147" s="162" t="str">
        <f>IF(K147&lt;&gt;"",VLOOKUP(K147,'Catálogo SAP'!A:F,4,FALSE),"")</f>
        <v>Km Rodado Carreta Prancha - C/ Motorista</v>
      </c>
      <c r="N147" s="168" t="str">
        <f>IF(K147&lt;&gt;"",VLOOKUP(K147,'Catálogo SAP'!A:F,5,FALSE),"")</f>
        <v>KM</v>
      </c>
      <c r="O147" s="160">
        <v>221</v>
      </c>
      <c r="P147" s="70">
        <f t="shared" si="61"/>
        <v>221</v>
      </c>
      <c r="Q147" s="163" t="e">
        <f t="shared" si="71"/>
        <v>#VALUE!</v>
      </c>
      <c r="R147" s="44" t="str">
        <f>IF(J147&lt;&gt;"",VLOOKUP(J147,'RESUMO DR'!$B$4:$E$253,4,FALSE),"-")</f>
        <v>T-01</v>
      </c>
      <c r="S147" s="58" t="str">
        <f>IF(J147&lt;&gt;"",VLOOKUP(J147,'RESUMO DR'!$B$4:$E$253,3,FALSE),"-")</f>
        <v>IMPERATRIZ</v>
      </c>
      <c r="T147" s="129"/>
      <c r="U147" s="129"/>
      <c r="V147" s="129"/>
      <c r="W147" s="128"/>
      <c r="X147" s="127"/>
      <c r="Y147" s="127"/>
      <c r="Z147" s="4"/>
    </row>
    <row r="148" spans="1:27" ht="18" customHeight="1">
      <c r="A148" s="5"/>
      <c r="B148" s="21">
        <v>45646</v>
      </c>
      <c r="C148" s="21" t="s">
        <v>124</v>
      </c>
      <c r="D148" s="74" t="str">
        <f t="shared" si="73"/>
        <v>sex</v>
      </c>
      <c r="E148" s="169" t="str">
        <f>IF(K148&lt;&gt;"",VLOOKUP(K148,'Catálogo SAP'!$A$1:$F$245,2,FALSE),"-")</f>
        <v>-</v>
      </c>
      <c r="F148" s="16"/>
      <c r="G148" s="16"/>
      <c r="H148" s="22"/>
      <c r="I148" s="133"/>
      <c r="J148" s="162" t="str">
        <f t="shared" si="32"/>
        <v/>
      </c>
      <c r="K148" s="16"/>
      <c r="L148" s="167" t="str">
        <f>IF(K148&lt;&gt;"",VLOOKUP(K148,'Catálogo SAP'!A:F,3,FALSE),"")</f>
        <v/>
      </c>
      <c r="M148" s="162" t="str">
        <f>IF(K148&lt;&gt;"",VLOOKUP(K148,'Catálogo SAP'!A:F,4,FALSE),"")</f>
        <v/>
      </c>
      <c r="N148" s="168" t="str">
        <f>IF(K148&lt;&gt;"",VLOOKUP(K148,'Catálogo SAP'!A:F,5,FALSE),"")</f>
        <v/>
      </c>
      <c r="O148" s="160"/>
      <c r="P148" s="70" t="str">
        <f t="shared" si="61"/>
        <v>-</v>
      </c>
      <c r="Q148" s="163" t="str">
        <f t="shared" si="71"/>
        <v>-</v>
      </c>
      <c r="R148" s="44" t="str">
        <f>IF(J148&lt;&gt;"",VLOOKUP(J148,'RESUMO DR'!$B$4:$E$253,4,FALSE),"-")</f>
        <v>-</v>
      </c>
      <c r="S148" s="58" t="str">
        <f>IF(J148&lt;&gt;"",VLOOKUP(J148,'RESUMO DR'!$B$4:$E$253,3,FALSE),"-")</f>
        <v>-</v>
      </c>
      <c r="T148" s="129"/>
      <c r="U148" s="129"/>
      <c r="V148" s="129"/>
      <c r="W148" s="128"/>
      <c r="X148" s="127"/>
      <c r="Y148" s="127"/>
      <c r="Z148" s="4"/>
    </row>
    <row r="149" spans="1:27" ht="18" customHeight="1">
      <c r="A149" s="5">
        <v>1482</v>
      </c>
      <c r="B149" s="21">
        <v>45646</v>
      </c>
      <c r="C149" s="21" t="s">
        <v>307</v>
      </c>
      <c r="D149" s="74" t="str">
        <f t="shared" si="73"/>
        <v>sex</v>
      </c>
      <c r="E149" s="169">
        <f>IF(K149&lt;&gt;"",VLOOKUP(K149,'Catálogo SAP'!$A$1:$F$245,2,FALSE),"-")</f>
        <v>200</v>
      </c>
      <c r="F149" s="225">
        <v>64115</v>
      </c>
      <c r="G149" s="225">
        <v>64472</v>
      </c>
      <c r="H149" s="226"/>
      <c r="I149" s="230">
        <v>134</v>
      </c>
      <c r="J149" s="162" t="str">
        <f t="shared" si="32"/>
        <v>RIBAMAR FIQUENE</v>
      </c>
      <c r="K149" s="16">
        <v>200</v>
      </c>
      <c r="L149" s="167" t="str">
        <f>IF(K149&lt;&gt;"",VLOOKUP(K149,'Catálogo SAP'!A:F,3,FALSE),"")</f>
        <v>S.VP-01445</v>
      </c>
      <c r="M149" s="162" t="str">
        <f>IF(K149&lt;&gt;"",VLOOKUP(K149,'Catálogo SAP'!A:F,4,FALSE),"")</f>
        <v>Km Rodado Caminhão Basculante - C/Motorista</v>
      </c>
      <c r="N149" s="168" t="str">
        <f>IF(K149&lt;&gt;"",VLOOKUP(K149,'Catálogo SAP'!A:F,5,FALSE),"")</f>
        <v>KM</v>
      </c>
      <c r="O149" s="160">
        <v>357</v>
      </c>
      <c r="P149" s="70">
        <f t="shared" si="61"/>
        <v>357</v>
      </c>
      <c r="Q149" s="163" t="e">
        <f t="shared" si="71"/>
        <v>#VALUE!</v>
      </c>
      <c r="R149" s="44" t="str">
        <f>IF(J149&lt;&gt;"",VLOOKUP(J149,'RESUMO DR'!$B$4:$E$253,4,FALSE),"-")</f>
        <v>T-01</v>
      </c>
      <c r="S149" s="58" t="str">
        <f>IF(J149&lt;&gt;"",VLOOKUP(J149,'RESUMO DR'!$B$4:$E$253,3,FALSE),"-")</f>
        <v>IMPERATRIZ</v>
      </c>
      <c r="T149" s="129"/>
      <c r="U149" s="129"/>
      <c r="V149" s="129"/>
      <c r="W149" s="128"/>
      <c r="X149" s="127"/>
      <c r="Y149" s="127"/>
      <c r="Z149" s="4"/>
    </row>
    <row r="150" spans="1:27" ht="18" customHeight="1">
      <c r="A150" s="5">
        <v>1482</v>
      </c>
      <c r="B150" s="21">
        <v>45646</v>
      </c>
      <c r="C150" s="21" t="s">
        <v>308</v>
      </c>
      <c r="D150" s="74" t="str">
        <f t="shared" si="73"/>
        <v>sex</v>
      </c>
      <c r="E150" s="169">
        <f>IF(K150&lt;&gt;"",VLOOKUP(K150,'Catálogo SAP'!$A$1:$F$245,2,FALSE),"-")</f>
        <v>200</v>
      </c>
      <c r="F150" s="225">
        <v>64136</v>
      </c>
      <c r="G150" s="225">
        <v>64490</v>
      </c>
      <c r="H150" s="226"/>
      <c r="I150" s="230">
        <v>134</v>
      </c>
      <c r="J150" s="162" t="str">
        <f t="shared" ref="J150:J158" si="74">IF(AND(I150&gt;=0.001,I150&lt;=16),"AÇAILÂNDIA","")&amp;IF(AND(I150&gt;=16.001,I150&lt;=44),"S.F. BREJÃO","")&amp;IF(AND(I150&gt;=44.001,I150&lt;=78),"JOÃO LISBOA","")&amp;IF(AND(I150&gt;=78.001,I150&lt;=96.397),"IMPERATRIZ","")&amp;IF(AND(I150&gt;=96.398,I150&lt;=122.82),"EDSON LOBÃO","")&amp;IF(AND(I150&gt;=122.821,I150&lt;=152.303),"RIBAMAR FIQUENE","")&amp;IF(AND(I150&gt;=152.304,I150&lt;=172.403),"CAMPESTRE","")&amp;IF(AND(I150&gt;=172.404,I150&lt;=195),"PORTO FRANCO","")&amp;IF(AND(I150&gt;=300,I150&lt;=300),"SAO LUIS","")&amp;IF(AND(I150&gt;=385.4,I150&lt;=465.4),"Palmeirante","")&amp;IF(AND(I150&gt;=465.401,I150&lt;=520.455),"Tupiratins","")&amp;IF(AND(I150&gt;=520.456,I150&lt;=536.741),"Guaraí","")&amp;IF(AND(I150&gt;=536.742,I150&lt;=580.293),"Tupirama","")&amp;IF(AND(I150&gt;=580.294,I150&lt;=608.637),"Rio dos Bois","")&amp;IF(AND(I150&gt;=608.638,I150&lt;=698.981),"Miracema","")&amp;IF(AND(I150&gt;=698.982,I150&lt;=735.6),"Porto Nacional","")&amp;IF(AND(I150&gt;=195.1,I150&lt;=213.603),"ESTREITO","")&amp;IF(AND(I150&gt;=213.604,I150&lt;=218.976),"AGUIARNÓPOLIS","")&amp;IF(AND(I150&gt;=218.977,I150&lt;=253.5),"PALMEIRAS DO TOCANTINS","")&amp;IF(AND(I150&gt;=253.501,I150&lt;=274.15),"DARCINÓPOLIS","")&amp;IF(AND(I150&gt;=274.151,I150&lt;=299.999),"BABAÇULÂNDIA","")&amp;IF(AND(I150&gt;=356.62,I150&lt;=385.4),"ARAGUAÍNA","")&amp;IF(AND(I150&gt;=300.001,I150&lt;=356.619),"BABAÇULÂNDIA","")&amp;IF(AND(I150&gt;=900,I150&lt;=902),"ENG. VLI","")</f>
        <v>RIBAMAR FIQUENE</v>
      </c>
      <c r="K150" s="16">
        <v>200</v>
      </c>
      <c r="L150" s="167" t="str">
        <f>IF(K150&lt;&gt;"",VLOOKUP(K150,'Catálogo SAP'!A:F,3,FALSE),"")</f>
        <v>S.VP-01445</v>
      </c>
      <c r="M150" s="162" t="str">
        <f>IF(K150&lt;&gt;"",VLOOKUP(K150,'Catálogo SAP'!A:F,4,FALSE),"")</f>
        <v>Km Rodado Caminhão Basculante - C/Motorista</v>
      </c>
      <c r="N150" s="168" t="str">
        <f>IF(K150&lt;&gt;"",VLOOKUP(K150,'Catálogo SAP'!A:F,5,FALSE),"")</f>
        <v>KM</v>
      </c>
      <c r="O150" s="160">
        <v>354</v>
      </c>
      <c r="P150" s="70">
        <f t="shared" si="61"/>
        <v>354</v>
      </c>
      <c r="Q150" s="163" t="e">
        <f t="shared" si="71"/>
        <v>#VALUE!</v>
      </c>
      <c r="R150" s="44" t="str">
        <f>IF(J150&lt;&gt;"",VLOOKUP(J150,'RESUMO DR'!$B$4:$E$253,4,FALSE),"-")</f>
        <v>T-01</v>
      </c>
      <c r="S150" s="58" t="str">
        <f>IF(J150&lt;&gt;"",VLOOKUP(J150,'RESUMO DR'!$B$4:$E$253,3,FALSE),"-")</f>
        <v>IMPERATRIZ</v>
      </c>
      <c r="T150" s="129"/>
      <c r="U150" s="129"/>
      <c r="V150" s="129"/>
      <c r="W150" s="128"/>
      <c r="X150" s="127"/>
      <c r="Y150" s="127"/>
      <c r="Z150" s="4"/>
    </row>
    <row r="151" spans="1:27" ht="18" customHeight="1">
      <c r="A151" s="5">
        <v>1500</v>
      </c>
      <c r="B151" s="21">
        <v>45646</v>
      </c>
      <c r="C151" s="21" t="s">
        <v>127</v>
      </c>
      <c r="D151" s="74" t="str">
        <f t="shared" si="73"/>
        <v>sex</v>
      </c>
      <c r="E151" s="169">
        <f>IF(K151&lt;&gt;"",VLOOKUP(K151,'Catálogo SAP'!$A$1:$F$245,2,FALSE),"-")</f>
        <v>200</v>
      </c>
      <c r="F151" s="225">
        <v>48240</v>
      </c>
      <c r="G151" s="225">
        <v>48714</v>
      </c>
      <c r="H151" s="226"/>
      <c r="I151" s="230">
        <v>442</v>
      </c>
      <c r="J151" s="162" t="str">
        <f t="shared" si="74"/>
        <v>Palmeirante</v>
      </c>
      <c r="K151" s="16">
        <v>200</v>
      </c>
      <c r="L151" s="167" t="str">
        <f>IF(K151&lt;&gt;"",VLOOKUP(K151,'Catálogo SAP'!A:F,3,FALSE),"")</f>
        <v>S.VP-01445</v>
      </c>
      <c r="M151" s="162" t="str">
        <f>IF(K151&lt;&gt;"",VLOOKUP(K151,'Catálogo SAP'!A:F,4,FALSE),"")</f>
        <v>Km Rodado Caminhão Basculante - C/Motorista</v>
      </c>
      <c r="N151" s="168" t="str">
        <f>IF(K151&lt;&gt;"",VLOOKUP(K151,'Catálogo SAP'!A:F,5,FALSE),"")</f>
        <v>KM</v>
      </c>
      <c r="O151" s="160">
        <v>474</v>
      </c>
      <c r="P151" s="70">
        <f t="shared" si="61"/>
        <v>474</v>
      </c>
      <c r="Q151" s="163" t="e">
        <f t="shared" si="39"/>
        <v>#VALUE!</v>
      </c>
      <c r="R151" s="44" t="str">
        <f>IF(J151&lt;&gt;"",VLOOKUP(J151,'RESUMO DR'!$B$4:$E$253,4,FALSE),"-")</f>
        <v>T-02</v>
      </c>
      <c r="S151" s="58" t="str">
        <f>IF(J151&lt;&gt;"",VLOOKUP(J151,'RESUMO DR'!$B$4:$E$253,3,FALSE),"-")</f>
        <v>ARAGUAINA</v>
      </c>
      <c r="T151" s="129"/>
      <c r="U151" s="129"/>
      <c r="V151" s="129"/>
      <c r="W151" s="128"/>
      <c r="X151" s="127"/>
      <c r="Y151" s="127"/>
      <c r="Z151" s="4"/>
    </row>
    <row r="152" spans="1:27" ht="18" customHeight="1">
      <c r="A152" s="5">
        <v>1485</v>
      </c>
      <c r="B152" s="21">
        <v>45646</v>
      </c>
      <c r="C152" s="21" t="s">
        <v>314</v>
      </c>
      <c r="D152" s="74" t="str">
        <f t="shared" si="73"/>
        <v>sex</v>
      </c>
      <c r="E152" s="169">
        <f>IF(K152&lt;&gt;"",VLOOKUP(K152,'Catálogo SAP'!$A$1:$F$245,2,FALSE),"-")</f>
        <v>200</v>
      </c>
      <c r="F152" s="225">
        <v>64196</v>
      </c>
      <c r="G152" s="225">
        <v>64421</v>
      </c>
      <c r="H152" s="226"/>
      <c r="I152" s="230">
        <v>57</v>
      </c>
      <c r="J152" s="162" t="str">
        <f t="shared" si="74"/>
        <v>JOÃO LISBOA</v>
      </c>
      <c r="K152" s="16">
        <v>200</v>
      </c>
      <c r="L152" s="167" t="str">
        <f>IF(K152&lt;&gt;"",VLOOKUP(K152,'Catálogo SAP'!A:F,3,FALSE),"")</f>
        <v>S.VP-01445</v>
      </c>
      <c r="M152" s="162" t="str">
        <f>IF(K152&lt;&gt;"",VLOOKUP(K152,'Catálogo SAP'!A:F,4,FALSE),"")</f>
        <v>Km Rodado Caminhão Basculante - C/Motorista</v>
      </c>
      <c r="N152" s="168" t="str">
        <f>IF(K152&lt;&gt;"",VLOOKUP(K152,'Catálogo SAP'!A:F,5,FALSE),"")</f>
        <v>KM</v>
      </c>
      <c r="O152" s="160">
        <v>225</v>
      </c>
      <c r="P152" s="70">
        <f t="shared" si="61"/>
        <v>225</v>
      </c>
      <c r="Q152" s="163" t="e">
        <f t="shared" si="39"/>
        <v>#VALUE!</v>
      </c>
      <c r="R152" s="44" t="str">
        <f>IF(J152&lt;&gt;"",VLOOKUP(J152,'RESUMO DR'!$B$4:$E$253,4,FALSE),"-")</f>
        <v>T-01</v>
      </c>
      <c r="S152" s="58" t="str">
        <f>IF(J152&lt;&gt;"",VLOOKUP(J152,'RESUMO DR'!$B$4:$E$253,3,FALSE),"-")</f>
        <v>IMPERATRIZ</v>
      </c>
      <c r="T152" s="129"/>
      <c r="U152" s="129"/>
      <c r="V152" s="129"/>
      <c r="W152" s="128"/>
      <c r="X152" s="127"/>
      <c r="Y152" s="127"/>
      <c r="Z152" s="4"/>
    </row>
    <row r="153" spans="1:27" ht="18" customHeight="1">
      <c r="A153" s="5">
        <v>1483</v>
      </c>
      <c r="B153" s="21">
        <v>45646</v>
      </c>
      <c r="C153" s="182" t="s">
        <v>313</v>
      </c>
      <c r="D153" s="74" t="str">
        <f t="shared" si="73"/>
        <v>sex</v>
      </c>
      <c r="E153" s="169">
        <f>IF(K153&lt;&gt;"",VLOOKUP(K153,'Catálogo SAP'!$A$1:$F$245,2,FALSE),"-")</f>
        <v>200</v>
      </c>
      <c r="F153" s="16">
        <v>60635</v>
      </c>
      <c r="G153" s="16">
        <v>60798</v>
      </c>
      <c r="H153" s="22"/>
      <c r="I153" s="133">
        <v>34</v>
      </c>
      <c r="J153" s="162" t="str">
        <f t="shared" si="74"/>
        <v>S.F. BREJÃO</v>
      </c>
      <c r="K153" s="16">
        <v>200</v>
      </c>
      <c r="L153" s="167" t="str">
        <f>IF(K153&lt;&gt;"",VLOOKUP(K153,'Catálogo SAP'!A:F,3,FALSE),"")</f>
        <v>S.VP-01445</v>
      </c>
      <c r="M153" s="162" t="str">
        <f>IF(K153&lt;&gt;"",VLOOKUP(K153,'Catálogo SAP'!A:F,4,FALSE),"")</f>
        <v>Km Rodado Caminhão Basculante - C/Motorista</v>
      </c>
      <c r="N153" s="168" t="str">
        <f>IF(K153&lt;&gt;"",VLOOKUP(K153,'Catálogo SAP'!A:F,5,FALSE),"")</f>
        <v>KM</v>
      </c>
      <c r="O153" s="160">
        <v>163</v>
      </c>
      <c r="P153" s="70">
        <f t="shared" si="61"/>
        <v>163</v>
      </c>
      <c r="Q153" s="163" t="e">
        <f t="shared" si="39"/>
        <v>#VALUE!</v>
      </c>
      <c r="R153" s="44" t="str">
        <f>IF(J153&lt;&gt;"",VLOOKUP(J153,'RESUMO DR'!$B$4:$E$253,4,FALSE),"-")</f>
        <v>T-01</v>
      </c>
      <c r="S153" s="58" t="str">
        <f>IF(J153&lt;&gt;"",VLOOKUP(J153,'RESUMO DR'!$B$4:$E$253,3,FALSE),"-")</f>
        <v>IMPERATRIZ</v>
      </c>
      <c r="T153" s="129"/>
      <c r="U153" s="129"/>
      <c r="V153" s="129"/>
      <c r="W153" s="128"/>
      <c r="X153" s="127"/>
      <c r="Y153" s="127"/>
      <c r="Z153" s="4"/>
    </row>
    <row r="154" spans="1:27" ht="18" customHeight="1">
      <c r="A154" s="5">
        <v>1954</v>
      </c>
      <c r="B154" s="21">
        <v>45646</v>
      </c>
      <c r="C154" s="21" t="s">
        <v>129</v>
      </c>
      <c r="D154" s="74" t="str">
        <f t="shared" si="73"/>
        <v>sex</v>
      </c>
      <c r="E154" s="169">
        <f>IF(K154&lt;&gt;"",VLOOKUP(K154,'Catálogo SAP'!$A$1:$F$245,2,FALSE),"-")</f>
        <v>210</v>
      </c>
      <c r="F154" s="16">
        <v>80376</v>
      </c>
      <c r="G154" s="16">
        <v>80376</v>
      </c>
      <c r="H154" s="22"/>
      <c r="I154" s="133">
        <v>578</v>
      </c>
      <c r="J154" s="162" t="str">
        <f t="shared" si="74"/>
        <v>Tupirama</v>
      </c>
      <c r="K154" s="16">
        <v>210</v>
      </c>
      <c r="L154" s="167" t="str">
        <f>IF(K154&lt;&gt;"",VLOOKUP(K154,'Catálogo SAP'!A:F,3,FALSE),"")</f>
        <v>S.VP-01446</v>
      </c>
      <c r="M154" s="162" t="str">
        <f>IF(K154&lt;&gt;"",VLOOKUP(K154,'Catálogo SAP'!A:F,4,FALSE),"")</f>
        <v>Hora Improdutiva Basculante - C/Motorista</v>
      </c>
      <c r="N154" s="168" t="str">
        <f>IF(K154&lt;&gt;"",VLOOKUP(K154,'Catálogo SAP'!A:F,5,FALSE),"")</f>
        <v>H</v>
      </c>
      <c r="O154" s="160">
        <v>8</v>
      </c>
      <c r="P154" s="70">
        <f t="shared" si="61"/>
        <v>0</v>
      </c>
      <c r="Q154" s="163" t="e">
        <f t="shared" si="39"/>
        <v>#VALUE!</v>
      </c>
      <c r="R154" s="44" t="str">
        <f>IF(J154&lt;&gt;"",VLOOKUP(J154,'RESUMO DR'!$B$4:$E$253,4,FALSE),"-")</f>
        <v>T-03</v>
      </c>
      <c r="S154" s="58" t="str">
        <f>IF(J154&lt;&gt;"",VLOOKUP(J154,'RESUMO DR'!$B$4:$E$253,3,FALSE),"-")</f>
        <v>PALMAS</v>
      </c>
      <c r="T154" s="129"/>
      <c r="U154" s="129"/>
      <c r="V154" s="129"/>
      <c r="W154" s="128"/>
      <c r="X154" s="127"/>
      <c r="Y154" s="127"/>
      <c r="Z154" s="4"/>
    </row>
    <row r="155" spans="1:27" ht="18" customHeight="1">
      <c r="A155" s="5">
        <v>1482</v>
      </c>
      <c r="B155" s="21">
        <v>45646</v>
      </c>
      <c r="C155" s="21" t="s">
        <v>298</v>
      </c>
      <c r="D155" s="74" t="str">
        <f t="shared" si="73"/>
        <v>sex</v>
      </c>
      <c r="E155" s="169">
        <f>IF(K155&lt;&gt;"",VLOOKUP(K155,'Catálogo SAP'!$A$1:$F$245,2,FALSE),"-")</f>
        <v>160</v>
      </c>
      <c r="F155" s="225">
        <v>522</v>
      </c>
      <c r="G155" s="225">
        <v>530</v>
      </c>
      <c r="H155" s="226"/>
      <c r="I155" s="230">
        <v>134</v>
      </c>
      <c r="J155" s="162" t="str">
        <f t="shared" si="74"/>
        <v>RIBAMAR FIQUENE</v>
      </c>
      <c r="K155" s="16">
        <v>160</v>
      </c>
      <c r="L155" s="167" t="str">
        <f>IF(K155&lt;&gt;"",VLOOKUP(K155,'Catálogo SAP'!A:F,3,FALSE),"")</f>
        <v>S.VP-01441</v>
      </c>
      <c r="M155" s="162" t="str">
        <f>IF(K155&lt;&gt;"",VLOOKUP(K155,'Catálogo SAP'!A:F,4,FALSE),"")</f>
        <v>Hora Produtiva Pa Carregadeira C/Operador</v>
      </c>
      <c r="N155" s="168" t="str">
        <f>IF(K155&lt;&gt;"",VLOOKUP(K155,'Catálogo SAP'!A:F,5,FALSE),"")</f>
        <v>H</v>
      </c>
      <c r="O155" s="160">
        <v>8</v>
      </c>
      <c r="P155" s="70">
        <f t="shared" si="61"/>
        <v>8</v>
      </c>
      <c r="Q155" s="163" t="e">
        <f t="shared" si="39"/>
        <v>#VALUE!</v>
      </c>
      <c r="R155" s="44" t="str">
        <f>IF(J155&lt;&gt;"",VLOOKUP(J155,'RESUMO DR'!$B$4:$E$253,4,FALSE),"-")</f>
        <v>T-01</v>
      </c>
      <c r="S155" s="58" t="str">
        <f>IF(J155&lt;&gt;"",VLOOKUP(J155,'RESUMO DR'!$B$4:$E$253,3,FALSE),"-")</f>
        <v>IMPERATRIZ</v>
      </c>
      <c r="T155" s="129"/>
      <c r="U155" s="129"/>
      <c r="V155" s="129"/>
      <c r="W155" s="128"/>
      <c r="X155" s="127"/>
      <c r="Y155" s="127"/>
      <c r="Z155" s="4"/>
    </row>
    <row r="156" spans="1:27" ht="18" customHeight="1">
      <c r="A156" s="5">
        <v>1486</v>
      </c>
      <c r="B156" s="21">
        <v>45646</v>
      </c>
      <c r="C156" s="21" t="s">
        <v>131</v>
      </c>
      <c r="D156" s="74" t="str">
        <f t="shared" si="73"/>
        <v>sex</v>
      </c>
      <c r="E156" s="169">
        <f>IF(K156&lt;&gt;"",VLOOKUP(K156,'Catálogo SAP'!$A$1:$F$245,2,FALSE),"-")</f>
        <v>520</v>
      </c>
      <c r="F156" s="225">
        <v>10539</v>
      </c>
      <c r="G156" s="225">
        <v>10547</v>
      </c>
      <c r="H156" s="226"/>
      <c r="I156" s="230">
        <v>195</v>
      </c>
      <c r="J156" s="162" t="str">
        <f t="shared" si="74"/>
        <v>PORTO FRANCO</v>
      </c>
      <c r="K156" s="16">
        <v>520</v>
      </c>
      <c r="L156" s="167" t="str">
        <f>IF(K156&lt;&gt;"",VLOOKUP(K156,'Catálogo SAP'!A:F,3,FALSE),"")</f>
        <v>S.VP-01469</v>
      </c>
      <c r="M156" s="162" t="str">
        <f>IF(K156&lt;&gt;"",VLOOKUP(K156,'Catálogo SAP'!A:F,4,FALSE),"")</f>
        <v>Hora Produtiva Escavadeira Hidraulica</v>
      </c>
      <c r="N156" s="168" t="str">
        <f>IF(K156&lt;&gt;"",VLOOKUP(K156,'Catálogo SAP'!A:F,5,FALSE),"")</f>
        <v>H</v>
      </c>
      <c r="O156" s="160">
        <v>8</v>
      </c>
      <c r="P156" s="70">
        <f t="shared" si="61"/>
        <v>8</v>
      </c>
      <c r="Q156" s="163" t="e">
        <f t="shared" si="39"/>
        <v>#VALUE!</v>
      </c>
      <c r="R156" s="44" t="str">
        <f>IF(J156&lt;&gt;"",VLOOKUP(J156,'RESUMO DR'!$B$4:$E$253,4,FALSE),"-")</f>
        <v>T-01</v>
      </c>
      <c r="S156" s="58" t="str">
        <f>IF(J156&lt;&gt;"",VLOOKUP(J156,'RESUMO DR'!$B$4:$E$253,3,FALSE),"-")</f>
        <v>IMPERATRIZ</v>
      </c>
      <c r="T156" s="129"/>
      <c r="U156" s="129"/>
      <c r="V156" s="129"/>
      <c r="W156" s="128"/>
      <c r="X156" s="127"/>
      <c r="Y156" s="127"/>
    </row>
    <row r="157" spans="1:27" ht="18" customHeight="1">
      <c r="A157" s="5"/>
      <c r="B157" s="21">
        <v>45646</v>
      </c>
      <c r="C157" s="21" t="s">
        <v>131</v>
      </c>
      <c r="D157" s="74" t="str">
        <f t="shared" si="31"/>
        <v>sex</v>
      </c>
      <c r="E157" s="169" t="str">
        <f>IF(K157&lt;&gt;"",VLOOKUP(K157,'Catálogo SAP'!$A$1:$F$245,2,FALSE),"-")</f>
        <v>-</v>
      </c>
      <c r="F157" s="225"/>
      <c r="G157" s="225"/>
      <c r="H157" s="226"/>
      <c r="I157" s="230"/>
      <c r="J157" s="162" t="str">
        <f t="shared" si="32"/>
        <v/>
      </c>
      <c r="K157" s="16"/>
      <c r="L157" s="167" t="str">
        <f>IF(K157&lt;&gt;"",VLOOKUP(K157,'Catálogo SAP'!A:F,3,FALSE),"")</f>
        <v/>
      </c>
      <c r="M157" s="162" t="str">
        <f>IF(K157&lt;&gt;"",VLOOKUP(K157,'Catálogo SAP'!A:F,4,FALSE),"")</f>
        <v/>
      </c>
      <c r="N157" s="168" t="str">
        <f>IF(K157&lt;&gt;"",VLOOKUP(K157,'Catálogo SAP'!A:F,5,FALSE),"")</f>
        <v/>
      </c>
      <c r="O157" s="160"/>
      <c r="P157" s="70" t="str">
        <f t="shared" si="61"/>
        <v>-</v>
      </c>
      <c r="Q157" s="163" t="str">
        <f t="shared" si="39"/>
        <v>-</v>
      </c>
      <c r="R157" s="44" t="str">
        <f>IF(J157&lt;&gt;"",VLOOKUP(J157,'RESUMO DR'!$B$4:$E$253,4,FALSE),"-")</f>
        <v>-</v>
      </c>
      <c r="S157" s="58" t="str">
        <f>IF(J157&lt;&gt;"",VLOOKUP(J157,'RESUMO DR'!$B$4:$E$253,3,FALSE),"-")</f>
        <v>-</v>
      </c>
      <c r="T157" s="129"/>
      <c r="U157" s="129"/>
      <c r="V157" s="129"/>
      <c r="W157" s="128"/>
      <c r="X157" s="127"/>
      <c r="Y157" s="127"/>
      <c r="Z157" s="38">
        <v>251300</v>
      </c>
      <c r="AA157" s="38" t="s">
        <v>143</v>
      </c>
    </row>
    <row r="158" spans="1:27" ht="18" customHeight="1">
      <c r="A158" s="5"/>
      <c r="B158" s="21">
        <v>45646</v>
      </c>
      <c r="C158" s="21" t="s">
        <v>132</v>
      </c>
      <c r="D158" s="74" t="str">
        <f t="shared" si="73"/>
        <v>sex</v>
      </c>
      <c r="E158" s="169" t="str">
        <f>IF(K158&lt;&gt;"",VLOOKUP(K158,'Catálogo SAP'!$A$1:$F$245,2,FALSE),"-")</f>
        <v>-</v>
      </c>
      <c r="F158" s="16"/>
      <c r="G158" s="16"/>
      <c r="H158" s="22"/>
      <c r="I158" s="133"/>
      <c r="J158" s="162" t="str">
        <f t="shared" si="74"/>
        <v/>
      </c>
      <c r="K158" s="16"/>
      <c r="L158" s="167" t="str">
        <f>IF(K158&lt;&gt;"",VLOOKUP(K158,'Catálogo SAP'!A:F,3,FALSE),"")</f>
        <v/>
      </c>
      <c r="M158" s="162" t="str">
        <f>IF(K158&lt;&gt;"",VLOOKUP(K158,'Catálogo SAP'!A:F,4,FALSE),"")</f>
        <v/>
      </c>
      <c r="N158" s="168" t="str">
        <f>IF(K158&lt;&gt;"",VLOOKUP(K158,'Catálogo SAP'!A:F,5,FALSE),"")</f>
        <v/>
      </c>
      <c r="O158" s="160"/>
      <c r="P158" s="70" t="str">
        <f t="shared" si="61"/>
        <v>-</v>
      </c>
      <c r="Q158" s="163" t="str">
        <f t="shared" ref="Q158:Q159" si="75">IF(K158="","-",N158*O158)</f>
        <v>-</v>
      </c>
      <c r="R158" s="44" t="str">
        <f>IF(J158&lt;&gt;"",VLOOKUP(J158,'RESUMO DR'!$B$4:$E$253,4,FALSE),"-")</f>
        <v>-</v>
      </c>
      <c r="S158" s="58" t="str">
        <f>IF(J158&lt;&gt;"",VLOOKUP(J158,'RESUMO DR'!$B$4:$E$253,3,FALSE),"-")</f>
        <v>-</v>
      </c>
      <c r="T158" s="129"/>
      <c r="U158" s="129"/>
      <c r="V158" s="129"/>
      <c r="W158" s="128"/>
      <c r="X158" s="127"/>
      <c r="Y158" s="127"/>
      <c r="Z158" s="4"/>
    </row>
    <row r="159" spans="1:27" ht="18" customHeight="1">
      <c r="A159" s="5"/>
      <c r="B159" s="21">
        <v>45646</v>
      </c>
      <c r="C159" s="21" t="s">
        <v>132</v>
      </c>
      <c r="D159" s="74" t="str">
        <f t="shared" si="31"/>
        <v>sex</v>
      </c>
      <c r="E159" s="169" t="str">
        <f>IF(K159&lt;&gt;"",VLOOKUP(K159,'Catálogo SAP'!$A$1:$F$245,2,FALSE),"-")</f>
        <v>-</v>
      </c>
      <c r="F159" s="225"/>
      <c r="G159" s="225"/>
      <c r="H159" s="226"/>
      <c r="I159" s="230"/>
      <c r="J159" s="162" t="str">
        <f t="shared" si="32"/>
        <v/>
      </c>
      <c r="K159" s="16"/>
      <c r="L159" s="167" t="str">
        <f>IF(K159&lt;&gt;"",VLOOKUP(K159,'Catálogo SAP'!A:F,3,FALSE),"")</f>
        <v/>
      </c>
      <c r="M159" s="162" t="str">
        <f>IF(K159&lt;&gt;"",VLOOKUP(K159,'Catálogo SAP'!A:F,4,FALSE),"")</f>
        <v/>
      </c>
      <c r="N159" s="168" t="str">
        <f>IF(K159&lt;&gt;"",VLOOKUP(K159,'Catálogo SAP'!A:F,5,FALSE),"")</f>
        <v/>
      </c>
      <c r="O159" s="160"/>
      <c r="P159" s="70" t="str">
        <f t="shared" si="61"/>
        <v>-</v>
      </c>
      <c r="Q159" s="163" t="str">
        <f t="shared" si="75"/>
        <v>-</v>
      </c>
      <c r="R159" s="44" t="str">
        <f>IF(J159&lt;&gt;"",VLOOKUP(J159,'RESUMO DR'!$B$4:$E$253,4,FALSE),"-")</f>
        <v>-</v>
      </c>
      <c r="S159" s="58" t="str">
        <f>IF(J159&lt;&gt;"",VLOOKUP(J159,'RESUMO DR'!$B$4:$E$253,3,FALSE),"-")</f>
        <v>-</v>
      </c>
      <c r="T159" s="129"/>
      <c r="U159" s="129"/>
      <c r="V159" s="129"/>
      <c r="W159" s="128"/>
      <c r="X159" s="127"/>
      <c r="Y159" s="127"/>
      <c r="Z159" s="4"/>
    </row>
    <row r="160" spans="1:27" ht="18" customHeight="1">
      <c r="A160" s="5">
        <v>1500</v>
      </c>
      <c r="B160" s="21">
        <v>45646</v>
      </c>
      <c r="C160" s="21" t="s">
        <v>305</v>
      </c>
      <c r="D160" s="74" t="str">
        <f t="shared" si="31"/>
        <v>sex</v>
      </c>
      <c r="E160" s="169">
        <f>IF(K160&lt;&gt;"",VLOOKUP(K160,'Catálogo SAP'!$A$1:$F$245,2,FALSE),"-")</f>
        <v>280</v>
      </c>
      <c r="F160" s="225">
        <v>182</v>
      </c>
      <c r="G160" s="225">
        <v>190</v>
      </c>
      <c r="H160" s="226"/>
      <c r="I160" s="230">
        <v>442</v>
      </c>
      <c r="J160" s="162" t="str">
        <f t="shared" si="32"/>
        <v>Palmeirante</v>
      </c>
      <c r="K160" s="16">
        <v>280</v>
      </c>
      <c r="L160" s="167" t="str">
        <f>IF(K160&lt;&gt;"",VLOOKUP(K160,'Catálogo SAP'!A:F,3,FALSE),"")</f>
        <v>S.VP-01453</v>
      </c>
      <c r="M160" s="162" t="str">
        <f>IF(K160&lt;&gt;"",VLOOKUP(K160,'Catálogo SAP'!A:F,4,FALSE),"")</f>
        <v>Hora Produtiva Motoniveladora C/Operador</v>
      </c>
      <c r="N160" s="168" t="str">
        <f>IF(K160&lt;&gt;"",VLOOKUP(K160,'Catálogo SAP'!A:F,5,FALSE),"")</f>
        <v>H</v>
      </c>
      <c r="O160" s="160">
        <v>8</v>
      </c>
      <c r="P160" s="70">
        <f t="shared" si="61"/>
        <v>8</v>
      </c>
      <c r="Q160" s="163" t="e">
        <f t="shared" si="39"/>
        <v>#VALUE!</v>
      </c>
      <c r="R160" s="44" t="str">
        <f>IF(J160&lt;&gt;"",VLOOKUP(J160,'RESUMO DR'!$B$4:$E$253,4,FALSE),"-")</f>
        <v>T-02</v>
      </c>
      <c r="S160" s="58" t="str">
        <f>IF(J160&lt;&gt;"",VLOOKUP(J160,'RESUMO DR'!$B$4:$E$253,3,FALSE),"-")</f>
        <v>ARAGUAINA</v>
      </c>
      <c r="T160" s="129"/>
      <c r="U160" s="129"/>
      <c r="V160" s="129"/>
      <c r="W160" s="128"/>
      <c r="X160" s="127"/>
      <c r="Y160" s="127"/>
      <c r="Z160" s="4"/>
    </row>
    <row r="161" spans="1:27" ht="18" customHeight="1">
      <c r="A161" s="5"/>
      <c r="B161" s="21">
        <v>45646</v>
      </c>
      <c r="C161" s="21" t="s">
        <v>305</v>
      </c>
      <c r="D161" s="74" t="str">
        <f t="shared" si="31"/>
        <v>sex</v>
      </c>
      <c r="E161" s="169" t="str">
        <f>IF(K161&lt;&gt;"",VLOOKUP(K161,'Catálogo SAP'!$A$1:$F$245,2,FALSE),"-")</f>
        <v>-</v>
      </c>
      <c r="F161" s="16"/>
      <c r="G161" s="16"/>
      <c r="H161" s="22"/>
      <c r="I161" s="133"/>
      <c r="J161" s="162" t="str">
        <f t="shared" si="32"/>
        <v/>
      </c>
      <c r="K161" s="16"/>
      <c r="L161" s="167" t="str">
        <f>IF(K161&lt;&gt;"",VLOOKUP(K161,'Catálogo SAP'!A:F,3,FALSE),"")</f>
        <v/>
      </c>
      <c r="M161" s="162" t="str">
        <f>IF(K161&lt;&gt;"",VLOOKUP(K161,'Catálogo SAP'!A:F,4,FALSE),"")</f>
        <v/>
      </c>
      <c r="N161" s="168" t="str">
        <f>IF(K161&lt;&gt;"",VLOOKUP(K161,'Catálogo SAP'!A:F,5,FALSE),"")</f>
        <v/>
      </c>
      <c r="O161" s="160"/>
      <c r="P161" s="70" t="str">
        <f t="shared" si="61"/>
        <v>-</v>
      </c>
      <c r="Q161" s="163" t="str">
        <f t="shared" si="39"/>
        <v>-</v>
      </c>
      <c r="R161" s="44" t="str">
        <f>IF(J161&lt;&gt;"",VLOOKUP(J161,'RESUMO DR'!$B$4:$E$253,4,FALSE),"-")</f>
        <v>-</v>
      </c>
      <c r="S161" s="58" t="str">
        <f>IF(J161&lt;&gt;"",VLOOKUP(J161,'RESUMO DR'!$B$4:$E$253,3,FALSE),"-")</f>
        <v>-</v>
      </c>
      <c r="T161" s="129"/>
      <c r="U161" s="129"/>
      <c r="V161" s="129"/>
      <c r="W161" s="128"/>
      <c r="X161" s="127"/>
      <c r="Y161" s="127"/>
      <c r="Z161" s="4"/>
    </row>
    <row r="162" spans="1:27" ht="18" customHeight="1">
      <c r="A162" s="5">
        <v>1953</v>
      </c>
      <c r="B162" s="21">
        <v>45646</v>
      </c>
      <c r="C162" s="21" t="s">
        <v>301</v>
      </c>
      <c r="D162" s="74" t="str">
        <f t="shared" ref="D162" si="76">IF(B162="","-",TEXT(B162,"ddd"))</f>
        <v>sex</v>
      </c>
      <c r="E162" s="169">
        <f>IF(K162&lt;&gt;"",VLOOKUP(K162,'Catálogo SAP'!$A$1:$F$245,2,FALSE),"-")</f>
        <v>170</v>
      </c>
      <c r="F162" s="225">
        <v>134</v>
      </c>
      <c r="G162" s="225">
        <v>134</v>
      </c>
      <c r="H162" s="226"/>
      <c r="I162" s="230">
        <v>563</v>
      </c>
      <c r="J162" s="162" t="str">
        <f t="shared" ref="J162" si="77">IF(AND(I162&gt;=0.001,I162&lt;=16),"AÇAILÂNDIA","")&amp;IF(AND(I162&gt;=16.001,I162&lt;=44),"S.F. BREJÃO","")&amp;IF(AND(I162&gt;=44.001,I162&lt;=78),"JOÃO LISBOA","")&amp;IF(AND(I162&gt;=78.001,I162&lt;=96.397),"IMPERATRIZ","")&amp;IF(AND(I162&gt;=96.398,I162&lt;=122.82),"EDSON LOBÃO","")&amp;IF(AND(I162&gt;=122.821,I162&lt;=152.303),"RIBAMAR FIQUENE","")&amp;IF(AND(I162&gt;=152.304,I162&lt;=172.403),"CAMPESTRE","")&amp;IF(AND(I162&gt;=172.404,I162&lt;=195),"PORTO FRANCO","")&amp;IF(AND(I162&gt;=300,I162&lt;=300),"SAO LUIS","")&amp;IF(AND(I162&gt;=385.4,I162&lt;=465.4),"Palmeirante","")&amp;IF(AND(I162&gt;=465.401,I162&lt;=520.455),"Tupiratins","")&amp;IF(AND(I162&gt;=520.456,I162&lt;=536.741),"Guaraí","")&amp;IF(AND(I162&gt;=536.742,I162&lt;=580.293),"Tupirama","")&amp;IF(AND(I162&gt;=580.294,I162&lt;=608.637),"Rio dos Bois","")&amp;IF(AND(I162&gt;=608.638,I162&lt;=698.981),"Miracema","")&amp;IF(AND(I162&gt;=698.982,I162&lt;=735.6),"Porto Nacional","")&amp;IF(AND(I162&gt;=195.1,I162&lt;=213.603),"ESTREITO","")&amp;IF(AND(I162&gt;=213.604,I162&lt;=218.976),"AGUIARNÓPOLIS","")&amp;IF(AND(I162&gt;=218.977,I162&lt;=253.5),"PALMEIRAS DO TOCANTINS","")&amp;IF(AND(I162&gt;=253.501,I162&lt;=274.15),"DARCINÓPOLIS","")&amp;IF(AND(I162&gt;=274.151,I162&lt;=299.999),"BABAÇULÂNDIA","")&amp;IF(AND(I162&gt;=356.62,I162&lt;=385.4),"ARAGUAÍNA","")&amp;IF(AND(I162&gt;=300.001,I162&lt;=356.619),"BABAÇULÂNDIA","")&amp;IF(AND(I162&gt;=900,I162&lt;=902),"ENG. VLI","")</f>
        <v>Tupirama</v>
      </c>
      <c r="K162" s="16">
        <v>170</v>
      </c>
      <c r="L162" s="167" t="str">
        <f>IF(K162&lt;&gt;"",VLOOKUP(K162,'Catálogo SAP'!A:F,3,FALSE),"")</f>
        <v>S.VP-01442</v>
      </c>
      <c r="M162" s="162" t="str">
        <f>IF(K162&lt;&gt;"",VLOOKUP(K162,'Catálogo SAP'!A:F,4,FALSE),"")</f>
        <v>Hora Improdutiva Pa Carregadeira C/Operador</v>
      </c>
      <c r="N162" s="168" t="str">
        <f>IF(K162&lt;&gt;"",VLOOKUP(K162,'Catálogo SAP'!A:F,5,FALSE),"")</f>
        <v>H</v>
      </c>
      <c r="O162" s="160">
        <v>8</v>
      </c>
      <c r="P162" s="70">
        <f t="shared" si="61"/>
        <v>0</v>
      </c>
      <c r="Q162" s="163" t="e">
        <f t="shared" si="39"/>
        <v>#VALUE!</v>
      </c>
      <c r="R162" s="44" t="str">
        <f>IF(J162&lt;&gt;"",VLOOKUP(J162,'RESUMO DR'!$B$4:$E$253,4,FALSE),"-")</f>
        <v>T-03</v>
      </c>
      <c r="S162" s="58" t="str">
        <f>IF(J162&lt;&gt;"",VLOOKUP(J162,'RESUMO DR'!$B$4:$E$253,3,FALSE),"-")</f>
        <v>PALMAS</v>
      </c>
      <c r="T162" s="129"/>
      <c r="U162" s="129"/>
      <c r="V162" s="129"/>
      <c r="W162" s="128"/>
      <c r="X162" s="127"/>
      <c r="Y162" s="127"/>
      <c r="Z162" s="4"/>
    </row>
    <row r="163" spans="1:27" ht="13.8">
      <c r="A163" s="5"/>
      <c r="B163" s="21">
        <v>45646</v>
      </c>
      <c r="C163" s="21" t="s">
        <v>301</v>
      </c>
      <c r="D163" s="74" t="str">
        <f t="shared" si="31"/>
        <v>sex</v>
      </c>
      <c r="E163" s="169" t="str">
        <f>IF(K163&lt;&gt;"",VLOOKUP(K163,'Catálogo SAP'!$A$1:$F$245,2,FALSE),"-")</f>
        <v>-</v>
      </c>
      <c r="F163" s="225"/>
      <c r="G163" s="225"/>
      <c r="H163" s="226"/>
      <c r="I163" s="230"/>
      <c r="J163" s="162" t="str">
        <f t="shared" si="32"/>
        <v/>
      </c>
      <c r="K163" s="16"/>
      <c r="L163" s="167" t="str">
        <f>IF(K163&lt;&gt;"",VLOOKUP(K163,'Catálogo SAP'!A:F,3,FALSE),"")</f>
        <v/>
      </c>
      <c r="M163" s="162" t="str">
        <f>IF(K163&lt;&gt;"",VLOOKUP(K163,'Catálogo SAP'!A:F,4,FALSE),"")</f>
        <v/>
      </c>
      <c r="N163" s="168" t="str">
        <f>IF(K163&lt;&gt;"",VLOOKUP(K163,'Catálogo SAP'!A:F,5,FALSE),"")</f>
        <v/>
      </c>
      <c r="O163" s="160"/>
      <c r="P163" s="70" t="str">
        <f t="shared" si="61"/>
        <v>-</v>
      </c>
      <c r="Q163" s="163" t="str">
        <f t="shared" si="39"/>
        <v>-</v>
      </c>
      <c r="R163" s="44" t="str">
        <f>IF(J163&lt;&gt;"",VLOOKUP(J163,'RESUMO DR'!$B$4:$E$253,4,FALSE),"-")</f>
        <v>-</v>
      </c>
      <c r="S163" s="58" t="str">
        <f>IF(J163&lt;&gt;"",VLOOKUP(J163,'RESUMO DR'!$B$4:$E$253,3,FALSE),"-")</f>
        <v>-</v>
      </c>
      <c r="T163" s="129"/>
      <c r="U163" s="129"/>
      <c r="V163" s="129"/>
      <c r="W163" s="128"/>
      <c r="X163" s="127"/>
      <c r="Y163" s="127"/>
      <c r="Z163" s="4"/>
    </row>
    <row r="164" spans="1:27" ht="18" customHeight="1">
      <c r="A164" s="5">
        <v>1487</v>
      </c>
      <c r="B164" s="21">
        <v>45646</v>
      </c>
      <c r="C164" s="21" t="s">
        <v>134</v>
      </c>
      <c r="D164" s="74" t="str">
        <f t="shared" ref="D164" si="78">IF(B164="","-",TEXT(B164,"ddd"))</f>
        <v>sex</v>
      </c>
      <c r="E164" s="169">
        <f>IF(K164&lt;&gt;"",VLOOKUP(K164,'Catálogo SAP'!$A$1:$F$245,2,FALSE),"-")</f>
        <v>480</v>
      </c>
      <c r="F164" s="225">
        <v>3373</v>
      </c>
      <c r="G164" s="225">
        <v>3382</v>
      </c>
      <c r="H164" s="226"/>
      <c r="I164" s="230">
        <v>91</v>
      </c>
      <c r="J164" s="162" t="str">
        <f t="shared" ref="J164" si="79">IF(AND(I164&gt;=0.001,I164&lt;=16),"AÇAILÂNDIA","")&amp;IF(AND(I164&gt;=16.001,I164&lt;=44),"S.F. BREJÃO","")&amp;IF(AND(I164&gt;=44.001,I164&lt;=78),"JOÃO LISBOA","")&amp;IF(AND(I164&gt;=78.001,I164&lt;=96.397),"IMPERATRIZ","")&amp;IF(AND(I164&gt;=96.398,I164&lt;=122.82),"EDSON LOBÃO","")&amp;IF(AND(I164&gt;=122.821,I164&lt;=152.303),"RIBAMAR FIQUENE","")&amp;IF(AND(I164&gt;=152.304,I164&lt;=172.403),"CAMPESTRE","")&amp;IF(AND(I164&gt;=172.404,I164&lt;=195),"PORTO FRANCO","")&amp;IF(AND(I164&gt;=300,I164&lt;=300),"SAO LUIS","")&amp;IF(AND(I164&gt;=385.4,I164&lt;=465.4),"Palmeirante","")&amp;IF(AND(I164&gt;=465.401,I164&lt;=520.455),"Tupiratins","")&amp;IF(AND(I164&gt;=520.456,I164&lt;=536.741),"Guaraí","")&amp;IF(AND(I164&gt;=536.742,I164&lt;=580.293),"Tupirama","")&amp;IF(AND(I164&gt;=580.294,I164&lt;=608.637),"Rio dos Bois","")&amp;IF(AND(I164&gt;=608.638,I164&lt;=698.981),"Miracema","")&amp;IF(AND(I164&gt;=698.982,I164&lt;=735.6),"Porto Nacional","")&amp;IF(AND(I164&gt;=195.1,I164&lt;=213.603),"ESTREITO","")&amp;IF(AND(I164&gt;=213.604,I164&lt;=218.976),"AGUIARNÓPOLIS","")&amp;IF(AND(I164&gt;=218.977,I164&lt;=253.5),"PALMEIRAS DO TOCANTINS","")&amp;IF(AND(I164&gt;=253.501,I164&lt;=274.15),"DARCINÓPOLIS","")&amp;IF(AND(I164&gt;=274.151,I164&lt;=299.999),"BABAÇULÂNDIA","")&amp;IF(AND(I164&gt;=356.62,I164&lt;=385.4),"ARAGUAÍNA","")&amp;IF(AND(I164&gt;=300.001,I164&lt;=356.619),"BABAÇULÂNDIA","")&amp;IF(AND(I164&gt;=900,I164&lt;=902),"ENG. VLI","")</f>
        <v>IMPERATRIZ</v>
      </c>
      <c r="K164" s="16">
        <v>480</v>
      </c>
      <c r="L164" s="167" t="str">
        <f>IF(K164&lt;&gt;"",VLOOKUP(K164,'Catálogo SAP'!A:F,3,FALSE),"")</f>
        <v>S.VP-01465</v>
      </c>
      <c r="M164" s="162" t="str">
        <f>IF(K164&lt;&gt;"",VLOOKUP(K164,'Catálogo SAP'!A:F,4,FALSE),"")</f>
        <v>Hora Produtiva Miniescavadeira Hidraulica C/ Operador</v>
      </c>
      <c r="N164" s="168" t="str">
        <f>IF(K164&lt;&gt;"",VLOOKUP(K164,'Catálogo SAP'!A:F,5,FALSE),"")</f>
        <v>H</v>
      </c>
      <c r="O164" s="160">
        <v>9</v>
      </c>
      <c r="P164" s="70">
        <f t="shared" si="61"/>
        <v>9</v>
      </c>
      <c r="Q164" s="163" t="e">
        <f t="shared" si="39"/>
        <v>#VALUE!</v>
      </c>
      <c r="R164" s="44" t="str">
        <f>IF(J164&lt;&gt;"",VLOOKUP(J164,'RESUMO DR'!$B$4:$E$253,4,FALSE),"-")</f>
        <v>T-01</v>
      </c>
      <c r="S164" s="58" t="str">
        <f>IF(J164&lt;&gt;"",VLOOKUP(J164,'RESUMO DR'!$B$4:$E$253,3,FALSE),"-")</f>
        <v>IMPERATRIZ</v>
      </c>
      <c r="T164" s="129"/>
      <c r="U164" s="129"/>
      <c r="V164" s="129"/>
      <c r="W164" s="128"/>
      <c r="X164" s="127"/>
      <c r="Y164" s="127"/>
      <c r="Z164" s="4"/>
    </row>
    <row r="165" spans="1:27" ht="13.8">
      <c r="A165" s="5"/>
      <c r="B165" s="21">
        <v>45646</v>
      </c>
      <c r="C165" s="21" t="s">
        <v>134</v>
      </c>
      <c r="D165" s="74" t="str">
        <f t="shared" si="31"/>
        <v>sex</v>
      </c>
      <c r="E165" s="169" t="str">
        <f>IF(K165&lt;&gt;"",VLOOKUP(K165,'Catálogo SAP'!$A$1:$F$245,2,FALSE),"-")</f>
        <v>-</v>
      </c>
      <c r="F165" s="225"/>
      <c r="G165" s="225"/>
      <c r="H165" s="226"/>
      <c r="I165" s="230"/>
      <c r="J165" s="162" t="str">
        <f t="shared" si="32"/>
        <v/>
      </c>
      <c r="K165" s="16"/>
      <c r="L165" s="167" t="str">
        <f>IF(K165&lt;&gt;"",VLOOKUP(K165,'Catálogo SAP'!A:F,3,FALSE),"")</f>
        <v/>
      </c>
      <c r="M165" s="162" t="str">
        <f>IF(K165&lt;&gt;"",VLOOKUP(K165,'Catálogo SAP'!A:F,4,FALSE),"")</f>
        <v/>
      </c>
      <c r="N165" s="168" t="str">
        <f>IF(K165&lt;&gt;"",VLOOKUP(K165,'Catálogo SAP'!A:F,5,FALSE),"")</f>
        <v/>
      </c>
      <c r="O165" s="160"/>
      <c r="P165" s="70" t="str">
        <f t="shared" si="61"/>
        <v>-</v>
      </c>
      <c r="Q165" s="163" t="str">
        <f t="shared" si="39"/>
        <v>-</v>
      </c>
      <c r="R165" s="44" t="str">
        <f>IF(J165&lt;&gt;"",VLOOKUP(J165,'RESUMO DR'!$B$4:$E$253,4,FALSE),"-")</f>
        <v>-</v>
      </c>
      <c r="S165" s="58" t="str">
        <f>IF(J165&lt;&gt;"",VLOOKUP(J165,'RESUMO DR'!$B$4:$E$253,3,FALSE),"-")</f>
        <v>-</v>
      </c>
      <c r="T165" s="129"/>
      <c r="U165" s="129"/>
      <c r="V165" s="129"/>
      <c r="W165" s="128"/>
      <c r="X165" s="127"/>
      <c r="Y165" s="127"/>
      <c r="Z165" s="4"/>
    </row>
    <row r="166" spans="1:27" ht="18" customHeight="1">
      <c r="A166" s="5"/>
      <c r="B166" s="21">
        <v>45646</v>
      </c>
      <c r="C166" s="21" t="s">
        <v>136</v>
      </c>
      <c r="D166" s="74" t="str">
        <f t="shared" ref="D166:D167" si="80">IF(B166="","-",TEXT(B166,"ddd"))</f>
        <v>sex</v>
      </c>
      <c r="E166" s="169" t="str">
        <f>IF(K166&lt;&gt;"",VLOOKUP(K166,'Catálogo SAP'!$A$1:$F$245,2,FALSE),"-")</f>
        <v>-</v>
      </c>
      <c r="F166" s="16"/>
      <c r="G166" s="16"/>
      <c r="H166" s="22"/>
      <c r="I166" s="133"/>
      <c r="J166" s="162" t="str">
        <f t="shared" si="32"/>
        <v/>
      </c>
      <c r="K166" s="16"/>
      <c r="L166" s="167" t="str">
        <f>IF(K166&lt;&gt;"",VLOOKUP(K166,'Catálogo SAP'!A:F,3,FALSE),"")</f>
        <v/>
      </c>
      <c r="M166" s="162" t="str">
        <f>IF(K166&lt;&gt;"",VLOOKUP(K166,'Catálogo SAP'!A:F,4,FALSE),"")</f>
        <v/>
      </c>
      <c r="N166" s="168" t="str">
        <f>IF(K166&lt;&gt;"",VLOOKUP(K166,'Catálogo SAP'!A:F,5,FALSE),"")</f>
        <v/>
      </c>
      <c r="O166" s="160"/>
      <c r="P166" s="70" t="str">
        <f t="shared" si="61"/>
        <v>-</v>
      </c>
      <c r="Q166" s="163" t="str">
        <f t="shared" ref="Q166:Q168" si="81">IF(K166="","-",N166*O166)</f>
        <v>-</v>
      </c>
      <c r="R166" s="44" t="str">
        <f>IF(J166&lt;&gt;"",VLOOKUP(J166,'RESUMO DR'!$B$4:$E$253,4,FALSE),"-")</f>
        <v>-</v>
      </c>
      <c r="S166" s="58" t="str">
        <f>IF(J166&lt;&gt;"",VLOOKUP(J166,'RESUMO DR'!$B$4:$E$253,3,FALSE),"-")</f>
        <v>-</v>
      </c>
      <c r="T166" s="181"/>
      <c r="U166" s="129"/>
      <c r="V166" s="129"/>
      <c r="W166" s="128"/>
      <c r="X166" s="127"/>
      <c r="Y166" s="127"/>
      <c r="Z166" s="4"/>
    </row>
    <row r="167" spans="1:27" ht="13.8">
      <c r="A167" s="5">
        <v>1954</v>
      </c>
      <c r="B167" s="21">
        <v>45646</v>
      </c>
      <c r="C167" s="21" t="s">
        <v>306</v>
      </c>
      <c r="D167" s="74" t="str">
        <f t="shared" si="80"/>
        <v>sex</v>
      </c>
      <c r="E167" s="169">
        <f>IF(K167&lt;&gt;"",VLOOKUP(K167,'Catálogo SAP'!$A$1:$F$245,2,FALSE),"-")</f>
        <v>290</v>
      </c>
      <c r="F167" s="16">
        <v>275</v>
      </c>
      <c r="G167" s="16">
        <v>275</v>
      </c>
      <c r="H167" s="22"/>
      <c r="I167" s="133">
        <v>578</v>
      </c>
      <c r="J167" s="162" t="str">
        <f t="shared" si="32"/>
        <v>Tupirama</v>
      </c>
      <c r="K167" s="16">
        <v>290</v>
      </c>
      <c r="L167" s="167" t="str">
        <f>IF(K167&lt;&gt;"",VLOOKUP(K167,'Catálogo SAP'!A:F,3,FALSE),"")</f>
        <v>S.VP-01454</v>
      </c>
      <c r="M167" s="162" t="str">
        <f>IF(K167&lt;&gt;"",VLOOKUP(K167,'Catálogo SAP'!A:F,4,FALSE),"")</f>
        <v>Hora Improdutiva Motoniveladora C/Operador</v>
      </c>
      <c r="N167" s="168" t="str">
        <f>IF(K167&lt;&gt;"",VLOOKUP(K167,'Catálogo SAP'!A:F,5,FALSE),"")</f>
        <v>H</v>
      </c>
      <c r="O167" s="160">
        <v>8</v>
      </c>
      <c r="P167" s="70">
        <f t="shared" si="61"/>
        <v>0</v>
      </c>
      <c r="Q167" s="163" t="e">
        <f t="shared" si="81"/>
        <v>#VALUE!</v>
      </c>
      <c r="R167" s="44" t="str">
        <f>IF(J167&lt;&gt;"",VLOOKUP(J167,'RESUMO DR'!$B$4:$E$253,4,FALSE),"-")</f>
        <v>T-03</v>
      </c>
      <c r="S167" s="58" t="str">
        <f>IF(J167&lt;&gt;"",VLOOKUP(J167,'RESUMO DR'!$B$4:$E$253,3,FALSE),"-")</f>
        <v>PALMAS</v>
      </c>
      <c r="T167" s="181"/>
      <c r="U167" s="129"/>
      <c r="V167" s="129"/>
      <c r="W167" s="128"/>
      <c r="X167" s="127"/>
      <c r="Y167" s="127"/>
      <c r="Z167" s="4"/>
    </row>
    <row r="168" spans="1:27" ht="13.8">
      <c r="A168" s="5">
        <v>1500</v>
      </c>
      <c r="B168" s="21">
        <v>45646</v>
      </c>
      <c r="C168" s="21" t="s">
        <v>311</v>
      </c>
      <c r="D168" s="74" t="str">
        <f t="shared" si="31"/>
        <v>sex</v>
      </c>
      <c r="E168" s="169">
        <f>IF(K168&lt;&gt;"",VLOOKUP(K168,'Catálogo SAP'!$A$1:$F$245,2,FALSE),"-")</f>
        <v>120</v>
      </c>
      <c r="F168" s="16">
        <v>1124</v>
      </c>
      <c r="G168" s="16">
        <v>1132</v>
      </c>
      <c r="H168" s="22"/>
      <c r="I168" s="133">
        <v>442</v>
      </c>
      <c r="J168" s="162" t="str">
        <f t="shared" si="32"/>
        <v>Palmeirante</v>
      </c>
      <c r="K168" s="16">
        <v>120</v>
      </c>
      <c r="L168" s="167" t="str">
        <f>IF(K168&lt;&gt;"",VLOOKUP(K168,'Catálogo SAP'!A:F,3,FALSE),"")</f>
        <v>S.VP-01437</v>
      </c>
      <c r="M168" s="162" t="str">
        <f>IF(K168&lt;&gt;"",VLOOKUP(K168,'Catálogo SAP'!A:F,4,FALSE),"")</f>
        <v>Hr Produtiva Retroescavadeira C/Operador</v>
      </c>
      <c r="N168" s="168" t="str">
        <f>IF(K168&lt;&gt;"",VLOOKUP(K168,'Catálogo SAP'!A:F,5,FALSE),"")</f>
        <v>H</v>
      </c>
      <c r="O168" s="160">
        <v>8</v>
      </c>
      <c r="P168" s="70">
        <f t="shared" si="61"/>
        <v>8</v>
      </c>
      <c r="Q168" s="163" t="e">
        <f t="shared" si="81"/>
        <v>#VALUE!</v>
      </c>
      <c r="R168" s="44" t="str">
        <f>IF(J168&lt;&gt;"",VLOOKUP(J168,'RESUMO DR'!$B$4:$E$253,4,FALSE),"-")</f>
        <v>T-02</v>
      </c>
      <c r="S168" s="58" t="str">
        <f>IF(J168&lt;&gt;"",VLOOKUP(J168,'RESUMO DR'!$B$4:$E$253,3,FALSE),"-")</f>
        <v>ARAGUAINA</v>
      </c>
      <c r="T168" s="129"/>
      <c r="U168" s="129"/>
      <c r="V168" s="129"/>
      <c r="W168" s="128"/>
      <c r="X168" s="127"/>
      <c r="Y168" s="127"/>
      <c r="Z168" s="4"/>
    </row>
    <row r="169" spans="1:27" ht="13.8">
      <c r="A169" s="5">
        <v>1952</v>
      </c>
      <c r="B169" s="21">
        <v>45646</v>
      </c>
      <c r="C169" s="21" t="s">
        <v>310</v>
      </c>
      <c r="D169" s="74" t="str">
        <f t="shared" ref="D169" si="82">IF(B169="","-",TEXT(B169,"ddd"))</f>
        <v>sex</v>
      </c>
      <c r="E169" s="169">
        <f>IF(K169&lt;&gt;"",VLOOKUP(K169,'Catálogo SAP'!$A$1:$F$245,2,FALSE),"-")</f>
        <v>120</v>
      </c>
      <c r="F169" s="225">
        <v>121</v>
      </c>
      <c r="G169" s="225">
        <v>127</v>
      </c>
      <c r="H169" s="226"/>
      <c r="I169" s="230">
        <v>452</v>
      </c>
      <c r="J169" s="162" t="str">
        <f t="shared" si="32"/>
        <v>Palmeirante</v>
      </c>
      <c r="K169" s="16">
        <v>120</v>
      </c>
      <c r="L169" s="167" t="str">
        <f>IF(K169&lt;&gt;"",VLOOKUP(K169,'Catálogo SAP'!A:F,3,FALSE),"")</f>
        <v>S.VP-01437</v>
      </c>
      <c r="M169" s="162" t="str">
        <f>IF(K169&lt;&gt;"",VLOOKUP(K169,'Catálogo SAP'!A:F,4,FALSE),"")</f>
        <v>Hr Produtiva Retroescavadeira C/Operador</v>
      </c>
      <c r="N169" s="168" t="str">
        <f>IF(K169&lt;&gt;"",VLOOKUP(K169,'Catálogo SAP'!A:F,5,FALSE),"")</f>
        <v>H</v>
      </c>
      <c r="O169" s="160">
        <v>6</v>
      </c>
      <c r="P169" s="70">
        <f t="shared" si="61"/>
        <v>6</v>
      </c>
      <c r="Q169" s="163" t="e">
        <f t="shared" ref="Q169" si="83">IF(K169="","-",N169*O169)</f>
        <v>#VALUE!</v>
      </c>
      <c r="R169" s="44" t="s">
        <v>192</v>
      </c>
      <c r="S169" s="58" t="s">
        <v>193</v>
      </c>
      <c r="T169" s="129"/>
      <c r="U169" s="129"/>
      <c r="V169" s="129"/>
      <c r="W169" s="128"/>
      <c r="X169" s="127"/>
      <c r="Y169" s="127"/>
      <c r="Z169" s="4"/>
    </row>
    <row r="170" spans="1:27" ht="13.8">
      <c r="A170" s="5">
        <v>1952</v>
      </c>
      <c r="B170" s="21">
        <v>45646</v>
      </c>
      <c r="C170" s="21" t="s">
        <v>310</v>
      </c>
      <c r="D170" s="74" t="str">
        <f t="shared" ref="D170" si="84">IF(B170="","-",TEXT(B170,"ddd"))</f>
        <v>sex</v>
      </c>
      <c r="E170" s="169">
        <f>IF(K170&lt;&gt;"",VLOOKUP(K170,'Catálogo SAP'!$A$1:$F$245,2,FALSE),"-")</f>
        <v>130</v>
      </c>
      <c r="F170" s="225">
        <v>127</v>
      </c>
      <c r="G170" s="225">
        <v>127</v>
      </c>
      <c r="H170" s="226"/>
      <c r="I170" s="227">
        <v>452</v>
      </c>
      <c r="J170" s="228" t="str">
        <f t="shared" si="32"/>
        <v>Palmeirante</v>
      </c>
      <c r="K170" s="225">
        <v>130</v>
      </c>
      <c r="L170" s="167" t="str">
        <f>IF(K170&lt;&gt;"",VLOOKUP(K170,'Catálogo SAP'!A:F,3,FALSE),"")</f>
        <v>S.VP-01438</v>
      </c>
      <c r="M170" s="162" t="str">
        <f>IF(K170&lt;&gt;"",VLOOKUP(K170,'Catálogo SAP'!A:F,4,FALSE),"")</f>
        <v>Hr Improdutiva Retroescavadeira C/Operador</v>
      </c>
      <c r="N170" s="168" t="str">
        <f>IF(K170&lt;&gt;"",VLOOKUP(K170,'Catálogo SAP'!A:F,5,FALSE),"")</f>
        <v>H</v>
      </c>
      <c r="O170" s="231">
        <v>2</v>
      </c>
      <c r="P170" s="70">
        <f t="shared" si="61"/>
        <v>0</v>
      </c>
      <c r="Q170" s="163" t="e">
        <f t="shared" ref="Q170:Q172" si="85">IF(K170="","-",N170*O170)</f>
        <v>#VALUE!</v>
      </c>
      <c r="R170" s="44" t="s">
        <v>192</v>
      </c>
      <c r="S170" s="58" t="s">
        <v>193</v>
      </c>
      <c r="T170" s="129"/>
      <c r="U170" s="129"/>
      <c r="V170" s="129"/>
      <c r="W170" s="128"/>
      <c r="X170" s="127"/>
      <c r="Y170" s="127"/>
      <c r="Z170" s="4"/>
    </row>
    <row r="171" spans="1:27" ht="18" customHeight="1">
      <c r="A171" s="5">
        <v>1497</v>
      </c>
      <c r="B171" s="21">
        <v>45646</v>
      </c>
      <c r="C171" s="21" t="s">
        <v>312</v>
      </c>
      <c r="D171" s="74" t="str">
        <f t="shared" si="31"/>
        <v>sex</v>
      </c>
      <c r="E171" s="169">
        <f>IF(K171&lt;&gt;"",VLOOKUP(K171,'Catálogo SAP'!$A$1:$F$245,2,FALSE),"-")</f>
        <v>200</v>
      </c>
      <c r="F171" s="16">
        <v>70268</v>
      </c>
      <c r="G171" s="225">
        <v>70752</v>
      </c>
      <c r="H171" s="22"/>
      <c r="I171" s="133">
        <v>442</v>
      </c>
      <c r="J171" s="162" t="str">
        <f t="shared" si="32"/>
        <v>Palmeirante</v>
      </c>
      <c r="K171" s="16">
        <v>200</v>
      </c>
      <c r="L171" s="167" t="str">
        <f>IF(K171&lt;&gt;"",VLOOKUP(K171,'Catálogo SAP'!A:F,3,FALSE),"")</f>
        <v>S.VP-01445</v>
      </c>
      <c r="M171" s="162" t="str">
        <f>IF(K171&lt;&gt;"",VLOOKUP(K171,'Catálogo SAP'!A:F,4,FALSE),"")</f>
        <v>Km Rodado Caminhão Basculante - C/Motorista</v>
      </c>
      <c r="N171" s="168" t="str">
        <f>IF(K171&lt;&gt;"",VLOOKUP(K171,'Catálogo SAP'!A:F,5,FALSE),"")</f>
        <v>KM</v>
      </c>
      <c r="O171" s="160">
        <v>484</v>
      </c>
      <c r="P171" s="70">
        <f t="shared" si="61"/>
        <v>484</v>
      </c>
      <c r="Q171" s="163" t="e">
        <f t="shared" si="85"/>
        <v>#VALUE!</v>
      </c>
      <c r="R171" s="44" t="str">
        <f>IF(J171&lt;&gt;"",VLOOKUP(J171,'RESUMO DR'!$B$4:$E$253,4,FALSE),"-")</f>
        <v>T-02</v>
      </c>
      <c r="S171" s="58" t="str">
        <f>IF(J171&lt;&gt;"",VLOOKUP(J171,'RESUMO DR'!$B$4:$E$253,3,FALSE),"-")</f>
        <v>ARAGUAINA</v>
      </c>
      <c r="T171" s="129"/>
      <c r="U171" s="129"/>
      <c r="V171" s="129"/>
      <c r="W171" s="128"/>
      <c r="X171" s="127"/>
      <c r="Y171" s="127"/>
      <c r="Z171" s="4"/>
    </row>
    <row r="172" spans="1:27" ht="18" customHeight="1">
      <c r="A172" s="5"/>
      <c r="B172" s="21">
        <v>45646</v>
      </c>
      <c r="C172" s="21" t="s">
        <v>138</v>
      </c>
      <c r="D172" s="74" t="str">
        <f t="shared" si="31"/>
        <v>sex</v>
      </c>
      <c r="E172" s="169" t="str">
        <f>IF(K172&lt;&gt;"",VLOOKUP(K172,'Catálogo SAP'!$A$1:$F$245,2,FALSE),"-")</f>
        <v>-</v>
      </c>
      <c r="F172" s="225"/>
      <c r="G172" s="225"/>
      <c r="H172" s="226"/>
      <c r="I172" s="230"/>
      <c r="J172" s="162" t="str">
        <f t="shared" si="32"/>
        <v/>
      </c>
      <c r="K172" s="16"/>
      <c r="L172" s="167" t="str">
        <f>IF(K172&lt;&gt;"",VLOOKUP(K172,'Catálogo SAP'!A:F,3,FALSE),"")</f>
        <v/>
      </c>
      <c r="M172" s="162" t="str">
        <f>IF(K172&lt;&gt;"",VLOOKUP(K172,'Catálogo SAP'!A:F,4,FALSE),"")</f>
        <v/>
      </c>
      <c r="N172" s="168" t="str">
        <f>IF(K172&lt;&gt;"",VLOOKUP(K172,'Catálogo SAP'!A:F,5,FALSE),"")</f>
        <v/>
      </c>
      <c r="O172" s="160"/>
      <c r="P172" s="70" t="str">
        <f t="shared" si="61"/>
        <v>-</v>
      </c>
      <c r="Q172" s="163" t="str">
        <f t="shared" si="85"/>
        <v>-</v>
      </c>
      <c r="R172" s="44" t="str">
        <f>IF(J172&lt;&gt;"",VLOOKUP(J172,'RESUMO DR'!$B$4:$E$253,4,FALSE),"-")</f>
        <v>-</v>
      </c>
      <c r="S172" s="58" t="str">
        <f>IF(J172&lt;&gt;"",VLOOKUP(J172,'RESUMO DR'!$B$4:$E$253,3,FALSE),"-")</f>
        <v>-</v>
      </c>
      <c r="T172" s="129"/>
      <c r="U172" s="129"/>
      <c r="V172" s="129"/>
      <c r="W172" s="128"/>
      <c r="X172" s="127"/>
      <c r="Y172" s="127"/>
      <c r="Z172" s="38">
        <v>613669.41</v>
      </c>
    </row>
    <row r="173" spans="1:27" ht="18" customHeight="1">
      <c r="A173" s="5">
        <v>1483</v>
      </c>
      <c r="B173" s="21">
        <v>45646</v>
      </c>
      <c r="C173" s="222" t="s">
        <v>315</v>
      </c>
      <c r="D173" s="74" t="str">
        <f t="shared" ref="D173" si="86">IF(B173="","-",TEXT(B173,"ddd"))</f>
        <v>sex</v>
      </c>
      <c r="E173" s="169">
        <f>IF(K173&lt;&gt;"",VLOOKUP(K173,'Catálogo SAP'!$A$1:$F$245,2,FALSE),"-")</f>
        <v>160</v>
      </c>
      <c r="F173" s="225">
        <v>1362</v>
      </c>
      <c r="G173" s="225">
        <v>1371</v>
      </c>
      <c r="H173" s="226"/>
      <c r="I173" s="230">
        <v>34</v>
      </c>
      <c r="J173" s="162" t="str">
        <f t="shared" si="32"/>
        <v>S.F. BREJÃO</v>
      </c>
      <c r="K173" s="225">
        <v>160</v>
      </c>
      <c r="L173" s="167" t="str">
        <f>IF(K173&lt;&gt;"",VLOOKUP(K173,'Catálogo SAP'!A:F,3,FALSE),"")</f>
        <v>S.VP-01441</v>
      </c>
      <c r="M173" s="162" t="str">
        <f>IF(K173&lt;&gt;"",VLOOKUP(K173,'Catálogo SAP'!A:F,4,FALSE),"")</f>
        <v>Hora Produtiva Pa Carregadeira C/Operador</v>
      </c>
      <c r="N173" s="168" t="str">
        <f>IF(K173&lt;&gt;"",VLOOKUP(K173,'Catálogo SAP'!A:F,5,FALSE),"")</f>
        <v>H</v>
      </c>
      <c r="O173" s="160">
        <v>9</v>
      </c>
      <c r="P173" s="70">
        <f t="shared" si="61"/>
        <v>9</v>
      </c>
      <c r="Q173" s="163" t="e">
        <f t="shared" ref="Q173:Q174" si="87">IF(K173="","-",N173*O173)</f>
        <v>#VALUE!</v>
      </c>
      <c r="R173" s="44" t="str">
        <f>IF(J173&lt;&gt;"",VLOOKUP(J173,'RESUMO DR'!$B$4:$E$253,4,FALSE),"-")</f>
        <v>T-01</v>
      </c>
      <c r="S173" s="58" t="str">
        <f>IF(J173&lt;&gt;"",VLOOKUP(J173,'RESUMO DR'!$B$4:$E$253,3,FALSE),"-")</f>
        <v>IMPERATRIZ</v>
      </c>
      <c r="T173" s="129"/>
      <c r="U173" s="129"/>
      <c r="V173" s="129"/>
      <c r="W173" s="128"/>
      <c r="X173" s="127"/>
      <c r="Y173" s="127"/>
      <c r="Z173" s="38"/>
    </row>
    <row r="174" spans="1:27" ht="18" customHeight="1">
      <c r="A174" s="5"/>
      <c r="B174" s="21"/>
      <c r="C174" s="21"/>
      <c r="D174" s="74" t="str">
        <f t="shared" si="31"/>
        <v>-</v>
      </c>
      <c r="E174" s="169" t="str">
        <f>IF(K174&lt;&gt;"",VLOOKUP(K174,'Catálogo SAP'!$A$1:$F$245,2,FALSE),"-")</f>
        <v>-</v>
      </c>
      <c r="F174" s="16"/>
      <c r="G174" s="16"/>
      <c r="H174" s="22"/>
      <c r="I174" s="133"/>
      <c r="J174" s="162" t="str">
        <f t="shared" si="32"/>
        <v/>
      </c>
      <c r="K174" s="16"/>
      <c r="L174" s="167" t="str">
        <f>IF(K174&lt;&gt;"",VLOOKUP(K174,'Catálogo SAP'!A:F,3,FALSE),"")</f>
        <v/>
      </c>
      <c r="M174" s="162" t="str">
        <f>IF(K174&lt;&gt;"",VLOOKUP(K174,'Catálogo SAP'!A:F,4,FALSE),"")</f>
        <v/>
      </c>
      <c r="N174" s="168" t="str">
        <f>IF(K174&lt;&gt;"",VLOOKUP(K174,'Catálogo SAP'!A:F,5,FALSE),"")</f>
        <v/>
      </c>
      <c r="O174" s="160"/>
      <c r="P174" s="70" t="str">
        <f t="shared" si="61"/>
        <v>-</v>
      </c>
      <c r="Q174" s="163" t="str">
        <f t="shared" si="87"/>
        <v>-</v>
      </c>
      <c r="R174" s="44" t="str">
        <f>IF(J174&lt;&gt;"",VLOOKUP(J174,'RESUMO DR'!$B$4:$E$253,4,FALSE),"-")</f>
        <v>-</v>
      </c>
      <c r="S174" s="58" t="str">
        <f>IF(J174&lt;&gt;"",VLOOKUP(J174,'RESUMO DR'!$B$4:$E$253,3,FALSE),"-")</f>
        <v>-</v>
      </c>
      <c r="T174" s="129"/>
      <c r="U174" s="129"/>
      <c r="V174" s="129"/>
      <c r="W174" s="128"/>
      <c r="X174" s="127"/>
      <c r="Y174" s="127"/>
      <c r="Z174" s="38">
        <f>Z145-Z172</f>
        <v>235574.68999999994</v>
      </c>
      <c r="AA174" s="157">
        <f>Z174/Z145</f>
        <v>0.27739337841734779</v>
      </c>
    </row>
    <row r="175" spans="1:27" ht="18" customHeight="1">
      <c r="A175" s="5"/>
      <c r="B175" s="21">
        <v>45647</v>
      </c>
      <c r="C175" s="21" t="s">
        <v>121</v>
      </c>
      <c r="D175" s="74" t="str">
        <f t="shared" ref="D175:D183" si="88">IF(B175="","-",TEXT(B175,"ddd"))</f>
        <v>sáb</v>
      </c>
      <c r="E175" s="169" t="str">
        <f>IF(K175&lt;&gt;"",VLOOKUP(K175,'Catálogo SAP'!$A$1:$F$245,2,FALSE),"-")</f>
        <v>-</v>
      </c>
      <c r="F175" s="16"/>
      <c r="G175" s="16"/>
      <c r="H175" s="22"/>
      <c r="I175" s="133"/>
      <c r="J175" s="162" t="str">
        <f t="shared" ref="J175:J187" si="89">IF(AND(I175&gt;=0.001,I175&lt;=16),"AÇAILÂNDIA","")&amp;IF(AND(I175&gt;=16.001,I175&lt;=44),"S.F. BREJÃO","")&amp;IF(AND(I175&gt;=44.001,I175&lt;=78),"JOÃO LISBOA","")&amp;IF(AND(I175&gt;=78.001,I175&lt;=96.397),"IMPERATRIZ","")&amp;IF(AND(I175&gt;=96.398,I175&lt;=122.82),"EDSON LOBÃO","")&amp;IF(AND(I175&gt;=122.821,I175&lt;=152.303),"RIBAMAR FIQUENE","")&amp;IF(AND(I175&gt;=152.304,I175&lt;=172.403),"CAMPESTRE","")&amp;IF(AND(I175&gt;=172.404,I175&lt;=195),"PORTO FRANCO","")&amp;IF(AND(I175&gt;=300,I175&lt;=300),"SAO LUIS","")&amp;IF(AND(I175&gt;=385.4,I175&lt;=465.4),"Palmeirante","")&amp;IF(AND(I175&gt;=465.401,I175&lt;=520.455),"Tupiratins","")&amp;IF(AND(I175&gt;=520.456,I175&lt;=536.741),"Guaraí","")&amp;IF(AND(I175&gt;=536.742,I175&lt;=580.293),"Tupirama","")&amp;IF(AND(I175&gt;=580.294,I175&lt;=608.637),"Rio dos Bois","")&amp;IF(AND(I175&gt;=608.638,I175&lt;=698.981),"Miracema","")&amp;IF(AND(I175&gt;=698.982,I175&lt;=735.6),"Porto Nacional","")&amp;IF(AND(I175&gt;=195.1,I175&lt;=213.603),"ESTREITO","")&amp;IF(AND(I175&gt;=213.604,I175&lt;=218.976),"AGUIARNÓPOLIS","")&amp;IF(AND(I175&gt;=218.977,I175&lt;=253.5),"PALMEIRAS DO TOCANTINS","")&amp;IF(AND(I175&gt;=253.501,I175&lt;=274.15),"DARCINÓPOLIS","")&amp;IF(AND(I175&gt;=274.151,I175&lt;=299.999),"BABAÇULÂNDIA","")&amp;IF(AND(I175&gt;=356.62,I175&lt;=385.4),"ARAGUAÍNA","")&amp;IF(AND(I175&gt;=300.001,I175&lt;=356.619),"BABAÇULÂNDIA","")&amp;IF(AND(I175&gt;=900,I175&lt;=902),"ENG. VLI","")</f>
        <v/>
      </c>
      <c r="K175" s="16"/>
      <c r="L175" s="167" t="str">
        <f>IF(K175&lt;&gt;"",VLOOKUP(K175,'Catálogo SAP'!A:F,3,FALSE),"")</f>
        <v/>
      </c>
      <c r="M175" s="162" t="str">
        <f>IF(K175&lt;&gt;"",VLOOKUP(K175,'Catálogo SAP'!A:F,4,FALSE),"")</f>
        <v/>
      </c>
      <c r="N175" s="168" t="str">
        <f>IF(K175&lt;&gt;"",VLOOKUP(K175,'Catálogo SAP'!A:F,5,FALSE),"")</f>
        <v/>
      </c>
      <c r="O175" s="160"/>
      <c r="P175" s="70" t="str">
        <f t="shared" si="61"/>
        <v>-</v>
      </c>
      <c r="Q175" s="163" t="str">
        <f t="shared" si="39"/>
        <v>-</v>
      </c>
      <c r="R175" s="44" t="str">
        <f>IF(J175&lt;&gt;"",VLOOKUP(J175,'RESUMO DR'!$B$4:$E$253,4,FALSE),"-")</f>
        <v>-</v>
      </c>
      <c r="S175" s="58" t="str">
        <f>IF(J175&lt;&gt;"",VLOOKUP(J175,'RESUMO DR'!$B$4:$E$253,3,FALSE),"-")</f>
        <v>-</v>
      </c>
      <c r="T175" s="129"/>
      <c r="U175" s="129"/>
      <c r="V175" s="129"/>
      <c r="W175" s="128"/>
      <c r="X175" s="127"/>
      <c r="Y175" s="127"/>
      <c r="Z175" s="4"/>
    </row>
    <row r="176" spans="1:27" ht="18" customHeight="1">
      <c r="A176" s="5"/>
      <c r="B176" s="21">
        <v>45647</v>
      </c>
      <c r="C176" s="21" t="s">
        <v>121</v>
      </c>
      <c r="D176" s="74" t="str">
        <f t="shared" si="88"/>
        <v>sáb</v>
      </c>
      <c r="E176" s="169" t="str">
        <f>IF(K176&lt;&gt;"",VLOOKUP(K176,'Catálogo SAP'!$A$1:$F$245,2,FALSE),"-")</f>
        <v>-</v>
      </c>
      <c r="F176" s="16"/>
      <c r="G176" s="16"/>
      <c r="H176" s="22"/>
      <c r="I176" s="133"/>
      <c r="J176" s="162" t="str">
        <f t="shared" si="89"/>
        <v/>
      </c>
      <c r="K176" s="16"/>
      <c r="L176" s="167" t="str">
        <f>IF(K176&lt;&gt;"",VLOOKUP(K176,'Catálogo SAP'!A:F,3,FALSE),"")</f>
        <v/>
      </c>
      <c r="M176" s="162" t="str">
        <f>IF(K176&lt;&gt;"",VLOOKUP(K176,'Catálogo SAP'!A:F,4,FALSE),"")</f>
        <v/>
      </c>
      <c r="N176" s="168" t="str">
        <f>IF(K176&lt;&gt;"",VLOOKUP(K176,'Catálogo SAP'!A:F,5,FALSE),"")</f>
        <v/>
      </c>
      <c r="O176" s="160"/>
      <c r="P176" s="70" t="str">
        <f t="shared" si="61"/>
        <v>-</v>
      </c>
      <c r="Q176" s="163" t="str">
        <f t="shared" si="39"/>
        <v>-</v>
      </c>
      <c r="R176" s="44" t="str">
        <f>IF(J176&lt;&gt;"",VLOOKUP(J176,'RESUMO DR'!$B$4:$E$253,4,FALSE),"-")</f>
        <v>-</v>
      </c>
      <c r="S176" s="58" t="str">
        <f>IF(J176&lt;&gt;"",VLOOKUP(J176,'RESUMO DR'!$B$4:$E$253,3,FALSE),"-")</f>
        <v>-</v>
      </c>
      <c r="T176" s="129"/>
      <c r="U176" s="129"/>
      <c r="V176" s="129"/>
      <c r="W176" s="128"/>
      <c r="X176" s="127"/>
      <c r="Y176" s="127"/>
      <c r="Z176" s="4"/>
    </row>
    <row r="177" spans="1:27" ht="18" customHeight="1">
      <c r="A177" s="5"/>
      <c r="B177" s="21">
        <v>45647</v>
      </c>
      <c r="C177" s="21" t="s">
        <v>122</v>
      </c>
      <c r="D177" s="74" t="str">
        <f t="shared" si="88"/>
        <v>sáb</v>
      </c>
      <c r="E177" s="169" t="str">
        <f>IF(K177&lt;&gt;"",VLOOKUP(K177,'Catálogo SAP'!$A$1:$F$245,2,FALSE),"-")</f>
        <v>-</v>
      </c>
      <c r="F177" s="225"/>
      <c r="G177" s="225"/>
      <c r="H177" s="226"/>
      <c r="I177" s="230"/>
      <c r="J177" s="162" t="str">
        <f t="shared" si="89"/>
        <v/>
      </c>
      <c r="K177" s="16"/>
      <c r="L177" s="167" t="str">
        <f>IF(K177&lt;&gt;"",VLOOKUP(K177,'Catálogo SAP'!A:F,3,FALSE),"")</f>
        <v/>
      </c>
      <c r="M177" s="162" t="str">
        <f>IF(K177&lt;&gt;"",VLOOKUP(K177,'Catálogo SAP'!A:F,4,FALSE),"")</f>
        <v/>
      </c>
      <c r="N177" s="168" t="str">
        <f>IF(K177&lt;&gt;"",VLOOKUP(K177,'Catálogo SAP'!A:F,5,FALSE),"")</f>
        <v/>
      </c>
      <c r="O177" s="160"/>
      <c r="P177" s="70" t="str">
        <f t="shared" si="61"/>
        <v>-</v>
      </c>
      <c r="Q177" s="163" t="str">
        <f t="shared" si="39"/>
        <v>-</v>
      </c>
      <c r="R177" s="44" t="str">
        <f>IF(J177&lt;&gt;"",VLOOKUP(J177,'RESUMO DR'!$B$4:$E$253,4,FALSE),"-")</f>
        <v>-</v>
      </c>
      <c r="S177" s="58" t="str">
        <f>IF(J177&lt;&gt;"",VLOOKUP(J177,'RESUMO DR'!$B$4:$E$253,3,FALSE),"-")</f>
        <v>-</v>
      </c>
      <c r="T177" s="129"/>
      <c r="U177" s="129"/>
      <c r="V177" s="129"/>
      <c r="W177" s="128"/>
      <c r="X177" s="127"/>
      <c r="Y177" s="127"/>
      <c r="Z177" s="4"/>
    </row>
    <row r="178" spans="1:27" ht="18" customHeight="1">
      <c r="A178" s="5">
        <v>1955</v>
      </c>
      <c r="B178" s="21">
        <v>45647</v>
      </c>
      <c r="C178" s="21" t="s">
        <v>123</v>
      </c>
      <c r="D178" s="74" t="str">
        <f t="shared" si="88"/>
        <v>sáb</v>
      </c>
      <c r="E178" s="169">
        <f>IF(K178&lt;&gt;"",VLOOKUP(K178,'Catálogo SAP'!$A$1:$F$245,2,FALSE),"-")</f>
        <v>120</v>
      </c>
      <c r="F178" s="225">
        <v>5819</v>
      </c>
      <c r="G178" s="225">
        <v>5828</v>
      </c>
      <c r="H178" s="226"/>
      <c r="I178" s="230">
        <v>578</v>
      </c>
      <c r="J178" s="162" t="str">
        <f t="shared" si="89"/>
        <v>Tupirama</v>
      </c>
      <c r="K178" s="16">
        <v>120</v>
      </c>
      <c r="L178" s="167" t="str">
        <f>IF(K178&lt;&gt;"",VLOOKUP(K178,'Catálogo SAP'!A:F,3,FALSE),"")</f>
        <v>S.VP-01437</v>
      </c>
      <c r="M178" s="162" t="str">
        <f>IF(K178&lt;&gt;"",VLOOKUP(K178,'Catálogo SAP'!A:F,4,FALSE),"")</f>
        <v>Hr Produtiva Retroescavadeira C/Operador</v>
      </c>
      <c r="N178" s="168" t="str">
        <f>IF(K178&lt;&gt;"",VLOOKUP(K178,'Catálogo SAP'!A:F,5,FALSE),"")</f>
        <v>H</v>
      </c>
      <c r="O178" s="160">
        <v>9</v>
      </c>
      <c r="P178" s="70">
        <f t="shared" si="61"/>
        <v>9</v>
      </c>
      <c r="Q178" s="163" t="e">
        <f t="shared" si="39"/>
        <v>#VALUE!</v>
      </c>
      <c r="R178" s="44" t="str">
        <f>IF(J178&lt;&gt;"",VLOOKUP(J178,'RESUMO DR'!$B$4:$E$253,4,FALSE),"-")</f>
        <v>T-03</v>
      </c>
      <c r="S178" s="58" t="str">
        <f>IF(J178&lt;&gt;"",VLOOKUP(J178,'RESUMO DR'!$B$4:$E$253,3,FALSE),"-")</f>
        <v>PALMAS</v>
      </c>
      <c r="T178" s="129"/>
      <c r="U178" s="129"/>
      <c r="V178" s="129"/>
      <c r="W178" s="128"/>
      <c r="X178" s="127"/>
      <c r="Y178" s="127"/>
      <c r="Z178" s="4"/>
    </row>
    <row r="179" spans="1:27" ht="18" customHeight="1">
      <c r="A179" s="5"/>
      <c r="B179" s="21">
        <v>45647</v>
      </c>
      <c r="C179" s="21" t="s">
        <v>124</v>
      </c>
      <c r="D179" s="74" t="str">
        <f t="shared" si="88"/>
        <v>sáb</v>
      </c>
      <c r="E179" s="169" t="str">
        <f>IF(K179&lt;&gt;"",VLOOKUP(K179,'Catálogo SAP'!$A$1:$F$245,2,FALSE),"-")</f>
        <v>-</v>
      </c>
      <c r="F179" s="16"/>
      <c r="G179" s="16"/>
      <c r="H179" s="22"/>
      <c r="I179" s="133"/>
      <c r="J179" s="162" t="str">
        <f t="shared" si="89"/>
        <v/>
      </c>
      <c r="K179" s="16"/>
      <c r="L179" s="167" t="str">
        <f>IF(K179&lt;&gt;"",VLOOKUP(K179,'Catálogo SAP'!A:F,3,FALSE),"")</f>
        <v/>
      </c>
      <c r="M179" s="162" t="str">
        <f>IF(K179&lt;&gt;"",VLOOKUP(K179,'Catálogo SAP'!A:F,4,FALSE),"")</f>
        <v/>
      </c>
      <c r="N179" s="168" t="str">
        <f>IF(K179&lt;&gt;"",VLOOKUP(K179,'Catálogo SAP'!A:F,5,FALSE),"")</f>
        <v/>
      </c>
      <c r="O179" s="160"/>
      <c r="P179" s="70" t="str">
        <f t="shared" si="61"/>
        <v>-</v>
      </c>
      <c r="Q179" s="163" t="str">
        <f t="shared" si="39"/>
        <v>-</v>
      </c>
      <c r="R179" s="44" t="str">
        <f>IF(J179&lt;&gt;"",VLOOKUP(J179,'RESUMO DR'!$B$4:$E$253,4,FALSE),"-")</f>
        <v>-</v>
      </c>
      <c r="S179" s="58" t="str">
        <f>IF(J179&lt;&gt;"",VLOOKUP(J179,'RESUMO DR'!$B$4:$E$253,3,FALSE),"-")</f>
        <v>-</v>
      </c>
      <c r="T179" s="129"/>
      <c r="U179" s="129"/>
      <c r="V179" s="129"/>
      <c r="W179" s="128"/>
      <c r="X179" s="127"/>
      <c r="Y179" s="127"/>
      <c r="Z179" s="4"/>
    </row>
    <row r="180" spans="1:27" ht="18" customHeight="1">
      <c r="A180" s="5"/>
      <c r="B180" s="21">
        <v>45647</v>
      </c>
      <c r="C180" s="21" t="s">
        <v>124</v>
      </c>
      <c r="D180" s="74" t="str">
        <f t="shared" si="88"/>
        <v>sáb</v>
      </c>
      <c r="E180" s="169" t="str">
        <f>IF(K180&lt;&gt;"",VLOOKUP(K180,'Catálogo SAP'!$A$1:$F$245,2,FALSE),"-")</f>
        <v>-</v>
      </c>
      <c r="F180" s="16"/>
      <c r="G180" s="16"/>
      <c r="H180" s="22"/>
      <c r="I180" s="133"/>
      <c r="J180" s="162" t="str">
        <f t="shared" si="89"/>
        <v/>
      </c>
      <c r="K180" s="16"/>
      <c r="L180" s="167" t="str">
        <f>IF(K180&lt;&gt;"",VLOOKUP(K180,'Catálogo SAP'!A:F,3,FALSE),"")</f>
        <v/>
      </c>
      <c r="M180" s="162" t="str">
        <f>IF(K180&lt;&gt;"",VLOOKUP(K180,'Catálogo SAP'!A:F,4,FALSE),"")</f>
        <v/>
      </c>
      <c r="N180" s="168" t="str">
        <f>IF(K180&lt;&gt;"",VLOOKUP(K180,'Catálogo SAP'!A:F,5,FALSE),"")</f>
        <v/>
      </c>
      <c r="O180" s="232"/>
      <c r="P180" s="70" t="str">
        <f t="shared" si="61"/>
        <v>-</v>
      </c>
      <c r="Q180" s="163" t="str">
        <f t="shared" si="39"/>
        <v>-</v>
      </c>
      <c r="R180" s="44" t="str">
        <f>IF(J180&lt;&gt;"",VLOOKUP(J180,'RESUMO DR'!$B$4:$E$253,4,FALSE),"-")</f>
        <v>-</v>
      </c>
      <c r="S180" s="58" t="str">
        <f>IF(J180&lt;&gt;"",VLOOKUP(J180,'RESUMO DR'!$B$4:$E$253,3,FALSE),"-")</f>
        <v>-</v>
      </c>
      <c r="T180" s="129"/>
      <c r="U180" s="129"/>
      <c r="V180" s="129"/>
      <c r="W180" s="128"/>
      <c r="X180" s="127"/>
      <c r="Y180" s="127"/>
      <c r="Z180" s="4"/>
    </row>
    <row r="181" spans="1:27" ht="18" customHeight="1">
      <c r="A181" s="5">
        <v>1494</v>
      </c>
      <c r="B181" s="21">
        <v>45647</v>
      </c>
      <c r="C181" s="21" t="s">
        <v>313</v>
      </c>
      <c r="D181" s="74" t="str">
        <f t="shared" si="88"/>
        <v>sáb</v>
      </c>
      <c r="E181" s="169">
        <f>IF(K181&lt;&gt;"",VLOOKUP(K181,'Catálogo SAP'!$A$1:$F$245,2,FALSE),"-")</f>
        <v>200</v>
      </c>
      <c r="F181" s="225">
        <v>60798</v>
      </c>
      <c r="G181" s="225">
        <v>61017</v>
      </c>
      <c r="H181" s="226"/>
      <c r="I181" s="230">
        <v>57</v>
      </c>
      <c r="J181" s="162" t="str">
        <f t="shared" si="89"/>
        <v>JOÃO LISBOA</v>
      </c>
      <c r="K181" s="16">
        <v>200</v>
      </c>
      <c r="L181" s="167" t="str">
        <f>IF(K181&lt;&gt;"",VLOOKUP(K181,'Catálogo SAP'!A:F,3,FALSE),"")</f>
        <v>S.VP-01445</v>
      </c>
      <c r="M181" s="162" t="str">
        <f>IF(K181&lt;&gt;"",VLOOKUP(K181,'Catálogo SAP'!A:F,4,FALSE),"")</f>
        <v>Km Rodado Caminhão Basculante - C/Motorista</v>
      </c>
      <c r="N181" s="168" t="str">
        <f>IF(K181&lt;&gt;"",VLOOKUP(K181,'Catálogo SAP'!A:F,5,FALSE),"")</f>
        <v>KM</v>
      </c>
      <c r="O181" s="160">
        <v>219</v>
      </c>
      <c r="P181" s="70">
        <f t="shared" si="61"/>
        <v>219</v>
      </c>
      <c r="Q181" s="163" t="e">
        <f t="shared" si="39"/>
        <v>#VALUE!</v>
      </c>
      <c r="R181" s="44" t="str">
        <f>IF(J181&lt;&gt;"",VLOOKUP(J181,'RESUMO DR'!$B$4:$E$253,4,FALSE),"-")</f>
        <v>T-01</v>
      </c>
      <c r="S181" s="58" t="str">
        <f>IF(J181&lt;&gt;"",VLOOKUP(J181,'RESUMO DR'!$B$4:$E$253,3,FALSE),"-")</f>
        <v>IMPERATRIZ</v>
      </c>
      <c r="T181" s="129"/>
      <c r="U181" s="129"/>
      <c r="V181" s="129"/>
      <c r="W181" s="128"/>
      <c r="X181" s="127"/>
      <c r="Y181" s="127"/>
      <c r="Z181" s="4"/>
    </row>
    <row r="182" spans="1:27" ht="18" customHeight="1">
      <c r="A182" s="5">
        <v>1494</v>
      </c>
      <c r="B182" s="21">
        <v>45647</v>
      </c>
      <c r="C182" s="21" t="s">
        <v>314</v>
      </c>
      <c r="D182" s="74" t="str">
        <f t="shared" si="88"/>
        <v>sáb</v>
      </c>
      <c r="E182" s="169">
        <f>IF(K182&lt;&gt;"",VLOOKUP(K182,'Catálogo SAP'!$A$1:$F$245,2,FALSE),"-")</f>
        <v>200</v>
      </c>
      <c r="F182" s="225">
        <v>64421</v>
      </c>
      <c r="G182" s="225">
        <v>64716</v>
      </c>
      <c r="H182" s="226"/>
      <c r="I182" s="230">
        <v>57</v>
      </c>
      <c r="J182" s="162" t="str">
        <f t="shared" si="89"/>
        <v>JOÃO LISBOA</v>
      </c>
      <c r="K182" s="16">
        <v>200</v>
      </c>
      <c r="L182" s="167" t="str">
        <f>IF(K182&lt;&gt;"",VLOOKUP(K182,'Catálogo SAP'!A:F,3,FALSE),"")</f>
        <v>S.VP-01445</v>
      </c>
      <c r="M182" s="162" t="str">
        <f>IF(K182&lt;&gt;"",VLOOKUP(K182,'Catálogo SAP'!A:F,4,FALSE),"")</f>
        <v>Km Rodado Caminhão Basculante - C/Motorista</v>
      </c>
      <c r="N182" s="168" t="str">
        <f>IF(K182&lt;&gt;"",VLOOKUP(K182,'Catálogo SAP'!A:F,5,FALSE),"")</f>
        <v>KM</v>
      </c>
      <c r="O182" s="160">
        <v>295</v>
      </c>
      <c r="P182" s="70">
        <f t="shared" si="61"/>
        <v>295</v>
      </c>
      <c r="Q182" s="163" t="e">
        <f t="shared" si="39"/>
        <v>#VALUE!</v>
      </c>
      <c r="R182" s="44" t="str">
        <f>IF(J182&lt;&gt;"",VLOOKUP(J182,'RESUMO DR'!$B$4:$E$253,4,FALSE),"-")</f>
        <v>T-01</v>
      </c>
      <c r="S182" s="58" t="str">
        <f>IF(J182&lt;&gt;"",VLOOKUP(J182,'RESUMO DR'!$B$4:$E$253,3,FALSE),"-")</f>
        <v>IMPERATRIZ</v>
      </c>
      <c r="T182" s="129"/>
      <c r="U182" s="129"/>
      <c r="V182" s="129"/>
      <c r="W182" s="128"/>
      <c r="X182" s="127"/>
      <c r="Y182" s="127"/>
      <c r="Z182" s="4"/>
    </row>
    <row r="183" spans="1:27" ht="18" customHeight="1">
      <c r="A183" s="5">
        <v>1495</v>
      </c>
      <c r="B183" s="21">
        <v>45647</v>
      </c>
      <c r="C183" s="21" t="s">
        <v>127</v>
      </c>
      <c r="D183" s="74" t="str">
        <f t="shared" si="88"/>
        <v>sáb</v>
      </c>
      <c r="E183" s="169">
        <f>IF(K183&lt;&gt;"",VLOOKUP(K183,'Catálogo SAP'!$A$1:$F$245,2,FALSE),"-")</f>
        <v>200</v>
      </c>
      <c r="F183" s="225">
        <v>48714</v>
      </c>
      <c r="G183" s="225">
        <v>49290</v>
      </c>
      <c r="H183" s="226"/>
      <c r="I183" s="230">
        <v>442</v>
      </c>
      <c r="J183" s="162" t="str">
        <f t="shared" si="89"/>
        <v>Palmeirante</v>
      </c>
      <c r="K183" s="16">
        <v>200</v>
      </c>
      <c r="L183" s="167" t="str">
        <f>IF(K183&lt;&gt;"",VLOOKUP(K183,'Catálogo SAP'!A:F,3,FALSE),"")</f>
        <v>S.VP-01445</v>
      </c>
      <c r="M183" s="162" t="str">
        <f>IF(K183&lt;&gt;"",VLOOKUP(K183,'Catálogo SAP'!A:F,4,FALSE),"")</f>
        <v>Km Rodado Caminhão Basculante - C/Motorista</v>
      </c>
      <c r="N183" s="168" t="str">
        <f>IF(K183&lt;&gt;"",VLOOKUP(K183,'Catálogo SAP'!A:F,5,FALSE),"")</f>
        <v>KM</v>
      </c>
      <c r="O183" s="160">
        <v>576</v>
      </c>
      <c r="P183" s="70">
        <f t="shared" si="61"/>
        <v>576</v>
      </c>
      <c r="Q183" s="163" t="e">
        <f t="shared" si="39"/>
        <v>#VALUE!</v>
      </c>
      <c r="R183" s="44" t="str">
        <f>IF(J183&lt;&gt;"",VLOOKUP(J183,'RESUMO DR'!$B$4:$E$253,4,FALSE),"-")</f>
        <v>T-02</v>
      </c>
      <c r="S183" s="58" t="str">
        <f>IF(J183&lt;&gt;"",VLOOKUP(J183,'RESUMO DR'!$B$4:$E$253,3,FALSE),"-")</f>
        <v>ARAGUAINA</v>
      </c>
      <c r="T183" s="129"/>
      <c r="U183" s="129"/>
      <c r="V183" s="129"/>
      <c r="W183" s="128"/>
      <c r="X183" s="127"/>
      <c r="Y183" s="127"/>
      <c r="Z183" s="4"/>
    </row>
    <row r="184" spans="1:27" ht="18" customHeight="1">
      <c r="A184" s="5">
        <v>1951</v>
      </c>
      <c r="B184" s="21">
        <v>45647</v>
      </c>
      <c r="C184" s="21" t="s">
        <v>312</v>
      </c>
      <c r="D184" s="74" t="str">
        <f t="shared" ref="D184" si="90">IF(B184="","-",TEXT(B184,"ddd"))</f>
        <v>sáb</v>
      </c>
      <c r="E184" s="169">
        <f>IF(K184&lt;&gt;"",VLOOKUP(K184,'Catálogo SAP'!$A$1:$F$245,2,FALSE),"-")</f>
        <v>200</v>
      </c>
      <c r="F184" s="225">
        <v>70752</v>
      </c>
      <c r="G184" s="225">
        <v>71356</v>
      </c>
      <c r="H184" s="226"/>
      <c r="I184" s="230">
        <v>442</v>
      </c>
      <c r="J184" s="162" t="str">
        <f t="shared" si="89"/>
        <v>Palmeirante</v>
      </c>
      <c r="K184" s="16">
        <v>200</v>
      </c>
      <c r="L184" s="167" t="str">
        <f>IF(K184&lt;&gt;"",VLOOKUP(K184,'Catálogo SAP'!A:F,3,FALSE),"")</f>
        <v>S.VP-01445</v>
      </c>
      <c r="M184" s="162" t="str">
        <f>IF(K184&lt;&gt;"",VLOOKUP(K184,'Catálogo SAP'!A:F,4,FALSE),"")</f>
        <v>Km Rodado Caminhão Basculante - C/Motorista</v>
      </c>
      <c r="N184" s="168" t="str">
        <f>IF(K184&lt;&gt;"",VLOOKUP(K184,'Catálogo SAP'!A:F,5,FALSE),"")</f>
        <v>KM</v>
      </c>
      <c r="O184" s="160">
        <v>604</v>
      </c>
      <c r="P184" s="70">
        <f t="shared" si="61"/>
        <v>604</v>
      </c>
      <c r="Q184" s="163" t="e">
        <f t="shared" ref="Q184" si="91">IF(K184="","-",N184*O184)</f>
        <v>#VALUE!</v>
      </c>
      <c r="R184" s="44" t="str">
        <f>IF(J184&lt;&gt;"",VLOOKUP(J184,'RESUMO DR'!$B$4:$E$253,4,FALSE),"-")</f>
        <v>T-02</v>
      </c>
      <c r="S184" s="58" t="str">
        <f>IF(J184&lt;&gt;"",VLOOKUP(J184,'RESUMO DR'!$B$4:$E$253,3,FALSE),"-")</f>
        <v>ARAGUAINA</v>
      </c>
      <c r="T184" s="129"/>
      <c r="U184" s="129"/>
      <c r="V184" s="129"/>
      <c r="W184" s="128"/>
      <c r="X184" s="127"/>
      <c r="Y184" s="127"/>
      <c r="Z184" s="4"/>
    </row>
    <row r="185" spans="1:27" ht="18" customHeight="1">
      <c r="A185" s="5"/>
      <c r="B185" s="21">
        <v>45647</v>
      </c>
      <c r="C185" s="21" t="s">
        <v>312</v>
      </c>
      <c r="D185" s="74" t="str">
        <f t="shared" si="31"/>
        <v>sáb</v>
      </c>
      <c r="E185" s="169" t="str">
        <f>IF(K185&lt;&gt;"",VLOOKUP(K185,'Catálogo SAP'!$A$1:$F$245,2,FALSE),"-")</f>
        <v>-</v>
      </c>
      <c r="F185" s="225"/>
      <c r="G185" s="225"/>
      <c r="H185" s="226"/>
      <c r="I185" s="230"/>
      <c r="J185" s="162" t="str">
        <f t="shared" si="89"/>
        <v/>
      </c>
      <c r="K185" s="16"/>
      <c r="L185" s="167" t="str">
        <f>IF(K185&lt;&gt;"",VLOOKUP(K185,'Catálogo SAP'!A:F,3,FALSE),"")</f>
        <v/>
      </c>
      <c r="M185" s="162" t="str">
        <f>IF(K185&lt;&gt;"",VLOOKUP(K185,'Catálogo SAP'!A:F,4,FALSE),"")</f>
        <v/>
      </c>
      <c r="N185" s="168" t="str">
        <f>IF(K185&lt;&gt;"",VLOOKUP(K185,'Catálogo SAP'!A:F,5,FALSE),"")</f>
        <v/>
      </c>
      <c r="O185" s="160"/>
      <c r="P185" s="70" t="str">
        <f t="shared" si="61"/>
        <v>-</v>
      </c>
      <c r="Q185" s="163" t="str">
        <f>IF(K185="","-",N185*O185)</f>
        <v>-</v>
      </c>
      <c r="R185" s="44" t="str">
        <f>IF(J185&lt;&gt;"",VLOOKUP(J185,'RESUMO DR'!$B$4:$E$253,4,FALSE),"-")</f>
        <v>-</v>
      </c>
      <c r="S185" s="58" t="str">
        <f>IF(J185&lt;&gt;"",VLOOKUP(J185,'RESUMO DR'!$B$4:$E$253,3,FALSE),"-")</f>
        <v>-</v>
      </c>
      <c r="T185" s="129"/>
      <c r="U185" s="129"/>
      <c r="V185" s="129"/>
      <c r="W185" s="128"/>
      <c r="X185" s="127"/>
      <c r="Y185" s="127"/>
      <c r="Z185" s="38">
        <v>120000</v>
      </c>
      <c r="AA185" s="38"/>
    </row>
    <row r="186" spans="1:27" ht="18" customHeight="1">
      <c r="A186" s="5">
        <v>1955</v>
      </c>
      <c r="B186" s="21">
        <v>45647</v>
      </c>
      <c r="C186" s="21" t="s">
        <v>129</v>
      </c>
      <c r="D186" s="74" t="str">
        <f t="shared" si="31"/>
        <v>sáb</v>
      </c>
      <c r="E186" s="169">
        <f>IF(K186&lt;&gt;"",VLOOKUP(K186,'Catálogo SAP'!$A$1:$F$245,2,FALSE),"-")</f>
        <v>200</v>
      </c>
      <c r="F186" s="225">
        <v>80426</v>
      </c>
      <c r="G186" s="225">
        <v>80561</v>
      </c>
      <c r="H186" s="226"/>
      <c r="I186" s="230">
        <v>578</v>
      </c>
      <c r="J186" s="162" t="str">
        <f t="shared" si="89"/>
        <v>Tupirama</v>
      </c>
      <c r="K186" s="16">
        <v>200</v>
      </c>
      <c r="L186" s="167" t="str">
        <f>IF(K186&lt;&gt;"",VLOOKUP(K186,'Catálogo SAP'!A:F,3,FALSE),"")</f>
        <v>S.VP-01445</v>
      </c>
      <c r="M186" s="162" t="str">
        <f>IF(K186&lt;&gt;"",VLOOKUP(K186,'Catálogo SAP'!A:F,4,FALSE),"")</f>
        <v>Km Rodado Caminhão Basculante - C/Motorista</v>
      </c>
      <c r="N186" s="168" t="str">
        <f>IF(K186&lt;&gt;"",VLOOKUP(K186,'Catálogo SAP'!A:F,5,FALSE),"")</f>
        <v>KM</v>
      </c>
      <c r="O186" s="160">
        <v>135</v>
      </c>
      <c r="P186" s="70">
        <f t="shared" si="61"/>
        <v>135</v>
      </c>
      <c r="Q186" s="163" t="e">
        <f t="shared" ref="Q186:Q249" si="92">IF(K186="","-",N186*O186)</f>
        <v>#VALUE!</v>
      </c>
      <c r="R186" s="44" t="str">
        <f>IF(J186&lt;&gt;"",VLOOKUP(J186,'RESUMO DR'!$B$4:$E$253,4,FALSE),"-")</f>
        <v>T-03</v>
      </c>
      <c r="S186" s="58" t="str">
        <f>IF(J186&lt;&gt;"",VLOOKUP(J186,'RESUMO DR'!$B$4:$E$253,3,FALSE),"-")</f>
        <v>PALMAS</v>
      </c>
      <c r="T186" s="129"/>
      <c r="U186" s="129"/>
      <c r="V186" s="129"/>
      <c r="W186" s="128"/>
      <c r="X186" s="127"/>
      <c r="Y186" s="127"/>
      <c r="Z186" s="4"/>
    </row>
    <row r="187" spans="1:27" ht="18" customHeight="1">
      <c r="A187" s="5">
        <v>1489</v>
      </c>
      <c r="B187" s="21">
        <v>45647</v>
      </c>
      <c r="C187" s="21" t="s">
        <v>298</v>
      </c>
      <c r="D187" s="74" t="str">
        <f t="shared" si="31"/>
        <v>sáb</v>
      </c>
      <c r="E187" s="169">
        <f>IF(K187&lt;&gt;"",VLOOKUP(K187,'Catálogo SAP'!$A$1:$F$245,2,FALSE),"-")</f>
        <v>160</v>
      </c>
      <c r="F187" s="225">
        <v>530</v>
      </c>
      <c r="G187" s="225">
        <v>539</v>
      </c>
      <c r="H187" s="226"/>
      <c r="I187" s="230">
        <v>134</v>
      </c>
      <c r="J187" s="162" t="str">
        <f t="shared" si="89"/>
        <v>RIBAMAR FIQUENE</v>
      </c>
      <c r="K187" s="16">
        <v>160</v>
      </c>
      <c r="L187" s="167" t="str">
        <f>IF(K187&lt;&gt;"",VLOOKUP(K187,'Catálogo SAP'!A:F,3,FALSE),"")</f>
        <v>S.VP-01441</v>
      </c>
      <c r="M187" s="162" t="str">
        <f>IF(K187&lt;&gt;"",VLOOKUP(K187,'Catálogo SAP'!A:F,4,FALSE),"")</f>
        <v>Hora Produtiva Pa Carregadeira C/Operador</v>
      </c>
      <c r="N187" s="168" t="str">
        <f>IF(K187&lt;&gt;"",VLOOKUP(K187,'Catálogo SAP'!A:F,5,FALSE),"")</f>
        <v>H</v>
      </c>
      <c r="O187" s="160">
        <v>9</v>
      </c>
      <c r="P187" s="70">
        <f t="shared" si="61"/>
        <v>9</v>
      </c>
      <c r="Q187" s="163" t="e">
        <f t="shared" si="92"/>
        <v>#VALUE!</v>
      </c>
      <c r="R187" s="44" t="str">
        <f>IF(J187&lt;&gt;"",VLOOKUP(J187,'RESUMO DR'!$B$4:$E$253,4,FALSE),"-")</f>
        <v>T-01</v>
      </c>
      <c r="S187" s="58" t="str">
        <f>IF(J187&lt;&gt;"",VLOOKUP(J187,'RESUMO DR'!$B$4:$E$253,3,FALSE),"-")</f>
        <v>IMPERATRIZ</v>
      </c>
      <c r="T187" s="129"/>
      <c r="U187" s="129"/>
      <c r="V187" s="129"/>
      <c r="W187" s="128"/>
      <c r="X187" s="127"/>
      <c r="Y187" s="127"/>
      <c r="Z187" s="4"/>
    </row>
    <row r="188" spans="1:27" ht="18" customHeight="1">
      <c r="A188" s="5">
        <v>1492</v>
      </c>
      <c r="B188" s="21">
        <v>45647</v>
      </c>
      <c r="C188" s="21" t="s">
        <v>131</v>
      </c>
      <c r="D188" s="74" t="str">
        <f t="shared" si="31"/>
        <v>sáb</v>
      </c>
      <c r="E188" s="169">
        <f>IF(K188&lt;&gt;"",VLOOKUP(K188,'Catálogo SAP'!$A$1:$F$245,2,FALSE),"-")</f>
        <v>520</v>
      </c>
      <c r="F188" s="225">
        <v>10547</v>
      </c>
      <c r="G188" s="16">
        <v>10556</v>
      </c>
      <c r="H188" s="226"/>
      <c r="I188" s="230">
        <v>195</v>
      </c>
      <c r="J188" s="162" t="str">
        <f t="shared" si="32"/>
        <v>PORTO FRANCO</v>
      </c>
      <c r="K188" s="16">
        <v>520</v>
      </c>
      <c r="L188" s="167" t="str">
        <f>IF(K188&lt;&gt;"",VLOOKUP(K188,'Catálogo SAP'!A:F,3,FALSE),"")</f>
        <v>S.VP-01469</v>
      </c>
      <c r="M188" s="162" t="str">
        <f>IF(K188&lt;&gt;"",VLOOKUP(K188,'Catálogo SAP'!A:F,4,FALSE),"")</f>
        <v>Hora Produtiva Escavadeira Hidraulica</v>
      </c>
      <c r="N188" s="168" t="str">
        <f>IF(K188&lt;&gt;"",VLOOKUP(K188,'Catálogo SAP'!A:F,5,FALSE),"")</f>
        <v>H</v>
      </c>
      <c r="O188" s="160">
        <v>9</v>
      </c>
      <c r="P188" s="70">
        <f t="shared" si="61"/>
        <v>9</v>
      </c>
      <c r="Q188" s="163" t="e">
        <f t="shared" si="92"/>
        <v>#VALUE!</v>
      </c>
      <c r="R188" s="44" t="str">
        <f>IF(J188&lt;&gt;"",VLOOKUP(J188,'RESUMO DR'!$B$4:$E$253,4,FALSE),"-")</f>
        <v>T-01</v>
      </c>
      <c r="S188" s="58" t="str">
        <f>IF(J188&lt;&gt;"",VLOOKUP(J188,'RESUMO DR'!$B$4:$E$253,3,FALSE),"-")</f>
        <v>IMPERATRIZ</v>
      </c>
      <c r="T188" s="129"/>
      <c r="U188" s="129"/>
      <c r="V188" s="129"/>
      <c r="W188" s="128"/>
      <c r="X188" s="127"/>
      <c r="Y188" s="127"/>
      <c r="Z188" s="4"/>
    </row>
    <row r="189" spans="1:27" ht="18" customHeight="1">
      <c r="A189" s="5"/>
      <c r="B189" s="21">
        <v>45647</v>
      </c>
      <c r="C189" s="21" t="s">
        <v>131</v>
      </c>
      <c r="D189" s="74" t="str">
        <f t="shared" si="31"/>
        <v>sáb</v>
      </c>
      <c r="E189" s="169" t="str">
        <f>IF(K189&lt;&gt;"",VLOOKUP(K189,'Catálogo SAP'!$A$1:$F$245,2,FALSE),"-")</f>
        <v>-</v>
      </c>
      <c r="F189" s="16"/>
      <c r="G189" s="16"/>
      <c r="H189" s="22"/>
      <c r="I189" s="133"/>
      <c r="J189" s="162" t="str">
        <f t="shared" si="32"/>
        <v/>
      </c>
      <c r="K189" s="16"/>
      <c r="L189" s="167" t="str">
        <f>IF(K189&lt;&gt;"",VLOOKUP(K189,'Catálogo SAP'!A:F,3,FALSE),"")</f>
        <v/>
      </c>
      <c r="M189" s="162" t="str">
        <f>IF(K189&lt;&gt;"",VLOOKUP(K189,'Catálogo SAP'!A:F,4,FALSE),"")</f>
        <v/>
      </c>
      <c r="N189" s="168" t="str">
        <f>IF(K189&lt;&gt;"",VLOOKUP(K189,'Catálogo SAP'!A:F,5,FALSE),"")</f>
        <v/>
      </c>
      <c r="O189" s="160"/>
      <c r="P189" s="70" t="str">
        <f t="shared" si="61"/>
        <v>-</v>
      </c>
      <c r="Q189" s="163" t="str">
        <f t="shared" si="92"/>
        <v>-</v>
      </c>
      <c r="R189" s="44" t="str">
        <f>IF(J189&lt;&gt;"",VLOOKUP(J189,'RESUMO DR'!$B$4:$E$253,4,FALSE),"-")</f>
        <v>-</v>
      </c>
      <c r="S189" s="58" t="str">
        <f>IF(J189&lt;&gt;"",VLOOKUP(J189,'RESUMO DR'!$B$4:$E$253,3,FALSE),"-")</f>
        <v>-</v>
      </c>
      <c r="T189" s="129"/>
      <c r="U189" s="129"/>
      <c r="V189" s="129"/>
      <c r="W189" s="128"/>
      <c r="X189" s="127"/>
      <c r="Y189" s="127"/>
      <c r="Z189" s="4"/>
    </row>
    <row r="190" spans="1:27" ht="18" customHeight="1">
      <c r="A190" s="5">
        <v>1495</v>
      </c>
      <c r="B190" s="21">
        <v>45647</v>
      </c>
      <c r="C190" s="21" t="s">
        <v>311</v>
      </c>
      <c r="D190" s="74" t="str">
        <f t="shared" si="31"/>
        <v>sáb</v>
      </c>
      <c r="E190" s="169">
        <f>IF(K190&lt;&gt;"",VLOOKUP(K190,'Catálogo SAP'!$A$1:$F$245,2,FALSE),"-")</f>
        <v>120</v>
      </c>
      <c r="F190" s="225">
        <v>1132</v>
      </c>
      <c r="G190" s="225">
        <v>1141</v>
      </c>
      <c r="H190" s="226"/>
      <c r="I190" s="230">
        <v>442</v>
      </c>
      <c r="J190" s="162" t="str">
        <f t="shared" si="32"/>
        <v>Palmeirante</v>
      </c>
      <c r="K190" s="16">
        <v>120</v>
      </c>
      <c r="L190" s="167" t="str">
        <f>IF(K190&lt;&gt;"",VLOOKUP(K190,'Catálogo SAP'!A:F,3,FALSE),"")</f>
        <v>S.VP-01437</v>
      </c>
      <c r="M190" s="162" t="str">
        <f>IF(K190&lt;&gt;"",VLOOKUP(K190,'Catálogo SAP'!A:F,4,FALSE),"")</f>
        <v>Hr Produtiva Retroescavadeira C/Operador</v>
      </c>
      <c r="N190" s="168" t="str">
        <f>IF(K190&lt;&gt;"",VLOOKUP(K190,'Catálogo SAP'!A:F,5,FALSE),"")</f>
        <v>H</v>
      </c>
      <c r="O190" s="160">
        <v>9</v>
      </c>
      <c r="P190" s="70">
        <f t="shared" si="61"/>
        <v>9</v>
      </c>
      <c r="Q190" s="163" t="e">
        <f>IF(K190="","-",N190*O190)</f>
        <v>#VALUE!</v>
      </c>
      <c r="R190" s="44" t="str">
        <f>IF(J190&lt;&gt;"",VLOOKUP(J190,'RESUMO DR'!$B$4:$E$253,4,FALSE),"-")</f>
        <v>T-02</v>
      </c>
      <c r="S190" s="58" t="str">
        <f>IF(J190&lt;&gt;"",VLOOKUP(J190,'RESUMO DR'!$B$4:$E$253,3,FALSE),"-")</f>
        <v>ARAGUAINA</v>
      </c>
      <c r="T190" s="129"/>
      <c r="U190" s="129"/>
      <c r="V190" s="129"/>
      <c r="W190" s="128"/>
      <c r="X190" s="127"/>
      <c r="Y190" s="127"/>
      <c r="Z190" s="4"/>
    </row>
    <row r="191" spans="1:27" ht="18" customHeight="1">
      <c r="A191" s="5"/>
      <c r="B191" s="21">
        <v>45647</v>
      </c>
      <c r="C191" s="21" t="s">
        <v>311</v>
      </c>
      <c r="D191" s="74" t="str">
        <f t="shared" ref="D191" si="93">IF(B191="","-",TEXT(B191,"ddd"))</f>
        <v>sáb</v>
      </c>
      <c r="E191" s="169" t="str">
        <f>IF(K191&lt;&gt;"",VLOOKUP(K191,'Catálogo SAP'!$A$1:$F$245,2,FALSE),"-")</f>
        <v>-</v>
      </c>
      <c r="F191" s="225"/>
      <c r="G191" s="225"/>
      <c r="H191" s="226"/>
      <c r="I191" s="230"/>
      <c r="J191" s="162" t="str">
        <f t="shared" ref="J191" si="94">IF(AND(I191&gt;=0.001,I191&lt;=16),"AÇAILÂNDIA","")&amp;IF(AND(I191&gt;=16.001,I191&lt;=44),"S.F. BREJÃO","")&amp;IF(AND(I191&gt;=44.001,I191&lt;=78),"JOÃO LISBOA","")&amp;IF(AND(I191&gt;=78.001,I191&lt;=96.397),"IMPERATRIZ","")&amp;IF(AND(I191&gt;=96.398,I191&lt;=122.82),"EDSON LOBÃO","")&amp;IF(AND(I191&gt;=122.821,I191&lt;=152.303),"RIBAMAR FIQUENE","")&amp;IF(AND(I191&gt;=152.304,I191&lt;=172.403),"CAMPESTRE","")&amp;IF(AND(I191&gt;=172.404,I191&lt;=195),"PORTO FRANCO","")&amp;IF(AND(I191&gt;=300,I191&lt;=300),"SAO LUIS","")&amp;IF(AND(I191&gt;=385.4,I191&lt;=465.4),"Palmeirante","")&amp;IF(AND(I191&gt;=465.401,I191&lt;=520.455),"Tupiratins","")&amp;IF(AND(I191&gt;=520.456,I191&lt;=536.741),"Guaraí","")&amp;IF(AND(I191&gt;=536.742,I191&lt;=580.293),"Tupirama","")&amp;IF(AND(I191&gt;=580.294,I191&lt;=608.637),"Rio dos Bois","")&amp;IF(AND(I191&gt;=608.638,I191&lt;=698.981),"Miracema","")&amp;IF(AND(I191&gt;=698.982,I191&lt;=735.6),"Porto Nacional","")&amp;IF(AND(I191&gt;=195.1,I191&lt;=213.603),"ESTREITO","")&amp;IF(AND(I191&gt;=213.604,I191&lt;=218.976),"AGUIARNÓPOLIS","")&amp;IF(AND(I191&gt;=218.977,I191&lt;=253.5),"PALMEIRAS DO TOCANTINS","")&amp;IF(AND(I191&gt;=253.501,I191&lt;=274.15),"DARCINÓPOLIS","")&amp;IF(AND(I191&gt;=274.151,I191&lt;=299.999),"BABAÇULÂNDIA","")&amp;IF(AND(I191&gt;=356.62,I191&lt;=385.4),"ARAGUAÍNA","")&amp;IF(AND(I191&gt;=300.001,I191&lt;=356.619),"BABAÇULÂNDIA","")&amp;IF(AND(I191&gt;=900,I191&lt;=902),"ENG. VLI","")</f>
        <v/>
      </c>
      <c r="K191" s="16"/>
      <c r="L191" s="167" t="str">
        <f>IF(K191&lt;&gt;"",VLOOKUP(K191,'Catálogo SAP'!A:F,3,FALSE),"")</f>
        <v/>
      </c>
      <c r="M191" s="162" t="str">
        <f>IF(K191&lt;&gt;"",VLOOKUP(K191,'Catálogo SAP'!A:F,4,FALSE),"")</f>
        <v/>
      </c>
      <c r="N191" s="168" t="str">
        <f>IF(K191&lt;&gt;"",VLOOKUP(K191,'Catálogo SAP'!A:F,5,FALSE),"")</f>
        <v/>
      </c>
      <c r="O191" s="160"/>
      <c r="P191" s="70" t="str">
        <f t="shared" si="61"/>
        <v>-</v>
      </c>
      <c r="Q191" s="163" t="str">
        <f t="shared" si="92"/>
        <v>-</v>
      </c>
      <c r="R191" s="44" t="str">
        <f>IF(J191&lt;&gt;"",VLOOKUP(J191,'RESUMO DR'!$B$4:$E$253,4,FALSE),"-")</f>
        <v>-</v>
      </c>
      <c r="S191" s="58" t="str">
        <f>IF(J191&lt;&gt;"",VLOOKUP(J191,'RESUMO DR'!$B$4:$E$253,3,FALSE),"-")</f>
        <v>-</v>
      </c>
      <c r="T191" s="129"/>
      <c r="U191" s="129"/>
      <c r="V191" s="129"/>
      <c r="W191" s="128"/>
      <c r="X191" s="127"/>
      <c r="Y191" s="127"/>
      <c r="Z191" s="4"/>
    </row>
    <row r="192" spans="1:27" ht="18" customHeight="1">
      <c r="A192" s="5">
        <v>1495</v>
      </c>
      <c r="B192" s="21">
        <v>45647</v>
      </c>
      <c r="C192" s="21" t="s">
        <v>305</v>
      </c>
      <c r="D192" s="74" t="str">
        <f t="shared" si="31"/>
        <v>sáb</v>
      </c>
      <c r="E192" s="169">
        <f>IF(K192&lt;&gt;"",VLOOKUP(K192,'Catálogo SAP'!$A$1:$F$245,2,FALSE),"-")</f>
        <v>290</v>
      </c>
      <c r="F192" s="225">
        <v>190</v>
      </c>
      <c r="G192" s="225">
        <v>190</v>
      </c>
      <c r="H192" s="226"/>
      <c r="I192" s="230">
        <v>442</v>
      </c>
      <c r="J192" s="162" t="str">
        <f t="shared" si="32"/>
        <v>Palmeirante</v>
      </c>
      <c r="K192" s="16">
        <v>290</v>
      </c>
      <c r="L192" s="167" t="str">
        <f>IF(K192&lt;&gt;"",VLOOKUP(K192,'Catálogo SAP'!A:F,3,FALSE),"")</f>
        <v>S.VP-01454</v>
      </c>
      <c r="M192" s="162" t="str">
        <f>IF(K192&lt;&gt;"",VLOOKUP(K192,'Catálogo SAP'!A:F,4,FALSE),"")</f>
        <v>Hora Improdutiva Motoniveladora C/Operador</v>
      </c>
      <c r="N192" s="168" t="str">
        <f>IF(K192&lt;&gt;"",VLOOKUP(K192,'Catálogo SAP'!A:F,5,FALSE),"")</f>
        <v>H</v>
      </c>
      <c r="O192" s="160">
        <v>9</v>
      </c>
      <c r="P192" s="70">
        <f t="shared" si="61"/>
        <v>0</v>
      </c>
      <c r="Q192" s="163" t="e">
        <f t="shared" si="92"/>
        <v>#VALUE!</v>
      </c>
      <c r="R192" s="44" t="str">
        <f>IF(J192&lt;&gt;"",VLOOKUP(J192,'RESUMO DR'!$B$4:$E$253,4,FALSE),"-")</f>
        <v>T-02</v>
      </c>
      <c r="S192" s="58" t="str">
        <f>IF(J192&lt;&gt;"",VLOOKUP(J192,'RESUMO DR'!$B$4:$E$253,3,FALSE),"-")</f>
        <v>ARAGUAINA</v>
      </c>
      <c r="T192" s="129"/>
      <c r="U192" s="129"/>
      <c r="V192" s="129"/>
      <c r="W192" s="128"/>
      <c r="X192" s="127"/>
      <c r="Y192" s="127"/>
      <c r="Z192" s="4"/>
    </row>
    <row r="193" spans="1:27" ht="18" customHeight="1">
      <c r="A193" s="5"/>
      <c r="B193" s="21">
        <v>45647</v>
      </c>
      <c r="C193" s="21" t="s">
        <v>305</v>
      </c>
      <c r="D193" s="74" t="str">
        <f t="shared" si="31"/>
        <v>sáb</v>
      </c>
      <c r="E193" s="169" t="str">
        <f>IF(K193&lt;&gt;"",VLOOKUP(K193,'Catálogo SAP'!$A$1:$F$245,2,FALSE),"-")</f>
        <v>-</v>
      </c>
      <c r="F193" s="16"/>
      <c r="G193" s="16"/>
      <c r="H193" s="22"/>
      <c r="I193" s="133"/>
      <c r="J193" s="162" t="str">
        <f t="shared" si="32"/>
        <v/>
      </c>
      <c r="K193" s="16"/>
      <c r="L193" s="167" t="str">
        <f>IF(K193&lt;&gt;"",VLOOKUP(K193,'Catálogo SAP'!A:F,3,FALSE),"")</f>
        <v/>
      </c>
      <c r="M193" s="162" t="str">
        <f>IF(K193&lt;&gt;"",VLOOKUP(K193,'Catálogo SAP'!A:F,4,FALSE),"")</f>
        <v/>
      </c>
      <c r="N193" s="168" t="str">
        <f>IF(K193&lt;&gt;"",VLOOKUP(K193,'Catálogo SAP'!A:F,5,FALSE),"")</f>
        <v/>
      </c>
      <c r="O193" s="160"/>
      <c r="P193" s="70" t="str">
        <f t="shared" si="61"/>
        <v>-</v>
      </c>
      <c r="Q193" s="163" t="str">
        <f t="shared" si="92"/>
        <v>-</v>
      </c>
      <c r="R193" s="44" t="str">
        <f>IF(J193&lt;&gt;"",VLOOKUP(J193,'RESUMO DR'!$B$4:$E$253,4,FALSE),"-")</f>
        <v>-</v>
      </c>
      <c r="S193" s="58" t="str">
        <f>IF(J193&lt;&gt;"",VLOOKUP(J193,'RESUMO DR'!$B$4:$E$253,3,FALSE),"-")</f>
        <v>-</v>
      </c>
      <c r="T193" s="129"/>
      <c r="U193" s="129"/>
      <c r="V193" s="129"/>
      <c r="W193" s="128"/>
      <c r="X193" s="127"/>
      <c r="Y193" s="127"/>
      <c r="Z193" s="4"/>
    </row>
    <row r="194" spans="1:27" ht="18" customHeight="1">
      <c r="A194" s="5"/>
      <c r="B194" s="21">
        <v>45647</v>
      </c>
      <c r="C194" s="21" t="s">
        <v>309</v>
      </c>
      <c r="D194" s="74" t="str">
        <f t="shared" si="31"/>
        <v>sáb</v>
      </c>
      <c r="E194" s="169" t="str">
        <f>IF(K194&lt;&gt;"",VLOOKUP(K194,'Catálogo SAP'!$A$1:$F$245,2,FALSE),"-")</f>
        <v>-</v>
      </c>
      <c r="F194" s="225"/>
      <c r="G194" s="225"/>
      <c r="H194" s="226"/>
      <c r="I194" s="230"/>
      <c r="J194" s="162" t="str">
        <f t="shared" si="32"/>
        <v/>
      </c>
      <c r="K194" s="16"/>
      <c r="L194" s="167" t="str">
        <f>IF(K194&lt;&gt;"",VLOOKUP(K194,'Catálogo SAP'!A:F,3,FALSE),"")</f>
        <v/>
      </c>
      <c r="M194" s="162" t="str">
        <f>IF(K194&lt;&gt;"",VLOOKUP(K194,'Catálogo SAP'!A:F,4,FALSE),"")</f>
        <v/>
      </c>
      <c r="N194" s="168" t="str">
        <f>IF(K194&lt;&gt;"",VLOOKUP(K194,'Catálogo SAP'!A:F,5,FALSE),"")</f>
        <v/>
      </c>
      <c r="O194" s="160"/>
      <c r="P194" s="70" t="str">
        <f t="shared" si="61"/>
        <v>-</v>
      </c>
      <c r="Q194" s="163" t="str">
        <f t="shared" si="92"/>
        <v>-</v>
      </c>
      <c r="R194" s="44" t="str">
        <f>IF(J194&lt;&gt;"",VLOOKUP(J194,'RESUMO DR'!$B$4:$E$253,4,FALSE),"-")</f>
        <v>-</v>
      </c>
      <c r="S194" s="58" t="str">
        <f>IF(J194&lt;&gt;"",VLOOKUP(J194,'RESUMO DR'!$B$4:$E$253,3,FALSE),"-")</f>
        <v>-</v>
      </c>
      <c r="T194" s="129"/>
      <c r="U194" s="129"/>
      <c r="V194" s="129"/>
      <c r="W194" s="128"/>
      <c r="X194" s="127"/>
      <c r="Y194" s="127"/>
      <c r="Z194" s="4"/>
    </row>
    <row r="195" spans="1:27" ht="18" customHeight="1">
      <c r="A195" s="5"/>
      <c r="B195" s="21">
        <v>45647</v>
      </c>
      <c r="C195" s="21" t="s">
        <v>309</v>
      </c>
      <c r="D195" s="74" t="str">
        <f t="shared" si="31"/>
        <v>sáb</v>
      </c>
      <c r="E195" s="169" t="str">
        <f>IF(K195&lt;&gt;"",VLOOKUP(K195,'Catálogo SAP'!$A$1:$F$245,2,FALSE),"-")</f>
        <v>-</v>
      </c>
      <c r="F195" s="16"/>
      <c r="G195" s="16"/>
      <c r="H195" s="22"/>
      <c r="I195" s="133"/>
      <c r="J195" s="162" t="str">
        <f t="shared" si="32"/>
        <v/>
      </c>
      <c r="K195" s="16"/>
      <c r="L195" s="167" t="str">
        <f>IF(K195&lt;&gt;"",VLOOKUP(K195,'Catálogo SAP'!A:F,3,FALSE),"")</f>
        <v/>
      </c>
      <c r="M195" s="162" t="str">
        <f>IF(K195&lt;&gt;"",VLOOKUP(K195,'Catálogo SAP'!A:F,4,FALSE),"")</f>
        <v/>
      </c>
      <c r="N195" s="168" t="str">
        <f>IF(K195&lt;&gt;"",VLOOKUP(K195,'Catálogo SAP'!A:F,5,FALSE),"")</f>
        <v/>
      </c>
      <c r="O195" s="160"/>
      <c r="P195" s="70" t="str">
        <f t="shared" si="61"/>
        <v>-</v>
      </c>
      <c r="Q195" s="163" t="str">
        <f t="shared" si="92"/>
        <v>-</v>
      </c>
      <c r="R195" s="44" t="str">
        <f>IF(J195&lt;&gt;"",VLOOKUP(J195,'RESUMO DR'!$B$4:$E$253,4,FALSE),"-")</f>
        <v>-</v>
      </c>
      <c r="S195" s="58" t="str">
        <f>IF(J195&lt;&gt;"",VLOOKUP(J195,'RESUMO DR'!$B$4:$E$253,3,FALSE),"-")</f>
        <v>-</v>
      </c>
      <c r="T195" s="129"/>
      <c r="U195" s="129"/>
      <c r="V195" s="129"/>
      <c r="W195" s="128"/>
      <c r="X195" s="127"/>
      <c r="Y195" s="127"/>
      <c r="Z195" s="4"/>
    </row>
    <row r="196" spans="1:27" ht="18" customHeight="1">
      <c r="A196" s="5"/>
      <c r="B196" s="21">
        <v>45647</v>
      </c>
      <c r="C196" s="21" t="s">
        <v>134</v>
      </c>
      <c r="D196" s="74" t="str">
        <f t="shared" si="31"/>
        <v>sáb</v>
      </c>
      <c r="E196" s="169" t="str">
        <f>IF(K196&lt;&gt;"",VLOOKUP(K196,'Catálogo SAP'!$A$1:$F$245,2,FALSE),"-")</f>
        <v>-</v>
      </c>
      <c r="F196" s="225"/>
      <c r="G196" s="225"/>
      <c r="H196" s="226"/>
      <c r="I196" s="230"/>
      <c r="J196" s="162" t="str">
        <f t="shared" si="32"/>
        <v/>
      </c>
      <c r="K196" s="16"/>
      <c r="L196" s="167" t="str">
        <f>IF(K196&lt;&gt;"",VLOOKUP(K196,'Catálogo SAP'!A:F,3,FALSE),"")</f>
        <v/>
      </c>
      <c r="M196" s="162" t="str">
        <f>IF(K196&lt;&gt;"",VLOOKUP(K196,'Catálogo SAP'!A:F,4,FALSE),"")</f>
        <v/>
      </c>
      <c r="N196" s="168" t="str">
        <f>IF(K196&lt;&gt;"",VLOOKUP(K196,'Catálogo SAP'!A:F,5,FALSE),"")</f>
        <v/>
      </c>
      <c r="O196" s="160"/>
      <c r="P196" s="70" t="str">
        <f t="shared" si="61"/>
        <v>-</v>
      </c>
      <c r="Q196" s="163" t="str">
        <f t="shared" si="92"/>
        <v>-</v>
      </c>
      <c r="R196" s="44" t="str">
        <f>IF(J196&lt;&gt;"",VLOOKUP(J196,'RESUMO DR'!$B$4:$E$253,4,FALSE),"-")</f>
        <v>-</v>
      </c>
      <c r="S196" s="58" t="str">
        <f>IF(J196&lt;&gt;"",VLOOKUP(J196,'RESUMO DR'!$B$4:$E$253,3,FALSE),"-")</f>
        <v>-</v>
      </c>
      <c r="T196" s="129"/>
      <c r="U196" s="129"/>
      <c r="V196" s="129"/>
      <c r="W196" s="128"/>
      <c r="X196" s="127"/>
      <c r="Y196" s="127"/>
      <c r="Z196" s="4"/>
    </row>
    <row r="197" spans="1:27" ht="18" customHeight="1">
      <c r="A197" s="5"/>
      <c r="B197" s="21">
        <v>45647</v>
      </c>
      <c r="C197" s="21" t="s">
        <v>134</v>
      </c>
      <c r="D197" s="74" t="str">
        <f t="shared" si="31"/>
        <v>sáb</v>
      </c>
      <c r="E197" s="169" t="str">
        <f>IF(K197&lt;&gt;"",VLOOKUP(K197,'Catálogo SAP'!$A$1:$F$245,2,FALSE),"-")</f>
        <v>-</v>
      </c>
      <c r="F197" s="225"/>
      <c r="G197" s="225"/>
      <c r="H197" s="226"/>
      <c r="I197" s="230"/>
      <c r="J197" s="162" t="str">
        <f t="shared" si="32"/>
        <v/>
      </c>
      <c r="K197" s="16"/>
      <c r="L197" s="167" t="str">
        <f>IF(K197&lt;&gt;"",VLOOKUP(K197,'Catálogo SAP'!A:F,3,FALSE),"")</f>
        <v/>
      </c>
      <c r="M197" s="162" t="str">
        <f>IF(K197&lt;&gt;"",VLOOKUP(K197,'Catálogo SAP'!A:F,4,FALSE),"")</f>
        <v/>
      </c>
      <c r="N197" s="168" t="str">
        <f>IF(K197&lt;&gt;"",VLOOKUP(K197,'Catálogo SAP'!A:F,5,FALSE),"")</f>
        <v/>
      </c>
      <c r="O197" s="160"/>
      <c r="P197" s="70" t="str">
        <f t="shared" si="61"/>
        <v>-</v>
      </c>
      <c r="Q197" s="163" t="str">
        <f t="shared" si="92"/>
        <v>-</v>
      </c>
      <c r="R197" s="44" t="str">
        <f>IF(J197&lt;&gt;"",VLOOKUP(J197,'RESUMO DR'!$B$4:$E$253,4,FALSE),"-")</f>
        <v>-</v>
      </c>
      <c r="S197" s="58" t="str">
        <f>IF(J197&lt;&gt;"",VLOOKUP(J197,'RESUMO DR'!$B$4:$E$253,3,FALSE),"-")</f>
        <v>-</v>
      </c>
      <c r="T197" s="129"/>
      <c r="U197" s="129"/>
      <c r="V197" s="129"/>
      <c r="W197" s="128"/>
      <c r="X197" s="127"/>
      <c r="Y197" s="127"/>
      <c r="Z197" s="4"/>
    </row>
    <row r="198" spans="1:27" ht="18" customHeight="1">
      <c r="A198" s="5"/>
      <c r="B198" s="21">
        <v>45647</v>
      </c>
      <c r="C198" s="21" t="s">
        <v>135</v>
      </c>
      <c r="D198" s="74" t="str">
        <f t="shared" ref="D198:D200" si="95">IF(B198="","-",TEXT(B198,"ddd"))</f>
        <v>sáb</v>
      </c>
      <c r="E198" s="169" t="str">
        <f>IF(K198&lt;&gt;"",VLOOKUP(K198,'Catálogo SAP'!$A$1:$F$245,2,FALSE),"-")</f>
        <v>-</v>
      </c>
      <c r="F198" s="16"/>
      <c r="G198" s="16"/>
      <c r="H198" s="22"/>
      <c r="I198" s="133"/>
      <c r="J198" s="162" t="str">
        <f t="shared" ref="J198:J200" si="96">IF(AND(I198&gt;=0.001,I198&lt;=16),"AÇAILÂNDIA","")&amp;IF(AND(I198&gt;=16.001,I198&lt;=44),"S.F. BREJÃO","")&amp;IF(AND(I198&gt;=44.001,I198&lt;=78),"JOÃO LISBOA","")&amp;IF(AND(I198&gt;=78.001,I198&lt;=96.397),"IMPERATRIZ","")&amp;IF(AND(I198&gt;=96.398,I198&lt;=122.82),"EDSON LOBÃO","")&amp;IF(AND(I198&gt;=122.821,I198&lt;=152.303),"RIBAMAR FIQUENE","")&amp;IF(AND(I198&gt;=152.304,I198&lt;=172.403),"CAMPESTRE","")&amp;IF(AND(I198&gt;=172.404,I198&lt;=195),"PORTO FRANCO","")&amp;IF(AND(I198&gt;=300,I198&lt;=300),"SAO LUIS","")&amp;IF(AND(I198&gt;=385.4,I198&lt;=465.4),"Palmeirante","")&amp;IF(AND(I198&gt;=465.401,I198&lt;=520.455),"Tupiratins","")&amp;IF(AND(I198&gt;=520.456,I198&lt;=536.741),"Guaraí","")&amp;IF(AND(I198&gt;=536.742,I198&lt;=580.293),"Tupirama","")&amp;IF(AND(I198&gt;=580.294,I198&lt;=608.637),"Rio dos Bois","")&amp;IF(AND(I198&gt;=608.638,I198&lt;=698.981),"Miracema","")&amp;IF(AND(I198&gt;=698.982,I198&lt;=735.6),"Porto Nacional","")&amp;IF(AND(I198&gt;=195.1,I198&lt;=213.603),"ESTREITO","")&amp;IF(AND(I198&gt;=213.604,I198&lt;=218.976),"AGUIARNÓPOLIS","")&amp;IF(AND(I198&gt;=218.977,I198&lt;=253.5),"PALMEIRAS DO TOCANTINS","")&amp;IF(AND(I198&gt;=253.501,I198&lt;=274.15),"DARCINÓPOLIS","")&amp;IF(AND(I198&gt;=274.151,I198&lt;=299.999),"BABAÇULÂNDIA","")&amp;IF(AND(I198&gt;=356.62,I198&lt;=385.4),"ARAGUAÍNA","")&amp;IF(AND(I198&gt;=300.001,I198&lt;=356.619),"BABAÇULÂNDIA","")&amp;IF(AND(I198&gt;=900,I198&lt;=902),"ENG. VLI","")</f>
        <v/>
      </c>
      <c r="K198" s="16"/>
      <c r="L198" s="167" t="str">
        <f>IF(K198&lt;&gt;"",VLOOKUP(K198,'Catálogo SAP'!A:F,3,FALSE),"")</f>
        <v/>
      </c>
      <c r="M198" s="162" t="str">
        <f>IF(K198&lt;&gt;"",VLOOKUP(K198,'Catálogo SAP'!A:F,4,FALSE),"")</f>
        <v/>
      </c>
      <c r="N198" s="168" t="str">
        <f>IF(K198&lt;&gt;"",VLOOKUP(K198,'Catálogo SAP'!A:F,5,FALSE),"")</f>
        <v/>
      </c>
      <c r="O198" s="160"/>
      <c r="P198" s="70" t="str">
        <f t="shared" ref="P198:P261" si="97">IF(G198="","-",G198-F198)</f>
        <v>-</v>
      </c>
      <c r="Q198" s="163" t="str">
        <f t="shared" si="92"/>
        <v>-</v>
      </c>
      <c r="R198" s="44" t="str">
        <f>IF(J198&lt;&gt;"",VLOOKUP(J198,'RESUMO DR'!$B$4:$E$253,4,FALSE),"-")</f>
        <v>-</v>
      </c>
      <c r="S198" s="58" t="str">
        <f>IF(J198&lt;&gt;"",VLOOKUP(J198,'RESUMO DR'!$B$4:$E$253,3,FALSE),"-")</f>
        <v>-</v>
      </c>
      <c r="T198" s="129"/>
      <c r="U198" s="129"/>
      <c r="V198" s="129"/>
      <c r="W198" s="128"/>
      <c r="X198" s="127"/>
      <c r="Y198" s="127"/>
      <c r="Z198" s="4"/>
    </row>
    <row r="199" spans="1:27" ht="18" customHeight="1">
      <c r="A199" s="5">
        <v>1955</v>
      </c>
      <c r="B199" s="21">
        <v>45647</v>
      </c>
      <c r="C199" s="21" t="s">
        <v>306</v>
      </c>
      <c r="D199" s="74" t="str">
        <f t="shared" si="95"/>
        <v>sáb</v>
      </c>
      <c r="E199" s="169">
        <f>IF(K199&lt;&gt;"",VLOOKUP(K199,'Catálogo SAP'!$A$1:$F$245,2,FALSE),"-")</f>
        <v>280</v>
      </c>
      <c r="F199" s="225">
        <v>275</v>
      </c>
      <c r="G199" s="225">
        <v>284</v>
      </c>
      <c r="H199" s="226"/>
      <c r="I199" s="230">
        <v>578</v>
      </c>
      <c r="J199" s="162" t="str">
        <f t="shared" si="96"/>
        <v>Tupirama</v>
      </c>
      <c r="K199" s="16">
        <v>280</v>
      </c>
      <c r="L199" s="167" t="str">
        <f>IF(K199&lt;&gt;"",VLOOKUP(K199,'Catálogo SAP'!A:F,3,FALSE),"")</f>
        <v>S.VP-01453</v>
      </c>
      <c r="M199" s="162" t="str">
        <f>IF(K199&lt;&gt;"",VLOOKUP(K199,'Catálogo SAP'!A:F,4,FALSE),"")</f>
        <v>Hora Produtiva Motoniveladora C/Operador</v>
      </c>
      <c r="N199" s="168" t="str">
        <f>IF(K199&lt;&gt;"",VLOOKUP(K199,'Catálogo SAP'!A:F,5,FALSE),"")</f>
        <v>H</v>
      </c>
      <c r="O199" s="160">
        <v>9</v>
      </c>
      <c r="P199" s="70">
        <f t="shared" si="97"/>
        <v>9</v>
      </c>
      <c r="Q199" s="163" t="e">
        <f t="shared" si="92"/>
        <v>#VALUE!</v>
      </c>
      <c r="R199" s="44" t="str">
        <f>IF(J199&lt;&gt;"",VLOOKUP(J199,'RESUMO DR'!$B$4:$E$253,4,FALSE),"-")</f>
        <v>T-03</v>
      </c>
      <c r="S199" s="58" t="str">
        <f>IF(J199&lt;&gt;"",VLOOKUP(J199,'RESUMO DR'!$B$4:$E$253,3,FALSE),"-")</f>
        <v>PALMAS</v>
      </c>
      <c r="T199" s="129"/>
      <c r="U199" s="129"/>
      <c r="V199" s="129"/>
      <c r="W199" s="128"/>
      <c r="X199" s="127"/>
      <c r="Y199" s="127"/>
      <c r="Z199" s="4"/>
    </row>
    <row r="200" spans="1:27" ht="13.8">
      <c r="A200" s="5"/>
      <c r="B200" s="21">
        <v>45647</v>
      </c>
      <c r="C200" s="21" t="s">
        <v>306</v>
      </c>
      <c r="D200" s="74" t="str">
        <f t="shared" si="95"/>
        <v>sáb</v>
      </c>
      <c r="E200" s="169" t="str">
        <f>IF(K200&lt;&gt;"",VLOOKUP(K200,'Catálogo SAP'!$A$1:$F$245,2,FALSE),"-")</f>
        <v>-</v>
      </c>
      <c r="F200" s="16"/>
      <c r="G200" s="16"/>
      <c r="H200" s="22"/>
      <c r="I200" s="133"/>
      <c r="J200" s="162" t="str">
        <f t="shared" si="96"/>
        <v/>
      </c>
      <c r="K200" s="16"/>
      <c r="L200" s="167" t="str">
        <f>IF(K200&lt;&gt;"",VLOOKUP(K200,'Catálogo SAP'!A:F,3,FALSE),"")</f>
        <v/>
      </c>
      <c r="M200" s="162" t="str">
        <f>IF(K200&lt;&gt;"",VLOOKUP(K200,'Catálogo SAP'!A:F,4,FALSE),"")</f>
        <v/>
      </c>
      <c r="N200" s="168" t="str">
        <f>IF(K200&lt;&gt;"",VLOOKUP(K200,'Catálogo SAP'!A:F,5,FALSE),"")</f>
        <v/>
      </c>
      <c r="O200" s="160"/>
      <c r="P200" s="70" t="str">
        <f t="shared" si="97"/>
        <v>-</v>
      </c>
      <c r="Q200" s="163" t="str">
        <f t="shared" si="92"/>
        <v>-</v>
      </c>
      <c r="R200" s="44" t="str">
        <f>IF(J200&lt;&gt;"",VLOOKUP(J200,'RESUMO DR'!$B$4:$E$253,4,FALSE),"-")</f>
        <v>-</v>
      </c>
      <c r="S200" s="58" t="str">
        <f>IF(J200&lt;&gt;"",VLOOKUP(J200,'RESUMO DR'!$B$4:$E$253,3,FALSE),"-")</f>
        <v>-</v>
      </c>
      <c r="T200" s="129"/>
      <c r="U200" s="129"/>
      <c r="V200" s="129"/>
      <c r="W200" s="128"/>
      <c r="X200" s="127"/>
      <c r="Y200" s="127"/>
      <c r="Z200" s="4"/>
      <c r="AA200" s="38">
        <f>245*8.89</f>
        <v>2178.0500000000002</v>
      </c>
    </row>
    <row r="201" spans="1:27" ht="18" customHeight="1">
      <c r="A201" s="5"/>
      <c r="B201" s="21">
        <v>45647</v>
      </c>
      <c r="C201" s="21" t="s">
        <v>137</v>
      </c>
      <c r="D201" s="74" t="str">
        <f t="shared" si="31"/>
        <v>sáb</v>
      </c>
      <c r="E201" s="169" t="str">
        <f>IF(K201&lt;&gt;"",VLOOKUP(K201,'Catálogo SAP'!$A$1:$F$245,2,FALSE),"-")</f>
        <v>-</v>
      </c>
      <c r="F201" s="225"/>
      <c r="G201" s="225"/>
      <c r="H201" s="226"/>
      <c r="I201" s="230"/>
      <c r="J201" s="162" t="str">
        <f t="shared" si="32"/>
        <v/>
      </c>
      <c r="K201" s="16"/>
      <c r="L201" s="167" t="str">
        <f>IF(K201&lt;&gt;"",VLOOKUP(K201,'Catálogo SAP'!A:F,3,FALSE),"")</f>
        <v/>
      </c>
      <c r="M201" s="162" t="str">
        <f>IF(K201&lt;&gt;"",VLOOKUP(K201,'Catálogo SAP'!A:F,4,FALSE),"")</f>
        <v/>
      </c>
      <c r="N201" s="168" t="str">
        <f>IF(K201&lt;&gt;"",VLOOKUP(K201,'Catálogo SAP'!A:F,5,FALSE),"")</f>
        <v/>
      </c>
      <c r="O201" s="160"/>
      <c r="P201" s="70" t="str">
        <f t="shared" si="97"/>
        <v>-</v>
      </c>
      <c r="Q201" s="163" t="str">
        <f t="shared" si="92"/>
        <v>-</v>
      </c>
      <c r="R201" s="44" t="str">
        <f>IF(J201&lt;&gt;"",VLOOKUP(J201,'RESUMO DR'!$B$4:$E$253,4,FALSE),"-")</f>
        <v>-</v>
      </c>
      <c r="S201" s="58" t="str">
        <f>IF(J201&lt;&gt;"",VLOOKUP(J201,'RESUMO DR'!$B$4:$E$253,3,FALSE),"-")</f>
        <v>-</v>
      </c>
      <c r="T201" s="129"/>
      <c r="U201" s="129"/>
      <c r="V201" s="129"/>
      <c r="W201" s="128"/>
      <c r="X201" s="127"/>
      <c r="Y201" s="127"/>
      <c r="Z201" s="4"/>
    </row>
    <row r="202" spans="1:27" ht="18" customHeight="1">
      <c r="A202" s="5"/>
      <c r="B202" s="21">
        <v>45647</v>
      </c>
      <c r="C202" s="21" t="s">
        <v>137</v>
      </c>
      <c r="D202" s="74" t="str">
        <f t="shared" ref="D202" si="98">IF(B202="","-",TEXT(B202,"ddd"))</f>
        <v>sáb</v>
      </c>
      <c r="E202" s="169" t="str">
        <f>IF(K202&lt;&gt;"",VLOOKUP(K202,'Catálogo SAP'!$A$1:$F$245,2,FALSE),"-")</f>
        <v>-</v>
      </c>
      <c r="F202" s="225"/>
      <c r="G202" s="225"/>
      <c r="H202" s="226"/>
      <c r="I202" s="230"/>
      <c r="J202" s="162" t="str">
        <f t="shared" si="32"/>
        <v/>
      </c>
      <c r="K202" s="16"/>
      <c r="L202" s="167" t="str">
        <f>IF(K202&lt;&gt;"",VLOOKUP(K202,'Catálogo SAP'!A:F,3,FALSE),"")</f>
        <v/>
      </c>
      <c r="M202" s="162" t="str">
        <f>IF(K202&lt;&gt;"",VLOOKUP(K202,'Catálogo SAP'!A:F,4,FALSE),"")</f>
        <v/>
      </c>
      <c r="N202" s="168" t="str">
        <f>IF(K202&lt;&gt;"",VLOOKUP(K202,'Catálogo SAP'!A:F,5,FALSE),"")</f>
        <v/>
      </c>
      <c r="O202" s="160"/>
      <c r="P202" s="70" t="str">
        <f t="shared" si="97"/>
        <v>-</v>
      </c>
      <c r="Q202" s="163" t="str">
        <f t="shared" si="92"/>
        <v>-</v>
      </c>
      <c r="R202" s="44" t="str">
        <f>IF(J202&lt;&gt;"",VLOOKUP(J202,'RESUMO DR'!$B$4:$E$253,4,FALSE),"-")</f>
        <v>-</v>
      </c>
      <c r="S202" s="58" t="str">
        <f>IF(J202&lt;&gt;"",VLOOKUP(J202,'RESUMO DR'!$B$4:$E$253,3,FALSE),"-")</f>
        <v>-</v>
      </c>
      <c r="T202" s="129"/>
      <c r="U202" s="129"/>
      <c r="V202" s="129"/>
      <c r="W202" s="128"/>
      <c r="X202" s="127"/>
      <c r="Y202" s="127"/>
      <c r="Z202" s="4"/>
    </row>
    <row r="203" spans="1:27" ht="18" customHeight="1">
      <c r="A203" s="5">
        <v>1489</v>
      </c>
      <c r="B203" s="21">
        <v>45647</v>
      </c>
      <c r="C203" s="21" t="s">
        <v>307</v>
      </c>
      <c r="D203" s="74" t="str">
        <f t="shared" si="31"/>
        <v>sáb</v>
      </c>
      <c r="E203" s="169">
        <f>IF(K203&lt;&gt;"",VLOOKUP(K203,'Catálogo SAP'!$A$1:$F$245,2,FALSE),"-")</f>
        <v>200</v>
      </c>
      <c r="F203" s="225">
        <v>64472</v>
      </c>
      <c r="G203" s="225">
        <v>64872</v>
      </c>
      <c r="H203" s="226"/>
      <c r="I203" s="230">
        <v>125</v>
      </c>
      <c r="J203" s="162" t="str">
        <f t="shared" si="32"/>
        <v>RIBAMAR FIQUENE</v>
      </c>
      <c r="K203" s="16">
        <v>200</v>
      </c>
      <c r="L203" s="167" t="str">
        <f>IF(K203&lt;&gt;"",VLOOKUP(K203,'Catálogo SAP'!A:F,3,FALSE),"")</f>
        <v>S.VP-01445</v>
      </c>
      <c r="M203" s="162" t="str">
        <f>IF(K203&lt;&gt;"",VLOOKUP(K203,'Catálogo SAP'!A:F,4,FALSE),"")</f>
        <v>Km Rodado Caminhão Basculante - C/Motorista</v>
      </c>
      <c r="N203" s="168" t="str">
        <f>IF(K203&lt;&gt;"",VLOOKUP(K203,'Catálogo SAP'!A:F,5,FALSE),"")</f>
        <v>KM</v>
      </c>
      <c r="O203" s="160">
        <v>400</v>
      </c>
      <c r="P203" s="70">
        <f t="shared" si="97"/>
        <v>400</v>
      </c>
      <c r="Q203" s="163" t="e">
        <f t="shared" si="92"/>
        <v>#VALUE!</v>
      </c>
      <c r="R203" s="44" t="str">
        <f>IF(J203&lt;&gt;"",VLOOKUP(J203,'RESUMO DR'!$B$4:$E$253,4,FALSE),"-")</f>
        <v>T-01</v>
      </c>
      <c r="S203" s="58" t="str">
        <f>IF(J203&lt;&gt;"",VLOOKUP(J203,'RESUMO DR'!$B$4:$E$253,3,FALSE),"-")</f>
        <v>IMPERATRIZ</v>
      </c>
      <c r="T203" s="129"/>
      <c r="U203" s="129"/>
      <c r="V203" s="129"/>
      <c r="W203" s="128"/>
      <c r="X203" s="127"/>
      <c r="Y203" s="127"/>
      <c r="Z203" s="4"/>
    </row>
    <row r="204" spans="1:27" ht="18" customHeight="1">
      <c r="A204" s="5">
        <v>1489</v>
      </c>
      <c r="B204" s="21">
        <v>45647</v>
      </c>
      <c r="C204" s="21" t="s">
        <v>308</v>
      </c>
      <c r="D204" s="74" t="str">
        <f t="shared" ref="D204" si="99">IF(B204="","-",TEXT(B204,"ddd"))</f>
        <v>sáb</v>
      </c>
      <c r="E204" s="169">
        <f>IF(K204&lt;&gt;"",VLOOKUP(K204,'Catálogo SAP'!$A$1:$F$245,2,FALSE),"-")</f>
        <v>200</v>
      </c>
      <c r="F204" s="225">
        <v>64490</v>
      </c>
      <c r="G204" s="225">
        <v>64805</v>
      </c>
      <c r="H204" s="226"/>
      <c r="I204" s="230">
        <v>125</v>
      </c>
      <c r="J204" s="162" t="str">
        <f t="shared" ref="J204:J210" si="100">IF(AND(I204&gt;=0.001,I204&lt;=16),"AÇAILÂNDIA","")&amp;IF(AND(I204&gt;=16.001,I204&lt;=44),"S.F. BREJÃO","")&amp;IF(AND(I204&gt;=44.001,I204&lt;=78),"JOÃO LISBOA","")&amp;IF(AND(I204&gt;=78.001,I204&lt;=96.397),"IMPERATRIZ","")&amp;IF(AND(I204&gt;=96.398,I204&lt;=122.82),"EDSON LOBÃO","")&amp;IF(AND(I204&gt;=122.821,I204&lt;=152.303),"RIBAMAR FIQUENE","")&amp;IF(AND(I204&gt;=152.304,I204&lt;=172.403),"CAMPESTRE","")&amp;IF(AND(I204&gt;=172.404,I204&lt;=195),"PORTO FRANCO","")&amp;IF(AND(I204&gt;=300,I204&lt;=300),"SAO LUIS","")&amp;IF(AND(I204&gt;=385.4,I204&lt;=465.4),"Palmeirante","")&amp;IF(AND(I204&gt;=465.401,I204&lt;=520.455),"Tupiratins","")&amp;IF(AND(I204&gt;=520.456,I204&lt;=536.741),"Guaraí","")&amp;IF(AND(I204&gt;=536.742,I204&lt;=580.293),"Tupirama","")&amp;IF(AND(I204&gt;=580.294,I204&lt;=608.637),"Rio dos Bois","")&amp;IF(AND(I204&gt;=608.638,I204&lt;=698.981),"Miracema","")&amp;IF(AND(I204&gt;=698.982,I204&lt;=735.6),"Porto Nacional","")&amp;IF(AND(I204&gt;=195.1,I204&lt;=213.603),"ESTREITO","")&amp;IF(AND(I204&gt;=213.604,I204&lt;=218.976),"AGUIARNÓPOLIS","")&amp;IF(AND(I204&gt;=218.977,I204&lt;=253.5),"PALMEIRAS DO TOCANTINS","")&amp;IF(AND(I204&gt;=253.501,I204&lt;=274.15),"DARCINÓPOLIS","")&amp;IF(AND(I204&gt;=274.151,I204&lt;=299.999),"BABAÇULÂNDIA","")&amp;IF(AND(I204&gt;=356.62,I204&lt;=385.4),"ARAGUAÍNA","")&amp;IF(AND(I204&gt;=300.001,I204&lt;=356.619),"BABAÇULÂNDIA","")&amp;IF(AND(I204&gt;=900,I204&lt;=902),"ENG. VLI","")</f>
        <v>RIBAMAR FIQUENE</v>
      </c>
      <c r="K204" s="16">
        <v>200</v>
      </c>
      <c r="L204" s="167" t="str">
        <f>IF(K204&lt;&gt;"",VLOOKUP(K204,'Catálogo SAP'!A:F,3,FALSE),"")</f>
        <v>S.VP-01445</v>
      </c>
      <c r="M204" s="162" t="str">
        <f>IF(K204&lt;&gt;"",VLOOKUP(K204,'Catálogo SAP'!A:F,4,FALSE),"")</f>
        <v>Km Rodado Caminhão Basculante - C/Motorista</v>
      </c>
      <c r="N204" s="168" t="str">
        <f>IF(K204&lt;&gt;"",VLOOKUP(K204,'Catálogo SAP'!A:F,5,FALSE),"")</f>
        <v>KM</v>
      </c>
      <c r="O204" s="160">
        <v>315</v>
      </c>
      <c r="P204" s="70">
        <f t="shared" si="97"/>
        <v>315</v>
      </c>
      <c r="Q204" s="163" t="e">
        <f t="shared" si="92"/>
        <v>#VALUE!</v>
      </c>
      <c r="R204" s="44" t="str">
        <f>IF(J204&lt;&gt;"",VLOOKUP(J204,'RESUMO DR'!$B$4:$E$253,4,FALSE),"-")</f>
        <v>T-01</v>
      </c>
      <c r="S204" s="58" t="str">
        <f>IF(J204&lt;&gt;"",VLOOKUP(J204,'RESUMO DR'!$B$4:$E$253,3,FALSE),"-")</f>
        <v>IMPERATRIZ</v>
      </c>
      <c r="T204" s="129"/>
      <c r="U204" s="129"/>
      <c r="V204" s="129"/>
      <c r="W204" s="128"/>
      <c r="X204" s="127"/>
      <c r="Y204" s="127"/>
      <c r="Z204" s="4"/>
    </row>
    <row r="205" spans="1:27" ht="18" customHeight="1">
      <c r="A205" s="5"/>
      <c r="B205" s="21"/>
      <c r="C205" s="21"/>
      <c r="D205" s="74" t="str">
        <f t="shared" si="31"/>
        <v>-</v>
      </c>
      <c r="E205" s="169" t="str">
        <f>IF(K205&lt;&gt;"",VLOOKUP(K205,'Catálogo SAP'!$A$1:$F$245,2,FALSE),"-")</f>
        <v>-</v>
      </c>
      <c r="F205" s="16"/>
      <c r="G205" s="16"/>
      <c r="H205" s="22"/>
      <c r="I205" s="133"/>
      <c r="J205" s="162" t="str">
        <f t="shared" si="32"/>
        <v/>
      </c>
      <c r="K205" s="16"/>
      <c r="L205" s="167" t="str">
        <f>IF(K205&lt;&gt;"",VLOOKUP(K205,'Catálogo SAP'!A:F,3,FALSE),"")</f>
        <v/>
      </c>
      <c r="M205" s="162" t="str">
        <f>IF(K205&lt;&gt;"",VLOOKUP(K205,'Catálogo SAP'!A:F,4,FALSE),"")</f>
        <v/>
      </c>
      <c r="N205" s="168" t="str">
        <f>IF(K205&lt;&gt;"",VLOOKUP(K205,'Catálogo SAP'!A:F,5,FALSE),"")</f>
        <v/>
      </c>
      <c r="O205" s="160"/>
      <c r="P205" s="70" t="str">
        <f t="shared" si="97"/>
        <v>-</v>
      </c>
      <c r="Q205" s="163" t="str">
        <f t="shared" si="92"/>
        <v>-</v>
      </c>
      <c r="R205" s="44" t="str">
        <f>IF(J205&lt;&gt;"",VLOOKUP(J205,'RESUMO DR'!$B$4:$E$253,4,FALSE),"-")</f>
        <v>-</v>
      </c>
      <c r="S205" s="58" t="str">
        <f>IF(J205&lt;&gt;"",VLOOKUP(J205,'RESUMO DR'!$B$4:$E$253,3,FALSE),"-")</f>
        <v>-</v>
      </c>
      <c r="T205" s="129"/>
      <c r="U205" s="129"/>
      <c r="V205" s="129"/>
      <c r="W205" s="128"/>
      <c r="X205" s="127"/>
      <c r="Y205" s="127"/>
      <c r="Z205" s="4"/>
    </row>
    <row r="206" spans="1:27" ht="18" customHeight="1">
      <c r="A206" s="5">
        <v>1557</v>
      </c>
      <c r="B206" s="21">
        <v>45649</v>
      </c>
      <c r="C206" s="21" t="s">
        <v>121</v>
      </c>
      <c r="D206" s="74" t="str">
        <f t="shared" si="31"/>
        <v>seg</v>
      </c>
      <c r="E206" s="169">
        <f>IF(K206&lt;&gt;"",VLOOKUP(K206,'Catálogo SAP'!$A$1:$F$245,2,FALSE),"-")</f>
        <v>120</v>
      </c>
      <c r="F206" s="16">
        <v>8686</v>
      </c>
      <c r="G206" s="16">
        <v>8692</v>
      </c>
      <c r="H206" s="22"/>
      <c r="I206" s="133">
        <v>300</v>
      </c>
      <c r="J206" s="162" t="str">
        <f t="shared" si="100"/>
        <v>SAO LUIS</v>
      </c>
      <c r="K206" s="16">
        <v>120</v>
      </c>
      <c r="L206" s="167" t="str">
        <f>IF(K206&lt;&gt;"",VLOOKUP(K206,'Catálogo SAP'!A:F,3,FALSE),"")</f>
        <v>S.VP-01437</v>
      </c>
      <c r="M206" s="162" t="str">
        <f>IF(K206&lt;&gt;"",VLOOKUP(K206,'Catálogo SAP'!A:F,4,FALSE),"")</f>
        <v>Hr Produtiva Retroescavadeira C/Operador</v>
      </c>
      <c r="N206" s="168" t="str">
        <f>IF(K206&lt;&gt;"",VLOOKUP(K206,'Catálogo SAP'!A:F,5,FALSE),"")</f>
        <v>H</v>
      </c>
      <c r="O206" s="160">
        <v>6</v>
      </c>
      <c r="P206" s="70">
        <f t="shared" si="97"/>
        <v>6</v>
      </c>
      <c r="Q206" s="163" t="e">
        <f t="shared" ref="Q206" si="101">IF(K206="","-",N206*O206)</f>
        <v>#VALUE!</v>
      </c>
      <c r="R206" s="44" t="str">
        <f>IF(J206&lt;&gt;"",VLOOKUP(J206,'RESUMO DR'!$B$4:$E$253,4,FALSE),"-")</f>
        <v>T-02</v>
      </c>
      <c r="S206" s="58" t="str">
        <f>IF(J206&lt;&gt;"",VLOOKUP(J206,'RESUMO DR'!$B$4:$E$253,3,FALSE),"-")</f>
        <v>ARAGUAINA</v>
      </c>
      <c r="T206" s="129"/>
      <c r="U206" s="129"/>
      <c r="V206" s="129"/>
      <c r="W206" s="128"/>
      <c r="X206" s="127"/>
      <c r="Y206" s="127"/>
      <c r="Z206" s="4"/>
    </row>
    <row r="207" spans="1:27" ht="18" customHeight="1">
      <c r="A207" s="5">
        <v>1557</v>
      </c>
      <c r="B207" s="21">
        <v>45649</v>
      </c>
      <c r="C207" s="21" t="s">
        <v>121</v>
      </c>
      <c r="D207" s="74" t="str">
        <f t="shared" si="31"/>
        <v>seg</v>
      </c>
      <c r="E207" s="169">
        <f>IF(K207&lt;&gt;"",VLOOKUP(K207,'Catálogo SAP'!$A$1:$F$245,2,FALSE),"-")</f>
        <v>130</v>
      </c>
      <c r="F207" s="16">
        <v>8692</v>
      </c>
      <c r="G207" s="16">
        <v>8692</v>
      </c>
      <c r="H207" s="22"/>
      <c r="I207" s="133">
        <v>300</v>
      </c>
      <c r="J207" s="162" t="str">
        <f t="shared" si="100"/>
        <v>SAO LUIS</v>
      </c>
      <c r="K207" s="16">
        <v>130</v>
      </c>
      <c r="L207" s="167" t="str">
        <f>IF(K207&lt;&gt;"",VLOOKUP(K207,'Catálogo SAP'!A:F,3,FALSE),"")</f>
        <v>S.VP-01438</v>
      </c>
      <c r="M207" s="162" t="str">
        <f>IF(K207&lt;&gt;"",VLOOKUP(K207,'Catálogo SAP'!A:F,4,FALSE),"")</f>
        <v>Hr Improdutiva Retroescavadeira C/Operador</v>
      </c>
      <c r="N207" s="168" t="str">
        <f>IF(K207&lt;&gt;"",VLOOKUP(K207,'Catálogo SAP'!A:F,5,FALSE),"")</f>
        <v>H</v>
      </c>
      <c r="O207" s="160">
        <v>3</v>
      </c>
      <c r="P207" s="70">
        <f t="shared" si="97"/>
        <v>0</v>
      </c>
      <c r="Q207" s="163" t="e">
        <f t="shared" si="92"/>
        <v>#VALUE!</v>
      </c>
      <c r="R207" s="44" t="str">
        <f>IF(J207&lt;&gt;"",VLOOKUP(J207,'RESUMO DR'!$B$4:$E$253,4,FALSE),"-")</f>
        <v>T-02</v>
      </c>
      <c r="S207" s="58" t="str">
        <f>IF(J207&lt;&gt;"",VLOOKUP(J207,'RESUMO DR'!$B$4:$E$253,3,FALSE),"-")</f>
        <v>ARAGUAINA</v>
      </c>
      <c r="T207" s="129"/>
      <c r="U207" s="129"/>
      <c r="V207" s="129"/>
      <c r="W207" s="128"/>
      <c r="X207" s="127"/>
      <c r="Y207" s="127"/>
      <c r="Z207" s="4"/>
    </row>
    <row r="208" spans="1:27" ht="13.8">
      <c r="A208" s="5">
        <v>1964</v>
      </c>
      <c r="B208" s="21">
        <v>45649</v>
      </c>
      <c r="C208" s="21" t="s">
        <v>122</v>
      </c>
      <c r="D208" s="74" t="str">
        <f t="shared" si="31"/>
        <v>seg</v>
      </c>
      <c r="E208" s="169">
        <f>IF(K208&lt;&gt;"",VLOOKUP(K208,'Catálogo SAP'!$A$1:$F$245,2,FALSE),"-")</f>
        <v>120</v>
      </c>
      <c r="F208" s="225">
        <v>3796</v>
      </c>
      <c r="G208" s="225">
        <v>3805</v>
      </c>
      <c r="H208" s="226"/>
      <c r="I208" s="230">
        <v>359</v>
      </c>
      <c r="J208" s="162" t="str">
        <f t="shared" si="100"/>
        <v>ARAGUAÍNA</v>
      </c>
      <c r="K208" s="16">
        <v>120</v>
      </c>
      <c r="L208" s="167" t="str">
        <f>IF(K208&lt;&gt;"",VLOOKUP(K208,'Catálogo SAP'!A:F,3,FALSE),"")</f>
        <v>S.VP-01437</v>
      </c>
      <c r="M208" s="162" t="str">
        <f>IF(K208&lt;&gt;"",VLOOKUP(K208,'Catálogo SAP'!A:F,4,FALSE),"")</f>
        <v>Hr Produtiva Retroescavadeira C/Operador</v>
      </c>
      <c r="N208" s="168" t="str">
        <f>IF(K208&lt;&gt;"",VLOOKUP(K208,'Catálogo SAP'!A:F,5,FALSE),"")</f>
        <v>H</v>
      </c>
      <c r="O208" s="160">
        <v>9</v>
      </c>
      <c r="P208" s="70">
        <f t="shared" si="97"/>
        <v>9</v>
      </c>
      <c r="Q208" s="163" t="e">
        <f t="shared" si="92"/>
        <v>#VALUE!</v>
      </c>
      <c r="R208" s="44" t="str">
        <f>IF(J208&lt;&gt;"",VLOOKUP(J208,'RESUMO DR'!$B$4:$E$253,4,FALSE),"-")</f>
        <v>T-02</v>
      </c>
      <c r="S208" s="58" t="str">
        <f>IF(J208&lt;&gt;"",VLOOKUP(J208,'RESUMO DR'!$B$4:$E$253,3,FALSE),"-")</f>
        <v>ARAGUAINA</v>
      </c>
      <c r="T208" s="129"/>
      <c r="U208" s="129"/>
      <c r="V208" s="129"/>
      <c r="W208" s="128"/>
      <c r="X208" s="127"/>
      <c r="Y208" s="127"/>
      <c r="Z208" s="4"/>
    </row>
    <row r="209" spans="1:26" ht="21" customHeight="1">
      <c r="A209" s="5">
        <v>1966</v>
      </c>
      <c r="B209" s="21">
        <v>45649</v>
      </c>
      <c r="C209" s="21" t="s">
        <v>123</v>
      </c>
      <c r="D209" s="74" t="str">
        <f t="shared" si="31"/>
        <v>seg</v>
      </c>
      <c r="E209" s="169">
        <f>IF(K209&lt;&gt;"",VLOOKUP(K209,'Catálogo SAP'!$A$1:$F$245,2,FALSE),"-")</f>
        <v>120</v>
      </c>
      <c r="F209" s="225">
        <v>5828</v>
      </c>
      <c r="G209" s="225">
        <v>5837</v>
      </c>
      <c r="H209" s="226"/>
      <c r="I209" s="230">
        <v>577</v>
      </c>
      <c r="J209" s="162" t="str">
        <f t="shared" si="100"/>
        <v>Tupirama</v>
      </c>
      <c r="K209" s="16">
        <v>120</v>
      </c>
      <c r="L209" s="167" t="str">
        <f>IF(K209&lt;&gt;"",VLOOKUP(K209,'Catálogo SAP'!A:F,3,FALSE),"")</f>
        <v>S.VP-01437</v>
      </c>
      <c r="M209" s="162" t="str">
        <f>IF(K209&lt;&gt;"",VLOOKUP(K209,'Catálogo SAP'!A:F,4,FALSE),"")</f>
        <v>Hr Produtiva Retroescavadeira C/Operador</v>
      </c>
      <c r="N209" s="168" t="str">
        <f>IF(K209&lt;&gt;"",VLOOKUP(K209,'Catálogo SAP'!A:F,5,FALSE),"")</f>
        <v>H</v>
      </c>
      <c r="O209" s="160">
        <v>9</v>
      </c>
      <c r="P209" s="70">
        <f t="shared" si="97"/>
        <v>9</v>
      </c>
      <c r="Q209" s="163" t="e">
        <f t="shared" si="92"/>
        <v>#VALUE!</v>
      </c>
      <c r="R209" s="44" t="str">
        <f>IF(J209&lt;&gt;"",VLOOKUP(J209,'RESUMO DR'!$B$4:$E$253,4,FALSE),"-")</f>
        <v>T-03</v>
      </c>
      <c r="S209" s="58" t="str">
        <f>IF(J209&lt;&gt;"",VLOOKUP(J209,'RESUMO DR'!$B$4:$E$253,3,FALSE),"-")</f>
        <v>PALMAS</v>
      </c>
      <c r="T209" s="129"/>
      <c r="U209" s="129"/>
      <c r="V209" s="129"/>
      <c r="W209" s="128"/>
      <c r="X209" s="127"/>
      <c r="Y209" s="127"/>
      <c r="Z209" s="4"/>
    </row>
    <row r="210" spans="1:26" ht="13.8">
      <c r="A210" s="5"/>
      <c r="B210" s="21">
        <v>45649</v>
      </c>
      <c r="C210" s="21" t="s">
        <v>124</v>
      </c>
      <c r="D210" s="74" t="str">
        <f t="shared" ref="D210:D212" si="102">IF(B210="","-",TEXT(B210,"ddd"))</f>
        <v>seg</v>
      </c>
      <c r="E210" s="169" t="str">
        <f>IF(K210&lt;&gt;"",VLOOKUP(K210,'Catálogo SAP'!$A$1:$F$245,2,FALSE),"-")</f>
        <v>-</v>
      </c>
      <c r="F210" s="16"/>
      <c r="G210" s="16"/>
      <c r="H210" s="22"/>
      <c r="I210" s="133"/>
      <c r="J210" s="162" t="str">
        <f t="shared" si="100"/>
        <v/>
      </c>
      <c r="K210" s="16"/>
      <c r="L210" s="167" t="str">
        <f>IF(K210&lt;&gt;"",VLOOKUP(K210,'Catálogo SAP'!A:F,3,FALSE),"")</f>
        <v/>
      </c>
      <c r="M210" s="162" t="str">
        <f>IF(K210&lt;&gt;"",VLOOKUP(K210,'Catálogo SAP'!A:F,4,FALSE),"")</f>
        <v/>
      </c>
      <c r="N210" s="168" t="str">
        <f>IF(K210&lt;&gt;"",VLOOKUP(K210,'Catálogo SAP'!A:F,5,FALSE),"")</f>
        <v/>
      </c>
      <c r="O210" s="160"/>
      <c r="P210" s="70" t="str">
        <f t="shared" si="97"/>
        <v>-</v>
      </c>
      <c r="Q210" s="163" t="str">
        <f t="shared" si="92"/>
        <v>-</v>
      </c>
      <c r="R210" s="44" t="str">
        <f>IF(J210&lt;&gt;"",VLOOKUP(J210,'RESUMO DR'!$B$4:$E$253,4,FALSE),"-")</f>
        <v>-</v>
      </c>
      <c r="S210" s="58" t="str">
        <f>IF(J210&lt;&gt;"",VLOOKUP(J210,'RESUMO DR'!$B$4:$E$253,3,FALSE),"-")</f>
        <v>-</v>
      </c>
      <c r="T210" s="129"/>
      <c r="U210" s="129"/>
      <c r="V210" s="129"/>
      <c r="W210" s="128"/>
      <c r="X210" s="127"/>
      <c r="Y210" s="127"/>
      <c r="Z210" s="4"/>
    </row>
    <row r="211" spans="1:26" ht="13.8">
      <c r="A211" s="5"/>
      <c r="B211" s="21">
        <v>45649</v>
      </c>
      <c r="C211" s="21" t="s">
        <v>124</v>
      </c>
      <c r="D211" s="74" t="str">
        <f t="shared" si="102"/>
        <v>seg</v>
      </c>
      <c r="E211" s="169" t="str">
        <f>IF(K211&lt;&gt;"",VLOOKUP(K211,'Catálogo SAP'!$A$1:$F$245,2,FALSE),"-")</f>
        <v>-</v>
      </c>
      <c r="F211" s="16"/>
      <c r="G211" s="16"/>
      <c r="H211" s="22"/>
      <c r="I211" s="133"/>
      <c r="J211" s="162" t="str">
        <f t="shared" ref="J211:J212" si="103">IF(AND(I211&gt;=0.001,I211&lt;=16),"AÇAILÂNDIA","")&amp;IF(AND(I211&gt;=16.001,I211&lt;=44),"S.F. BREJÃO","")&amp;IF(AND(I211&gt;=44.001,I211&lt;=78),"JOÃO LISBOA","")&amp;IF(AND(I211&gt;=78.001,I211&lt;=96.397),"IMPERATRIZ","")&amp;IF(AND(I211&gt;=96.398,I211&lt;=122.82),"EDSON LOBÃO","")&amp;IF(AND(I211&gt;=122.821,I211&lt;=152.303),"RIBAMAR FIQUENE","")&amp;IF(AND(I211&gt;=152.304,I211&lt;=172.403),"CAMPESTRE","")&amp;IF(AND(I211&gt;=172.404,I211&lt;=195),"PORTO FRANCO","")&amp;IF(AND(I211&gt;=300,I211&lt;=300),"SAO LUIS","")&amp;IF(AND(I211&gt;=385.4,I211&lt;=465.4),"Palmeirante","")&amp;IF(AND(I211&gt;=465.401,I211&lt;=520.455),"Tupiratins","")&amp;IF(AND(I211&gt;=520.456,I211&lt;=536.741),"Guaraí","")&amp;IF(AND(I211&gt;=536.742,I211&lt;=580.293),"Tupirama","")&amp;IF(AND(I211&gt;=580.294,I211&lt;=608.637),"Rio dos Bois","")&amp;IF(AND(I211&gt;=608.638,I211&lt;=698.981),"Miracema","")&amp;IF(AND(I211&gt;=698.982,I211&lt;=735.6),"Porto Nacional","")&amp;IF(AND(I211&gt;=195.1,I211&lt;=213.603),"ESTREITO","")&amp;IF(AND(I211&gt;=213.604,I211&lt;=218.976),"AGUIARNÓPOLIS","")&amp;IF(AND(I211&gt;=218.977,I211&lt;=253.5),"PALMEIRAS DO TOCANTINS","")&amp;IF(AND(I211&gt;=253.501,I211&lt;=274.15),"DARCINÓPOLIS","")&amp;IF(AND(I211&gt;=274.151,I211&lt;=299.999),"BABAÇULÂNDIA","")&amp;IF(AND(I211&gt;=356.62,I211&lt;=385.4),"ARAGUAÍNA","")&amp;IF(AND(I211&gt;=300.001,I211&lt;=356.619),"BABAÇULÂNDIA","")&amp;IF(AND(I211&gt;=900,I211&lt;=902),"ENG. VLI","")</f>
        <v/>
      </c>
      <c r="K211" s="16"/>
      <c r="L211" s="167" t="str">
        <f>IF(K211&lt;&gt;"",VLOOKUP(K211,'Catálogo SAP'!A:F,3,FALSE),"")</f>
        <v/>
      </c>
      <c r="M211" s="162" t="str">
        <f>IF(K211&lt;&gt;"",VLOOKUP(K211,'Catálogo SAP'!A:F,4,FALSE),"")</f>
        <v/>
      </c>
      <c r="N211" s="168" t="str">
        <f>IF(K211&lt;&gt;"",VLOOKUP(K211,'Catálogo SAP'!A:F,5,FALSE),"")</f>
        <v/>
      </c>
      <c r="O211" s="160"/>
      <c r="P211" s="70" t="str">
        <f t="shared" si="97"/>
        <v>-</v>
      </c>
      <c r="Q211" s="163" t="str">
        <f t="shared" si="92"/>
        <v>-</v>
      </c>
      <c r="R211" s="44" t="str">
        <f>IF(J211&lt;&gt;"",VLOOKUP(J211,'RESUMO DR'!$B$4:$E$253,4,FALSE),"-")</f>
        <v>-</v>
      </c>
      <c r="S211" s="58" t="str">
        <f>IF(J211&lt;&gt;"",VLOOKUP(J211,'RESUMO DR'!$B$4:$E$253,3,FALSE),"-")</f>
        <v>-</v>
      </c>
      <c r="T211" s="129"/>
      <c r="U211" s="129"/>
      <c r="V211" s="129"/>
      <c r="W211" s="128"/>
      <c r="X211" s="127"/>
      <c r="Y211" s="127"/>
      <c r="Z211" s="4"/>
    </row>
    <row r="212" spans="1:26" ht="18" customHeight="1">
      <c r="A212" s="5">
        <v>2601</v>
      </c>
      <c r="B212" s="21">
        <v>45649</v>
      </c>
      <c r="C212" s="21" t="s">
        <v>307</v>
      </c>
      <c r="D212" s="74" t="str">
        <f t="shared" si="102"/>
        <v>seg</v>
      </c>
      <c r="E212" s="169">
        <f>IF(K212&lt;&gt;"",VLOOKUP(K212,'Catálogo SAP'!$A$1:$F$245,2,FALSE),"-")</f>
        <v>200</v>
      </c>
      <c r="F212" s="225">
        <v>64872</v>
      </c>
      <c r="G212" s="225">
        <v>65277</v>
      </c>
      <c r="H212" s="226"/>
      <c r="I212" s="230">
        <v>125</v>
      </c>
      <c r="J212" s="162" t="str">
        <f t="shared" si="103"/>
        <v>RIBAMAR FIQUENE</v>
      </c>
      <c r="K212" s="16">
        <v>200</v>
      </c>
      <c r="L212" s="167" t="str">
        <f>IF(K212&lt;&gt;"",VLOOKUP(K212,'Catálogo SAP'!A:F,3,FALSE),"")</f>
        <v>S.VP-01445</v>
      </c>
      <c r="M212" s="162" t="str">
        <f>IF(K212&lt;&gt;"",VLOOKUP(K212,'Catálogo SAP'!A:F,4,FALSE),"")</f>
        <v>Km Rodado Caminhão Basculante - C/Motorista</v>
      </c>
      <c r="N212" s="168" t="str">
        <f>IF(K212&lt;&gt;"",VLOOKUP(K212,'Catálogo SAP'!A:F,5,FALSE),"")</f>
        <v>KM</v>
      </c>
      <c r="O212" s="160">
        <v>405</v>
      </c>
      <c r="P212" s="70">
        <f t="shared" si="97"/>
        <v>405</v>
      </c>
      <c r="Q212" s="163" t="e">
        <f t="shared" si="92"/>
        <v>#VALUE!</v>
      </c>
      <c r="R212" s="44" t="str">
        <f>IF(J212&lt;&gt;"",VLOOKUP(J212,'RESUMO DR'!$B$4:$E$253,4,FALSE),"-")</f>
        <v>T-01</v>
      </c>
      <c r="S212" s="58" t="str">
        <f>IF(J212&lt;&gt;"",VLOOKUP(J212,'RESUMO DR'!$B$4:$E$253,3,FALSE),"-")</f>
        <v>IMPERATRIZ</v>
      </c>
      <c r="T212" s="129"/>
      <c r="U212" s="129"/>
      <c r="V212" s="129"/>
      <c r="W212" s="128"/>
      <c r="X212" s="127"/>
      <c r="Y212" s="127"/>
      <c r="Z212" s="4"/>
    </row>
    <row r="213" spans="1:26" ht="18" customHeight="1">
      <c r="A213" s="5">
        <v>2601</v>
      </c>
      <c r="B213" s="21">
        <v>45649</v>
      </c>
      <c r="C213" s="21" t="s">
        <v>308</v>
      </c>
      <c r="D213" s="74" t="str">
        <f t="shared" si="31"/>
        <v>seg</v>
      </c>
      <c r="E213" s="169">
        <f>IF(K213&lt;&gt;"",VLOOKUP(K213,'Catálogo SAP'!$A$1:$F$245,2,FALSE),"-")</f>
        <v>200</v>
      </c>
      <c r="F213" s="225">
        <v>64805</v>
      </c>
      <c r="G213" s="225">
        <v>65150</v>
      </c>
      <c r="H213" s="226"/>
      <c r="I213" s="230">
        <v>125</v>
      </c>
      <c r="J213" s="162" t="str">
        <f t="shared" si="32"/>
        <v>RIBAMAR FIQUENE</v>
      </c>
      <c r="K213" s="16">
        <v>200</v>
      </c>
      <c r="L213" s="167" t="str">
        <f>IF(K213&lt;&gt;"",VLOOKUP(K213,'Catálogo SAP'!A:F,3,FALSE),"")</f>
        <v>S.VP-01445</v>
      </c>
      <c r="M213" s="162" t="str">
        <f>IF(K213&lt;&gt;"",VLOOKUP(K213,'Catálogo SAP'!A:F,4,FALSE),"")</f>
        <v>Km Rodado Caminhão Basculante - C/Motorista</v>
      </c>
      <c r="N213" s="168" t="str">
        <f>IF(K213&lt;&gt;"",VLOOKUP(K213,'Catálogo SAP'!A:F,5,FALSE),"")</f>
        <v>KM</v>
      </c>
      <c r="O213" s="160">
        <v>345</v>
      </c>
      <c r="P213" s="70">
        <f t="shared" si="97"/>
        <v>345</v>
      </c>
      <c r="Q213" s="163" t="e">
        <f t="shared" si="92"/>
        <v>#VALUE!</v>
      </c>
      <c r="R213" s="44" t="str">
        <f>IF(J213&lt;&gt;"",VLOOKUP(J213,'RESUMO DR'!$B$4:$E$253,4,FALSE),"-")</f>
        <v>T-01</v>
      </c>
      <c r="S213" s="58" t="str">
        <f>IF(J213&lt;&gt;"",VLOOKUP(J213,'RESUMO DR'!$B$4:$E$253,3,FALSE),"-")</f>
        <v>IMPERATRIZ</v>
      </c>
      <c r="T213" s="129"/>
      <c r="U213" s="129"/>
      <c r="V213" s="129"/>
      <c r="W213" s="128"/>
      <c r="X213" s="127"/>
      <c r="Y213" s="127"/>
      <c r="Z213" s="4"/>
    </row>
    <row r="214" spans="1:26" ht="18" customHeight="1">
      <c r="A214" s="5">
        <v>1963</v>
      </c>
      <c r="B214" s="21">
        <v>45649</v>
      </c>
      <c r="C214" s="21" t="s">
        <v>127</v>
      </c>
      <c r="D214" s="74" t="str">
        <f t="shared" ref="D214" si="104">IF(B214="","-",TEXT(B214,"ddd"))</f>
        <v>seg</v>
      </c>
      <c r="E214" s="169">
        <f>IF(K214&lt;&gt;"",VLOOKUP(K214,'Catálogo SAP'!$A$1:$F$245,2,FALSE),"-")</f>
        <v>200</v>
      </c>
      <c r="F214" s="225">
        <v>49290</v>
      </c>
      <c r="G214" s="225">
        <v>49350</v>
      </c>
      <c r="H214" s="226"/>
      <c r="I214" s="230">
        <v>442</v>
      </c>
      <c r="J214" s="162" t="str">
        <f t="shared" ref="J214" si="105">IF(AND(I214&gt;=0.001,I214&lt;=16),"AÇAILÂNDIA","")&amp;IF(AND(I214&gt;=16.001,I214&lt;=44),"S.F. BREJÃO","")&amp;IF(AND(I214&gt;=44.001,I214&lt;=78),"JOÃO LISBOA","")&amp;IF(AND(I214&gt;=78.001,I214&lt;=96.397),"IMPERATRIZ","")&amp;IF(AND(I214&gt;=96.398,I214&lt;=122.82),"EDSON LOBÃO","")&amp;IF(AND(I214&gt;=122.821,I214&lt;=152.303),"RIBAMAR FIQUENE","")&amp;IF(AND(I214&gt;=152.304,I214&lt;=172.403),"CAMPESTRE","")&amp;IF(AND(I214&gt;=172.404,I214&lt;=195),"PORTO FRANCO","")&amp;IF(AND(I214&gt;=300,I214&lt;=300),"SAO LUIS","")&amp;IF(AND(I214&gt;=385.4,I214&lt;=465.4),"Palmeirante","")&amp;IF(AND(I214&gt;=465.401,I214&lt;=520.455),"Tupiratins","")&amp;IF(AND(I214&gt;=520.456,I214&lt;=536.741),"Guaraí","")&amp;IF(AND(I214&gt;=536.742,I214&lt;=580.293),"Tupirama","")&amp;IF(AND(I214&gt;=580.294,I214&lt;=608.637),"Rio dos Bois","")&amp;IF(AND(I214&gt;=608.638,I214&lt;=698.981),"Miracema","")&amp;IF(AND(I214&gt;=698.982,I214&lt;=735.6),"Porto Nacional","")&amp;IF(AND(I214&gt;=195.1,I214&lt;=213.603),"ESTREITO","")&amp;IF(AND(I214&gt;=213.604,I214&lt;=218.976),"AGUIARNÓPOLIS","")&amp;IF(AND(I214&gt;=218.977,I214&lt;=253.5),"PALMEIRAS DO TOCANTINS","")&amp;IF(AND(I214&gt;=253.501,I214&lt;=274.15),"DARCINÓPOLIS","")&amp;IF(AND(I214&gt;=274.151,I214&lt;=299.999),"BABAÇULÂNDIA","")&amp;IF(AND(I214&gt;=356.62,I214&lt;=385.4),"ARAGUAÍNA","")&amp;IF(AND(I214&gt;=300.001,I214&lt;=356.619),"BABAÇULÂNDIA","")&amp;IF(AND(I214&gt;=900,I214&lt;=902),"ENG. VLI","")</f>
        <v>Palmeirante</v>
      </c>
      <c r="K214" s="16">
        <v>200</v>
      </c>
      <c r="L214" s="167" t="str">
        <f>IF(K214&lt;&gt;"",VLOOKUP(K214,'Catálogo SAP'!A:F,3,FALSE),"")</f>
        <v>S.VP-01445</v>
      </c>
      <c r="M214" s="162" t="str">
        <f>IF(K214&lt;&gt;"",VLOOKUP(K214,'Catálogo SAP'!A:F,4,FALSE),"")</f>
        <v>Km Rodado Caminhão Basculante - C/Motorista</v>
      </c>
      <c r="N214" s="168" t="str">
        <f>IF(K214&lt;&gt;"",VLOOKUP(K214,'Catálogo SAP'!A:F,5,FALSE),"")</f>
        <v>KM</v>
      </c>
      <c r="O214" s="160">
        <v>60</v>
      </c>
      <c r="P214" s="70">
        <f t="shared" si="97"/>
        <v>60</v>
      </c>
      <c r="Q214" s="163" t="e">
        <f t="shared" si="92"/>
        <v>#VALUE!</v>
      </c>
      <c r="R214" s="44" t="str">
        <f>IF(J214&lt;&gt;"",VLOOKUP(J214,'RESUMO DR'!$B$4:$E$253,4,FALSE),"-")</f>
        <v>T-02</v>
      </c>
      <c r="S214" s="58" t="str">
        <f>IF(J214&lt;&gt;"",VLOOKUP(J214,'RESUMO DR'!$B$4:$E$253,3,FALSE),"-")</f>
        <v>ARAGUAINA</v>
      </c>
      <c r="T214" s="129"/>
      <c r="U214" s="129"/>
      <c r="V214" s="129"/>
      <c r="W214" s="128"/>
      <c r="X214" s="127"/>
      <c r="Y214" s="127"/>
      <c r="Z214" s="4"/>
    </row>
    <row r="215" spans="1:26" ht="18" customHeight="1">
      <c r="A215" s="5">
        <v>1961</v>
      </c>
      <c r="B215" s="21">
        <v>45649</v>
      </c>
      <c r="C215" s="21" t="s">
        <v>312</v>
      </c>
      <c r="D215" s="74" t="str">
        <f t="shared" si="31"/>
        <v>seg</v>
      </c>
      <c r="E215" s="169">
        <f>IF(K215&lt;&gt;"",VLOOKUP(K215,'Catálogo SAP'!$A$1:$F$245,2,FALSE),"-")</f>
        <v>200</v>
      </c>
      <c r="F215" s="225">
        <v>71350</v>
      </c>
      <c r="G215" s="225">
        <v>71745</v>
      </c>
      <c r="H215" s="226"/>
      <c r="I215" s="230">
        <v>442</v>
      </c>
      <c r="J215" s="162" t="str">
        <f t="shared" si="32"/>
        <v>Palmeirante</v>
      </c>
      <c r="K215" s="16">
        <v>200</v>
      </c>
      <c r="L215" s="167" t="str">
        <f>IF(K215&lt;&gt;"",VLOOKUP(K215,'Catálogo SAP'!A:F,3,FALSE),"")</f>
        <v>S.VP-01445</v>
      </c>
      <c r="M215" s="162" t="str">
        <f>IF(K215&lt;&gt;"",VLOOKUP(K215,'Catálogo SAP'!A:F,4,FALSE),"")</f>
        <v>Km Rodado Caminhão Basculante - C/Motorista</v>
      </c>
      <c r="N215" s="168" t="str">
        <f>IF(K215&lt;&gt;"",VLOOKUP(K215,'Catálogo SAP'!A:F,5,FALSE),"")</f>
        <v>KM</v>
      </c>
      <c r="O215" s="160">
        <v>395</v>
      </c>
      <c r="P215" s="70">
        <f t="shared" si="97"/>
        <v>395</v>
      </c>
      <c r="Q215" s="163" t="e">
        <f t="shared" si="92"/>
        <v>#VALUE!</v>
      </c>
      <c r="R215" s="44" t="str">
        <f>IF(J215&lt;&gt;"",VLOOKUP(J215,'RESUMO DR'!$B$4:$E$253,4,FALSE),"-")</f>
        <v>T-02</v>
      </c>
      <c r="S215" s="58" t="str">
        <f>IF(J215&lt;&gt;"",VLOOKUP(J215,'RESUMO DR'!$B$4:$E$253,3,FALSE),"-")</f>
        <v>ARAGUAINA</v>
      </c>
      <c r="T215" s="129"/>
      <c r="U215" s="129"/>
      <c r="V215" s="129"/>
      <c r="W215" s="128"/>
      <c r="X215" s="127"/>
      <c r="Y215" s="127"/>
      <c r="Z215" s="4"/>
    </row>
    <row r="216" spans="1:26" ht="18" customHeight="1">
      <c r="A216" s="5"/>
      <c r="B216" s="21">
        <v>45649</v>
      </c>
      <c r="C216" s="21" t="s">
        <v>312</v>
      </c>
      <c r="D216" s="74" t="str">
        <f t="shared" ref="D216:D219" si="106">IF(B216="","-",TEXT(B216,"ddd"))</f>
        <v>seg</v>
      </c>
      <c r="E216" s="169" t="str">
        <f>IF(K216&lt;&gt;"",VLOOKUP(K216,'Catálogo SAP'!$A$1:$F$245,2,FALSE),"-")</f>
        <v>-</v>
      </c>
      <c r="F216" s="16"/>
      <c r="G216" s="16"/>
      <c r="H216" s="22"/>
      <c r="I216" s="133"/>
      <c r="J216" s="162" t="str">
        <f t="shared" ref="J216:J217" si="107">IF(AND(I216&gt;=0.001,I216&lt;=16),"AÇAILÂNDIA","")&amp;IF(AND(I216&gt;=16.001,I216&lt;=44),"S.F. BREJÃO","")&amp;IF(AND(I216&gt;=44.001,I216&lt;=78),"JOÃO LISBOA","")&amp;IF(AND(I216&gt;=78.001,I216&lt;=96.397),"IMPERATRIZ","")&amp;IF(AND(I216&gt;=96.398,I216&lt;=122.82),"EDSON LOBÃO","")&amp;IF(AND(I216&gt;=122.821,I216&lt;=152.303),"RIBAMAR FIQUENE","")&amp;IF(AND(I216&gt;=152.304,I216&lt;=172.403),"CAMPESTRE","")&amp;IF(AND(I216&gt;=172.404,I216&lt;=195),"PORTO FRANCO","")&amp;IF(AND(I216&gt;=300,I216&lt;=300),"SAO LUIS","")&amp;IF(AND(I216&gt;=385.4,I216&lt;=465.4),"Palmeirante","")&amp;IF(AND(I216&gt;=465.401,I216&lt;=520.455),"Tupiratins","")&amp;IF(AND(I216&gt;=520.456,I216&lt;=536.741),"Guaraí","")&amp;IF(AND(I216&gt;=536.742,I216&lt;=580.293),"Tupirama","")&amp;IF(AND(I216&gt;=580.294,I216&lt;=608.637),"Rio dos Bois","")&amp;IF(AND(I216&gt;=608.638,I216&lt;=698.981),"Miracema","")&amp;IF(AND(I216&gt;=698.982,I216&lt;=735.6),"Porto Nacional","")&amp;IF(AND(I216&gt;=195.1,I216&lt;=213.603),"ESTREITO","")&amp;IF(AND(I216&gt;=213.604,I216&lt;=218.976),"AGUIARNÓPOLIS","")&amp;IF(AND(I216&gt;=218.977,I216&lt;=253.5),"PALMEIRAS DO TOCANTINS","")&amp;IF(AND(I216&gt;=253.501,I216&lt;=274.15),"DARCINÓPOLIS","")&amp;IF(AND(I216&gt;=274.151,I216&lt;=299.999),"BABAÇULÂNDIA","")&amp;IF(AND(I216&gt;=356.62,I216&lt;=385.4),"ARAGUAÍNA","")&amp;IF(AND(I216&gt;=300.001,I216&lt;=356.619),"BABAÇULÂNDIA","")&amp;IF(AND(I216&gt;=900,I216&lt;=902),"ENG. VLI","")</f>
        <v/>
      </c>
      <c r="K216" s="16"/>
      <c r="L216" s="167" t="str">
        <f>IF(K216&lt;&gt;"",VLOOKUP(K216,'Catálogo SAP'!A:F,3,FALSE),"")</f>
        <v/>
      </c>
      <c r="M216" s="162" t="str">
        <f>IF(K216&lt;&gt;"",VLOOKUP(K216,'Catálogo SAP'!A:F,4,FALSE),"")</f>
        <v/>
      </c>
      <c r="N216" s="168" t="str">
        <f>IF(K216&lt;&gt;"",VLOOKUP(K216,'Catálogo SAP'!A:F,5,FALSE),"")</f>
        <v/>
      </c>
      <c r="O216" s="160"/>
      <c r="P216" s="70" t="str">
        <f t="shared" si="97"/>
        <v>-</v>
      </c>
      <c r="Q216" s="163" t="str">
        <f t="shared" si="92"/>
        <v>-</v>
      </c>
      <c r="R216" s="44" t="str">
        <f>IF(J216&lt;&gt;"",VLOOKUP(J216,'RESUMO DR'!$B$4:$E$253,4,FALSE),"-")</f>
        <v>-</v>
      </c>
      <c r="S216" s="58" t="str">
        <f>IF(J216&lt;&gt;"",VLOOKUP(J216,'RESUMO DR'!$B$4:$E$253,3,FALSE),"-")</f>
        <v>-</v>
      </c>
      <c r="T216" s="129"/>
      <c r="U216" s="129"/>
      <c r="V216" s="129"/>
      <c r="W216" s="128"/>
      <c r="X216" s="127"/>
      <c r="Y216" s="127"/>
      <c r="Z216" s="4"/>
    </row>
    <row r="217" spans="1:26" ht="18" customHeight="1">
      <c r="A217" s="5">
        <v>1966</v>
      </c>
      <c r="B217" s="21">
        <v>45649</v>
      </c>
      <c r="C217" s="21" t="s">
        <v>129</v>
      </c>
      <c r="D217" s="74" t="str">
        <f t="shared" si="106"/>
        <v>seg</v>
      </c>
      <c r="E217" s="169">
        <f>IF(K217&lt;&gt;"",VLOOKUP(K217,'Catálogo SAP'!$A$1:$F$245,2,FALSE),"-")</f>
        <v>200</v>
      </c>
      <c r="F217" s="225">
        <v>80561</v>
      </c>
      <c r="G217" s="225">
        <v>80704</v>
      </c>
      <c r="H217" s="226"/>
      <c r="I217" s="230">
        <v>577</v>
      </c>
      <c r="J217" s="162" t="str">
        <f t="shared" si="107"/>
        <v>Tupirama</v>
      </c>
      <c r="K217" s="16">
        <v>200</v>
      </c>
      <c r="L217" s="167" t="str">
        <f>IF(K217&lt;&gt;"",VLOOKUP(K217,'Catálogo SAP'!A:F,3,FALSE),"")</f>
        <v>S.VP-01445</v>
      </c>
      <c r="M217" s="162" t="str">
        <f>IF(K217&lt;&gt;"",VLOOKUP(K217,'Catálogo SAP'!A:F,4,FALSE),"")</f>
        <v>Km Rodado Caminhão Basculante - C/Motorista</v>
      </c>
      <c r="N217" s="168" t="str">
        <f>IF(K217&lt;&gt;"",VLOOKUP(K217,'Catálogo SAP'!A:F,5,FALSE),"")</f>
        <v>KM</v>
      </c>
      <c r="O217" s="160">
        <v>143</v>
      </c>
      <c r="P217" s="70">
        <f t="shared" si="97"/>
        <v>143</v>
      </c>
      <c r="Q217" s="163" t="e">
        <f t="shared" si="92"/>
        <v>#VALUE!</v>
      </c>
      <c r="R217" s="44" t="str">
        <f>IF(J217&lt;&gt;"",VLOOKUP(J217,'RESUMO DR'!$B$4:$E$253,4,FALSE),"-")</f>
        <v>T-03</v>
      </c>
      <c r="S217" s="58" t="str">
        <f>IF(J217&lt;&gt;"",VLOOKUP(J217,'RESUMO DR'!$B$4:$E$253,3,FALSE),"-")</f>
        <v>PALMAS</v>
      </c>
      <c r="T217" s="129"/>
      <c r="U217" s="129"/>
      <c r="V217" s="129"/>
      <c r="W217" s="128"/>
      <c r="X217" s="127"/>
      <c r="Y217" s="127"/>
      <c r="Z217" s="4"/>
    </row>
    <row r="218" spans="1:26" ht="18" customHeight="1">
      <c r="A218" s="5">
        <v>2601</v>
      </c>
      <c r="B218" s="21">
        <v>45649</v>
      </c>
      <c r="C218" s="21" t="s">
        <v>298</v>
      </c>
      <c r="D218" s="74" t="str">
        <f t="shared" si="106"/>
        <v>seg</v>
      </c>
      <c r="E218" s="169">
        <f>IF(K218&lt;&gt;"",VLOOKUP(K218,'Catálogo SAP'!$A$1:$F$245,2,FALSE),"-")</f>
        <v>160</v>
      </c>
      <c r="F218" s="225">
        <v>539</v>
      </c>
      <c r="G218" s="225">
        <v>548</v>
      </c>
      <c r="H218" s="226"/>
      <c r="I218" s="230">
        <v>125</v>
      </c>
      <c r="J218" s="162" t="str">
        <f t="shared" si="32"/>
        <v>RIBAMAR FIQUENE</v>
      </c>
      <c r="K218" s="16">
        <v>160</v>
      </c>
      <c r="L218" s="167" t="str">
        <f>IF(K218&lt;&gt;"",VLOOKUP(K218,'Catálogo SAP'!A:F,3,FALSE),"")</f>
        <v>S.VP-01441</v>
      </c>
      <c r="M218" s="162" t="str">
        <f>IF(K218&lt;&gt;"",VLOOKUP(K218,'Catálogo SAP'!A:F,4,FALSE),"")</f>
        <v>Hora Produtiva Pa Carregadeira C/Operador</v>
      </c>
      <c r="N218" s="168" t="str">
        <f>IF(K218&lt;&gt;"",VLOOKUP(K218,'Catálogo SAP'!A:F,5,FALSE),"")</f>
        <v>H</v>
      </c>
      <c r="O218" s="160">
        <v>9</v>
      </c>
      <c r="P218" s="70">
        <f t="shared" si="97"/>
        <v>9</v>
      </c>
      <c r="Q218" s="163" t="e">
        <f t="shared" si="92"/>
        <v>#VALUE!</v>
      </c>
      <c r="R218" s="44" t="str">
        <f>IF(J218&lt;&gt;"",VLOOKUP(J218,'RESUMO DR'!$B$4:$E$253,4,FALSE),"-")</f>
        <v>T-01</v>
      </c>
      <c r="S218" s="58" t="str">
        <f>IF(J218&lt;&gt;"",VLOOKUP(J218,'RESUMO DR'!$B$4:$E$253,3,FALSE),"-")</f>
        <v>IMPERATRIZ</v>
      </c>
      <c r="T218" s="129"/>
      <c r="U218" s="129"/>
      <c r="V218" s="129"/>
      <c r="W218" s="128"/>
      <c r="X218" s="127"/>
      <c r="Y218" s="127"/>
      <c r="Z218" s="4"/>
    </row>
    <row r="219" spans="1:26" ht="18" customHeight="1">
      <c r="A219" s="5">
        <v>1960</v>
      </c>
      <c r="B219" s="21">
        <v>45649</v>
      </c>
      <c r="C219" s="21" t="s">
        <v>131</v>
      </c>
      <c r="D219" s="74" t="str">
        <f t="shared" si="106"/>
        <v>seg</v>
      </c>
      <c r="E219" s="169">
        <f>IF(K219&lt;&gt;"",VLOOKUP(K219,'Catálogo SAP'!$A$1:$F$245,2,FALSE),"-")</f>
        <v>520</v>
      </c>
      <c r="F219" s="225">
        <v>10556</v>
      </c>
      <c r="G219" s="225">
        <v>10564</v>
      </c>
      <c r="H219" s="226"/>
      <c r="I219" s="230">
        <v>195</v>
      </c>
      <c r="J219" s="162" t="str">
        <f t="shared" ref="J219:J223" si="108">IF(AND(I219&gt;=0.001,I219&lt;=16),"AÇAILÂNDIA","")&amp;IF(AND(I219&gt;=16.001,I219&lt;=44),"S.F. BREJÃO","")&amp;IF(AND(I219&gt;=44.001,I219&lt;=78),"JOÃO LISBOA","")&amp;IF(AND(I219&gt;=78.001,I219&lt;=96.397),"IMPERATRIZ","")&amp;IF(AND(I219&gt;=96.398,I219&lt;=122.82),"EDSON LOBÃO","")&amp;IF(AND(I219&gt;=122.821,I219&lt;=152.303),"RIBAMAR FIQUENE","")&amp;IF(AND(I219&gt;=152.304,I219&lt;=172.403),"CAMPESTRE","")&amp;IF(AND(I219&gt;=172.404,I219&lt;=195),"PORTO FRANCO","")&amp;IF(AND(I219&gt;=300,I219&lt;=300),"SAO LUIS","")&amp;IF(AND(I219&gt;=385.4,I219&lt;=465.4),"Palmeirante","")&amp;IF(AND(I219&gt;=465.401,I219&lt;=520.455),"Tupiratins","")&amp;IF(AND(I219&gt;=520.456,I219&lt;=536.741),"Guaraí","")&amp;IF(AND(I219&gt;=536.742,I219&lt;=580.293),"Tupirama","")&amp;IF(AND(I219&gt;=580.294,I219&lt;=608.637),"Rio dos Bois","")&amp;IF(AND(I219&gt;=608.638,I219&lt;=698.981),"Miracema","")&amp;IF(AND(I219&gt;=698.982,I219&lt;=735.6),"Porto Nacional","")&amp;IF(AND(I219&gt;=195.1,I219&lt;=213.603),"ESTREITO","")&amp;IF(AND(I219&gt;=213.604,I219&lt;=218.976),"AGUIARNÓPOLIS","")&amp;IF(AND(I219&gt;=218.977,I219&lt;=253.5),"PALMEIRAS DO TOCANTINS","")&amp;IF(AND(I219&gt;=253.501,I219&lt;=274.15),"DARCINÓPOLIS","")&amp;IF(AND(I219&gt;=274.151,I219&lt;=299.999),"BABAÇULÂNDIA","")&amp;IF(AND(I219&gt;=356.62,I219&lt;=385.4),"ARAGUAÍNA","")&amp;IF(AND(I219&gt;=300.001,I219&lt;=356.619),"BABAÇULÂNDIA","")&amp;IF(AND(I219&gt;=900,I219&lt;=902),"ENG. VLI","")</f>
        <v>PORTO FRANCO</v>
      </c>
      <c r="K219" s="16">
        <v>520</v>
      </c>
      <c r="L219" s="167" t="str">
        <f>IF(K219&lt;&gt;"",VLOOKUP(K219,'Catálogo SAP'!A:F,3,FALSE),"")</f>
        <v>S.VP-01469</v>
      </c>
      <c r="M219" s="162" t="str">
        <f>IF(K219&lt;&gt;"",VLOOKUP(K219,'Catálogo SAP'!A:F,4,FALSE),"")</f>
        <v>Hora Produtiva Escavadeira Hidraulica</v>
      </c>
      <c r="N219" s="168" t="str">
        <f>IF(K219&lt;&gt;"",VLOOKUP(K219,'Catálogo SAP'!A:F,5,FALSE),"")</f>
        <v>H</v>
      </c>
      <c r="O219" s="160">
        <v>8</v>
      </c>
      <c r="P219" s="70">
        <f t="shared" si="97"/>
        <v>8</v>
      </c>
      <c r="Q219" s="163" t="e">
        <f t="shared" si="92"/>
        <v>#VALUE!</v>
      </c>
      <c r="R219" s="44" t="str">
        <f>IF(J219&lt;&gt;"",VLOOKUP(J219,'RESUMO DR'!$B$4:$E$253,4,FALSE),"-")</f>
        <v>T-01</v>
      </c>
      <c r="S219" s="58" t="str">
        <f>IF(J219&lt;&gt;"",VLOOKUP(J219,'RESUMO DR'!$B$4:$E$253,3,FALSE),"-")</f>
        <v>IMPERATRIZ</v>
      </c>
      <c r="T219" s="129"/>
      <c r="U219" s="129"/>
      <c r="V219" s="129"/>
      <c r="W219" s="128"/>
      <c r="X219" s="127"/>
      <c r="Y219" s="127"/>
      <c r="Z219" s="4"/>
    </row>
    <row r="220" spans="1:26" ht="18" customHeight="1">
      <c r="A220" s="5">
        <v>1960</v>
      </c>
      <c r="B220" s="21">
        <v>45649</v>
      </c>
      <c r="C220" s="21" t="s">
        <v>131</v>
      </c>
      <c r="D220" s="74" t="str">
        <f t="shared" ref="D220:D223" si="109">IF(B220="","-",TEXT(B220,"ddd"))</f>
        <v>seg</v>
      </c>
      <c r="E220" s="169">
        <f>IF(K220&lt;&gt;"",VLOOKUP(K220,'Catálogo SAP'!$A$1:$F$245,2,FALSE),"-")</f>
        <v>530</v>
      </c>
      <c r="F220" s="225">
        <v>10564</v>
      </c>
      <c r="G220" s="225">
        <v>10564</v>
      </c>
      <c r="H220" s="226"/>
      <c r="I220" s="230">
        <v>195</v>
      </c>
      <c r="J220" s="162" t="str">
        <f t="shared" si="108"/>
        <v>PORTO FRANCO</v>
      </c>
      <c r="K220" s="16">
        <v>530</v>
      </c>
      <c r="L220" s="167" t="str">
        <f>IF(K220&lt;&gt;"",VLOOKUP(K220,'Catálogo SAP'!A:F,3,FALSE),"")</f>
        <v>S.VP-01470</v>
      </c>
      <c r="M220" s="162" t="str">
        <f>IF(K220&lt;&gt;"",VLOOKUP(K220,'Catálogo SAP'!A:F,4,FALSE),"")</f>
        <v>Hora Improdutiva Escavadeira Hidraulica</v>
      </c>
      <c r="N220" s="168" t="str">
        <f>IF(K220&lt;&gt;"",VLOOKUP(K220,'Catálogo SAP'!A:F,5,FALSE),"")</f>
        <v>H</v>
      </c>
      <c r="O220" s="160">
        <v>1</v>
      </c>
      <c r="P220" s="70">
        <f t="shared" si="97"/>
        <v>0</v>
      </c>
      <c r="Q220" s="163" t="e">
        <f t="shared" si="92"/>
        <v>#VALUE!</v>
      </c>
      <c r="R220" s="44" t="str">
        <f>IF(J220&lt;&gt;"",VLOOKUP(J220,'RESUMO DR'!$B$4:$E$253,4,FALSE),"-")</f>
        <v>T-01</v>
      </c>
      <c r="S220" s="58" t="str">
        <f>IF(J220&lt;&gt;"",VLOOKUP(J220,'RESUMO DR'!$B$4:$E$253,3,FALSE),"-")</f>
        <v>IMPERATRIZ</v>
      </c>
      <c r="T220" s="129"/>
      <c r="U220" s="129"/>
      <c r="V220" s="129"/>
      <c r="W220" s="128"/>
      <c r="X220" s="127"/>
      <c r="Y220" s="127"/>
      <c r="Z220" s="4"/>
    </row>
    <row r="221" spans="1:26" ht="18" customHeight="1">
      <c r="A221" s="5">
        <v>1963</v>
      </c>
      <c r="B221" s="21">
        <v>45649</v>
      </c>
      <c r="C221" s="21" t="s">
        <v>311</v>
      </c>
      <c r="D221" s="74" t="str">
        <f t="shared" si="109"/>
        <v>seg</v>
      </c>
      <c r="E221" s="169">
        <f>IF(K221&lt;&gt;"",VLOOKUP(K221,'Catálogo SAP'!$A$1:$F$245,2,FALSE),"-")</f>
        <v>120</v>
      </c>
      <c r="F221" s="225">
        <v>1141</v>
      </c>
      <c r="G221" s="225">
        <v>1146</v>
      </c>
      <c r="H221" s="226"/>
      <c r="I221" s="230">
        <v>442</v>
      </c>
      <c r="J221" s="162" t="str">
        <f t="shared" si="108"/>
        <v>Palmeirante</v>
      </c>
      <c r="K221" s="16">
        <v>120</v>
      </c>
      <c r="L221" s="167" t="str">
        <f>IF(K221&lt;&gt;"",VLOOKUP(K221,'Catálogo SAP'!A:F,3,FALSE),"")</f>
        <v>S.VP-01437</v>
      </c>
      <c r="M221" s="162" t="str">
        <f>IF(K221&lt;&gt;"",VLOOKUP(K221,'Catálogo SAP'!A:F,4,FALSE),"")</f>
        <v>Hr Produtiva Retroescavadeira C/Operador</v>
      </c>
      <c r="N221" s="168" t="str">
        <f>IF(K221&lt;&gt;"",VLOOKUP(K221,'Catálogo SAP'!A:F,5,FALSE),"")</f>
        <v>H</v>
      </c>
      <c r="O221" s="160">
        <v>5</v>
      </c>
      <c r="P221" s="70">
        <f t="shared" si="97"/>
        <v>5</v>
      </c>
      <c r="Q221" s="163" t="e">
        <f t="shared" si="92"/>
        <v>#VALUE!</v>
      </c>
      <c r="R221" s="44" t="str">
        <f>IF(J221&lt;&gt;"",VLOOKUP(J221,'RESUMO DR'!$B$4:$E$253,4,FALSE),"-")</f>
        <v>T-02</v>
      </c>
      <c r="S221" s="58" t="str">
        <f>IF(J221&lt;&gt;"",VLOOKUP(J221,'RESUMO DR'!$B$4:$E$253,3,FALSE),"-")</f>
        <v>ARAGUAINA</v>
      </c>
      <c r="T221" s="129"/>
      <c r="U221" s="129"/>
      <c r="V221" s="129"/>
      <c r="W221" s="128"/>
      <c r="X221" s="127"/>
      <c r="Y221" s="127"/>
      <c r="Z221" s="4"/>
    </row>
    <row r="222" spans="1:26" ht="18" customHeight="1">
      <c r="A222" s="5">
        <v>1963</v>
      </c>
      <c r="B222" s="21">
        <v>45649</v>
      </c>
      <c r="C222" s="21" t="s">
        <v>311</v>
      </c>
      <c r="D222" s="74" t="str">
        <f t="shared" si="109"/>
        <v>seg</v>
      </c>
      <c r="E222" s="169">
        <f>IF(K222&lt;&gt;"",VLOOKUP(K222,'Catálogo SAP'!$A$1:$F$245,2,FALSE),"-")</f>
        <v>130</v>
      </c>
      <c r="F222" s="225">
        <v>1146</v>
      </c>
      <c r="G222" s="225">
        <v>1146</v>
      </c>
      <c r="H222" s="226"/>
      <c r="I222" s="230">
        <v>442</v>
      </c>
      <c r="J222" s="162" t="str">
        <f t="shared" si="108"/>
        <v>Palmeirante</v>
      </c>
      <c r="K222" s="16">
        <v>130</v>
      </c>
      <c r="L222" s="167" t="str">
        <f>IF(K222&lt;&gt;"",VLOOKUP(K222,'Catálogo SAP'!A:F,3,FALSE),"")</f>
        <v>S.VP-01438</v>
      </c>
      <c r="M222" s="162" t="str">
        <f>IF(K222&lt;&gt;"",VLOOKUP(K222,'Catálogo SAP'!A:F,4,FALSE),"")</f>
        <v>Hr Improdutiva Retroescavadeira C/Operador</v>
      </c>
      <c r="N222" s="168" t="str">
        <f>IF(K222&lt;&gt;"",VLOOKUP(K222,'Catálogo SAP'!A:F,5,FALSE),"")</f>
        <v>H</v>
      </c>
      <c r="O222" s="160">
        <v>4</v>
      </c>
      <c r="P222" s="70">
        <f t="shared" si="97"/>
        <v>0</v>
      </c>
      <c r="Q222" s="163" t="e">
        <f t="shared" si="92"/>
        <v>#VALUE!</v>
      </c>
      <c r="R222" s="44" t="str">
        <f>IF(J222&lt;&gt;"",VLOOKUP(J222,'RESUMO DR'!$B$4:$E$253,4,FALSE),"-")</f>
        <v>T-02</v>
      </c>
      <c r="S222" s="58" t="str">
        <f>IF(J222&lt;&gt;"",VLOOKUP(J222,'RESUMO DR'!$B$4:$E$253,3,FALSE),"-")</f>
        <v>ARAGUAINA</v>
      </c>
      <c r="T222" s="129"/>
      <c r="U222" s="129"/>
      <c r="V222" s="129"/>
      <c r="W222" s="128"/>
      <c r="X222" s="127"/>
      <c r="Y222" s="127"/>
      <c r="Z222" s="4"/>
    </row>
    <row r="223" spans="1:26" ht="18" customHeight="1">
      <c r="A223" s="5">
        <v>1963</v>
      </c>
      <c r="B223" s="21">
        <v>45649</v>
      </c>
      <c r="C223" s="21" t="s">
        <v>305</v>
      </c>
      <c r="D223" s="74" t="str">
        <f t="shared" si="109"/>
        <v>seg</v>
      </c>
      <c r="E223" s="169">
        <f>IF(K223&lt;&gt;"",VLOOKUP(K223,'Catálogo SAP'!$A$1:$F$245,2,FALSE),"-")</f>
        <v>280</v>
      </c>
      <c r="F223" s="225">
        <v>190</v>
      </c>
      <c r="G223" s="16">
        <v>195</v>
      </c>
      <c r="H223" s="226"/>
      <c r="I223" s="230">
        <v>442</v>
      </c>
      <c r="J223" s="162" t="str">
        <f t="shared" si="108"/>
        <v>Palmeirante</v>
      </c>
      <c r="K223" s="16">
        <v>280</v>
      </c>
      <c r="L223" s="167" t="str">
        <f>IF(K223&lt;&gt;"",VLOOKUP(K223,'Catálogo SAP'!A:F,3,FALSE),"")</f>
        <v>S.VP-01453</v>
      </c>
      <c r="M223" s="162" t="str">
        <f>IF(K223&lt;&gt;"",VLOOKUP(K223,'Catálogo SAP'!A:F,4,FALSE),"")</f>
        <v>Hora Produtiva Motoniveladora C/Operador</v>
      </c>
      <c r="N223" s="168" t="str">
        <f>IF(K223&lt;&gt;"",VLOOKUP(K223,'Catálogo SAP'!A:F,5,FALSE),"")</f>
        <v>H</v>
      </c>
      <c r="O223" s="160">
        <v>5</v>
      </c>
      <c r="P223" s="70">
        <f t="shared" si="97"/>
        <v>5</v>
      </c>
      <c r="Q223" s="163" t="e">
        <f t="shared" si="92"/>
        <v>#VALUE!</v>
      </c>
      <c r="R223" s="44" t="str">
        <f>IF(J223&lt;&gt;"",VLOOKUP(J223,'RESUMO DR'!$B$4:$E$253,4,FALSE),"-")</f>
        <v>T-02</v>
      </c>
      <c r="S223" s="58" t="str">
        <f>IF(J223&lt;&gt;"",VLOOKUP(J223,'RESUMO DR'!$B$4:$E$253,3,FALSE),"-")</f>
        <v>ARAGUAINA</v>
      </c>
      <c r="T223" s="129"/>
      <c r="U223" s="129"/>
      <c r="V223" s="129"/>
      <c r="W223" s="128"/>
      <c r="X223" s="127"/>
      <c r="Y223" s="127"/>
      <c r="Z223" s="4"/>
    </row>
    <row r="224" spans="1:26" ht="18" customHeight="1">
      <c r="A224" s="5">
        <v>1963</v>
      </c>
      <c r="B224" s="21">
        <v>45649</v>
      </c>
      <c r="C224" s="21" t="s">
        <v>305</v>
      </c>
      <c r="D224" s="74" t="str">
        <f t="shared" si="31"/>
        <v>seg</v>
      </c>
      <c r="E224" s="169">
        <f>IF(K224&lt;&gt;"",VLOOKUP(K224,'Catálogo SAP'!$A$1:$F$245,2,FALSE),"-")</f>
        <v>290</v>
      </c>
      <c r="F224" s="16">
        <v>195</v>
      </c>
      <c r="G224" s="16">
        <v>195</v>
      </c>
      <c r="H224" s="22"/>
      <c r="I224" s="133">
        <v>442</v>
      </c>
      <c r="J224" s="162" t="str">
        <f t="shared" si="32"/>
        <v>Palmeirante</v>
      </c>
      <c r="K224" s="16">
        <v>290</v>
      </c>
      <c r="L224" s="167" t="str">
        <f>IF(K224&lt;&gt;"",VLOOKUP(K224,'Catálogo SAP'!A:F,3,FALSE),"")</f>
        <v>S.VP-01454</v>
      </c>
      <c r="M224" s="162" t="str">
        <f>IF(K224&lt;&gt;"",VLOOKUP(K224,'Catálogo SAP'!A:F,4,FALSE),"")</f>
        <v>Hora Improdutiva Motoniveladora C/Operador</v>
      </c>
      <c r="N224" s="168" t="str">
        <f>IF(K224&lt;&gt;"",VLOOKUP(K224,'Catálogo SAP'!A:F,5,FALSE),"")</f>
        <v>H</v>
      </c>
      <c r="O224" s="160">
        <v>4</v>
      </c>
      <c r="P224" s="70">
        <f t="shared" si="97"/>
        <v>0</v>
      </c>
      <c r="Q224" s="163" t="e">
        <f t="shared" si="92"/>
        <v>#VALUE!</v>
      </c>
      <c r="R224" s="44" t="str">
        <f>IF(J224&lt;&gt;"",VLOOKUP(J224,'RESUMO DR'!$B$4:$E$253,4,FALSE),"-")</f>
        <v>T-02</v>
      </c>
      <c r="S224" s="58" t="str">
        <f>IF(J224&lt;&gt;"",VLOOKUP(J224,'RESUMO DR'!$B$4:$E$253,3,FALSE),"-")</f>
        <v>ARAGUAINA</v>
      </c>
      <c r="T224" s="129"/>
      <c r="U224" s="129"/>
      <c r="V224" s="129"/>
      <c r="W224" s="128"/>
      <c r="X224" s="127"/>
      <c r="Y224" s="127"/>
      <c r="Z224" s="4"/>
    </row>
    <row r="225" spans="1:26" ht="18" customHeight="1">
      <c r="A225" s="5">
        <v>1967</v>
      </c>
      <c r="B225" s="21">
        <v>45649</v>
      </c>
      <c r="C225" s="21" t="s">
        <v>299</v>
      </c>
      <c r="D225" s="74" t="str">
        <f t="shared" ref="D225:D228" si="110">IF(B225="","-",TEXT(B225,"ddd"))</f>
        <v>seg</v>
      </c>
      <c r="E225" s="169">
        <f>IF(K225&lt;&gt;"",VLOOKUP(K225,'Catálogo SAP'!$A$1:$F$245,2,FALSE),"-")</f>
        <v>170</v>
      </c>
      <c r="F225" s="225">
        <v>137</v>
      </c>
      <c r="G225" s="225">
        <v>137</v>
      </c>
      <c r="H225" s="226"/>
      <c r="I225" s="230">
        <v>563</v>
      </c>
      <c r="J225" s="162" t="str">
        <f t="shared" si="32"/>
        <v>Tupirama</v>
      </c>
      <c r="K225" s="16">
        <v>170</v>
      </c>
      <c r="L225" s="167" t="str">
        <f>IF(K225&lt;&gt;"",VLOOKUP(K225,'Catálogo SAP'!A:F,3,FALSE),"")</f>
        <v>S.VP-01442</v>
      </c>
      <c r="M225" s="162" t="str">
        <f>IF(K225&lt;&gt;"",VLOOKUP(K225,'Catálogo SAP'!A:F,4,FALSE),"")</f>
        <v>Hora Improdutiva Pa Carregadeira C/Operador</v>
      </c>
      <c r="N225" s="168" t="str">
        <f>IF(K225&lt;&gt;"",VLOOKUP(K225,'Catálogo SAP'!A:F,5,FALSE),"")</f>
        <v>H</v>
      </c>
      <c r="O225" s="160">
        <v>9</v>
      </c>
      <c r="P225" s="70">
        <f t="shared" si="97"/>
        <v>0</v>
      </c>
      <c r="Q225" s="163" t="e">
        <f t="shared" si="92"/>
        <v>#VALUE!</v>
      </c>
      <c r="R225" s="44" t="str">
        <f>IF(J225&lt;&gt;"",VLOOKUP(J225,'RESUMO DR'!$B$4:$E$253,4,FALSE),"-")</f>
        <v>T-03</v>
      </c>
      <c r="S225" s="58" t="str">
        <f>IF(J225&lt;&gt;"",VLOOKUP(J225,'RESUMO DR'!$B$4:$E$253,3,FALSE),"-")</f>
        <v>PALMAS</v>
      </c>
      <c r="T225" s="129"/>
      <c r="U225" s="129"/>
      <c r="V225" s="129"/>
      <c r="W225" s="128"/>
      <c r="X225" s="127"/>
      <c r="Y225" s="127"/>
      <c r="Z225" s="4"/>
    </row>
    <row r="226" spans="1:26" ht="18" customHeight="1">
      <c r="A226" s="5"/>
      <c r="B226" s="21">
        <v>45649</v>
      </c>
      <c r="C226" s="21" t="s">
        <v>299</v>
      </c>
      <c r="D226" s="74" t="str">
        <f t="shared" si="110"/>
        <v>seg</v>
      </c>
      <c r="E226" s="169" t="str">
        <f>IF(K226&lt;&gt;"",VLOOKUP(K226,'Catálogo SAP'!$A$1:$F$245,2,FALSE),"-")</f>
        <v>-</v>
      </c>
      <c r="F226" s="16"/>
      <c r="G226" s="16"/>
      <c r="H226" s="22"/>
      <c r="I226" s="133"/>
      <c r="J226" s="162" t="str">
        <f t="shared" si="32"/>
        <v/>
      </c>
      <c r="K226" s="16"/>
      <c r="L226" s="167" t="str">
        <f>IF(K226&lt;&gt;"",VLOOKUP(K226,'Catálogo SAP'!A:F,3,FALSE),"")</f>
        <v/>
      </c>
      <c r="M226" s="162" t="str">
        <f>IF(K226&lt;&gt;"",VLOOKUP(K226,'Catálogo SAP'!A:F,4,FALSE),"")</f>
        <v/>
      </c>
      <c r="N226" s="168" t="str">
        <f>IF(K226&lt;&gt;"",VLOOKUP(K226,'Catálogo SAP'!A:F,5,FALSE),"")</f>
        <v/>
      </c>
      <c r="O226" s="160"/>
      <c r="P226" s="70" t="str">
        <f t="shared" si="97"/>
        <v>-</v>
      </c>
      <c r="Q226" s="163" t="str">
        <f t="shared" si="92"/>
        <v>-</v>
      </c>
      <c r="R226" s="44" t="str">
        <f>IF(J226&lt;&gt;"",VLOOKUP(J226,'RESUMO DR'!$B$4:$E$253,4,FALSE),"-")</f>
        <v>-</v>
      </c>
      <c r="S226" s="58" t="str">
        <f>IF(J226&lt;&gt;"",VLOOKUP(J226,'RESUMO DR'!$B$4:$E$253,3,FALSE),"-")</f>
        <v>-</v>
      </c>
      <c r="T226" s="129"/>
      <c r="U226" s="129"/>
      <c r="V226" s="129"/>
      <c r="W226" s="128"/>
      <c r="X226" s="127"/>
      <c r="Y226" s="127"/>
      <c r="Z226" s="4"/>
    </row>
    <row r="227" spans="1:26" ht="18" customHeight="1">
      <c r="A227" s="5">
        <v>1958</v>
      </c>
      <c r="B227" s="21">
        <v>45649</v>
      </c>
      <c r="C227" s="21" t="s">
        <v>134</v>
      </c>
      <c r="D227" s="74" t="str">
        <f t="shared" ref="D227" si="111">IF(B227="","-",TEXT(B227,"ddd"))</f>
        <v>seg</v>
      </c>
      <c r="E227" s="169">
        <f>IF(K227&lt;&gt;"",VLOOKUP(K227,'Catálogo SAP'!$A$1:$F$245,2,FALSE),"-")</f>
        <v>480</v>
      </c>
      <c r="F227" s="225">
        <v>3382</v>
      </c>
      <c r="G227" s="225">
        <v>3392</v>
      </c>
      <c r="H227" s="226"/>
      <c r="I227" s="230">
        <v>91</v>
      </c>
      <c r="J227" s="162" t="str">
        <f t="shared" ref="J227:J228" si="112">IF(AND(I227&gt;=0.001,I227&lt;=16),"AÇAILÂNDIA","")&amp;IF(AND(I227&gt;=16.001,I227&lt;=44),"S.F. BREJÃO","")&amp;IF(AND(I227&gt;=44.001,I227&lt;=78),"JOÃO LISBOA","")&amp;IF(AND(I227&gt;=78.001,I227&lt;=96.397),"IMPERATRIZ","")&amp;IF(AND(I227&gt;=96.398,I227&lt;=122.82),"EDSON LOBÃO","")&amp;IF(AND(I227&gt;=122.821,I227&lt;=152.303),"RIBAMAR FIQUENE","")&amp;IF(AND(I227&gt;=152.304,I227&lt;=172.403),"CAMPESTRE","")&amp;IF(AND(I227&gt;=172.404,I227&lt;=195),"PORTO FRANCO","")&amp;IF(AND(I227&gt;=300,I227&lt;=300),"SAO LUIS","")&amp;IF(AND(I227&gt;=385.4,I227&lt;=465.4),"Palmeirante","")&amp;IF(AND(I227&gt;=465.401,I227&lt;=520.455),"Tupiratins","")&amp;IF(AND(I227&gt;=520.456,I227&lt;=536.741),"Guaraí","")&amp;IF(AND(I227&gt;=536.742,I227&lt;=580.293),"Tupirama","")&amp;IF(AND(I227&gt;=580.294,I227&lt;=608.637),"Rio dos Bois","")&amp;IF(AND(I227&gt;=608.638,I227&lt;=698.981),"Miracema","")&amp;IF(AND(I227&gt;=698.982,I227&lt;=735.6),"Porto Nacional","")&amp;IF(AND(I227&gt;=195.1,I227&lt;=213.603),"ESTREITO","")&amp;IF(AND(I227&gt;=213.604,I227&lt;=218.976),"AGUIARNÓPOLIS","")&amp;IF(AND(I227&gt;=218.977,I227&lt;=253.5),"PALMEIRAS DO TOCANTINS","")&amp;IF(AND(I227&gt;=253.501,I227&lt;=274.15),"DARCINÓPOLIS","")&amp;IF(AND(I227&gt;=274.151,I227&lt;=299.999),"BABAÇULÂNDIA","")&amp;IF(AND(I227&gt;=356.62,I227&lt;=385.4),"ARAGUAÍNA","")&amp;IF(AND(I227&gt;=300.001,I227&lt;=356.619),"BABAÇULÂNDIA","")&amp;IF(AND(I227&gt;=900,I227&lt;=902),"ENG. VLI","")</f>
        <v>IMPERATRIZ</v>
      </c>
      <c r="K227" s="16">
        <v>480</v>
      </c>
      <c r="L227" s="167" t="str">
        <f>IF(K227&lt;&gt;"",VLOOKUP(K227,'Catálogo SAP'!A:F,3,FALSE),"")</f>
        <v>S.VP-01465</v>
      </c>
      <c r="M227" s="162" t="str">
        <f>IF(K227&lt;&gt;"",VLOOKUP(K227,'Catálogo SAP'!A:F,4,FALSE),"")</f>
        <v>Hora Produtiva Miniescavadeira Hidraulica C/ Operador</v>
      </c>
      <c r="N227" s="168" t="str">
        <f>IF(K227&lt;&gt;"",VLOOKUP(K227,'Catálogo SAP'!A:F,5,FALSE),"")</f>
        <v>H</v>
      </c>
      <c r="O227" s="160">
        <v>10</v>
      </c>
      <c r="P227" s="70">
        <f t="shared" si="97"/>
        <v>10</v>
      </c>
      <c r="Q227" s="163" t="e">
        <f t="shared" ref="Q227" si="113">IF(K227="","-",N227*O227)</f>
        <v>#VALUE!</v>
      </c>
      <c r="R227" s="44" t="str">
        <f>IF(J227&lt;&gt;"",VLOOKUP(J227,'RESUMO DR'!$B$4:$E$253,4,FALSE),"-")</f>
        <v>T-01</v>
      </c>
      <c r="S227" s="58" t="str">
        <f>IF(J227&lt;&gt;"",VLOOKUP(J227,'RESUMO DR'!$B$4:$E$253,3,FALSE),"-")</f>
        <v>IMPERATRIZ</v>
      </c>
      <c r="T227" s="129"/>
      <c r="U227" s="129"/>
      <c r="V227" s="129"/>
      <c r="W227" s="128"/>
      <c r="X227" s="127"/>
      <c r="Y227" s="127"/>
      <c r="Z227" s="4"/>
    </row>
    <row r="228" spans="1:26" ht="18" customHeight="1">
      <c r="A228" s="5"/>
      <c r="B228" s="21">
        <v>45649</v>
      </c>
      <c r="C228" s="21" t="s">
        <v>134</v>
      </c>
      <c r="D228" s="74" t="str">
        <f t="shared" si="110"/>
        <v>seg</v>
      </c>
      <c r="E228" s="169" t="str">
        <f>IF(K228&lt;&gt;"",VLOOKUP(K228,'Catálogo SAP'!$A$1:$F$245,2,FALSE),"-")</f>
        <v>-</v>
      </c>
      <c r="F228" s="16"/>
      <c r="G228" s="16"/>
      <c r="H228" s="22"/>
      <c r="I228" s="133"/>
      <c r="J228" s="162" t="str">
        <f t="shared" si="112"/>
        <v/>
      </c>
      <c r="K228" s="16"/>
      <c r="L228" s="167" t="str">
        <f>IF(K228&lt;&gt;"",VLOOKUP(K228,'Catálogo SAP'!A:F,3,FALSE),"")</f>
        <v/>
      </c>
      <c r="M228" s="162" t="str">
        <f>IF(K228&lt;&gt;"",VLOOKUP(K228,'Catálogo SAP'!A:F,4,FALSE),"")</f>
        <v/>
      </c>
      <c r="N228" s="168" t="str">
        <f>IF(K228&lt;&gt;"",VLOOKUP(K228,'Catálogo SAP'!A:F,5,FALSE),"")</f>
        <v/>
      </c>
      <c r="O228" s="160"/>
      <c r="P228" s="70" t="str">
        <f t="shared" si="97"/>
        <v>-</v>
      </c>
      <c r="Q228" s="163" t="str">
        <f t="shared" si="92"/>
        <v>-</v>
      </c>
      <c r="R228" s="44" t="str">
        <f>IF(J228&lt;&gt;"",VLOOKUP(J228,'RESUMO DR'!$B$4:$E$253,4,FALSE),"-")</f>
        <v>-</v>
      </c>
      <c r="S228" s="58" t="str">
        <f>IF(J228&lt;&gt;"",VLOOKUP(J228,'RESUMO DR'!$B$4:$E$253,3,FALSE),"-")</f>
        <v>-</v>
      </c>
      <c r="T228" s="129"/>
      <c r="U228" s="129"/>
      <c r="V228" s="129"/>
      <c r="W228" s="128"/>
      <c r="X228" s="127"/>
      <c r="Y228" s="127"/>
      <c r="Z228" s="4"/>
    </row>
    <row r="229" spans="1:26" ht="18" customHeight="1">
      <c r="A229" s="5">
        <v>2603</v>
      </c>
      <c r="B229" s="21">
        <v>45649</v>
      </c>
      <c r="C229" s="21" t="s">
        <v>315</v>
      </c>
      <c r="D229" s="74" t="str">
        <f t="shared" si="31"/>
        <v>seg</v>
      </c>
      <c r="E229" s="169">
        <f>IF(K229&lt;&gt;"",VLOOKUP(K229,'Catálogo SAP'!$A$1:$F$245,2,FALSE),"-")</f>
        <v>160</v>
      </c>
      <c r="F229" s="16">
        <v>1371</v>
      </c>
      <c r="G229" s="16">
        <v>1380</v>
      </c>
      <c r="H229" s="22"/>
      <c r="I229" s="133">
        <v>57</v>
      </c>
      <c r="J229" s="162" t="str">
        <f t="shared" si="32"/>
        <v>JOÃO LISBOA</v>
      </c>
      <c r="K229" s="16">
        <v>160</v>
      </c>
      <c r="L229" s="167" t="str">
        <f>IF(K229&lt;&gt;"",VLOOKUP(K229,'Catálogo SAP'!A:F,3,FALSE),"")</f>
        <v>S.VP-01441</v>
      </c>
      <c r="M229" s="162" t="str">
        <f>IF(K229&lt;&gt;"",VLOOKUP(K229,'Catálogo SAP'!A:F,4,FALSE),"")</f>
        <v>Hora Produtiva Pa Carregadeira C/Operador</v>
      </c>
      <c r="N229" s="168" t="str">
        <f>IF(K229&lt;&gt;"",VLOOKUP(K229,'Catálogo SAP'!A:F,5,FALSE),"")</f>
        <v>H</v>
      </c>
      <c r="O229" s="160">
        <v>9</v>
      </c>
      <c r="P229" s="70">
        <f t="shared" si="97"/>
        <v>9</v>
      </c>
      <c r="Q229" s="163" t="e">
        <f t="shared" si="92"/>
        <v>#VALUE!</v>
      </c>
      <c r="R229" s="44" t="str">
        <f>IF(J229&lt;&gt;"",VLOOKUP(J229,'RESUMO DR'!$B$4:$E$253,4,FALSE),"-")</f>
        <v>T-01</v>
      </c>
      <c r="S229" s="58" t="str">
        <f>IF(J229&lt;&gt;"",VLOOKUP(J229,'RESUMO DR'!$B$4:$E$253,3,FALSE),"-")</f>
        <v>IMPERATRIZ</v>
      </c>
      <c r="T229" s="129"/>
      <c r="U229" s="129"/>
      <c r="V229" s="129"/>
      <c r="W229" s="128"/>
      <c r="X229" s="127"/>
      <c r="Y229" s="127"/>
      <c r="Z229" s="4"/>
    </row>
    <row r="230" spans="1:26" ht="18" customHeight="1">
      <c r="A230" s="5">
        <v>1966</v>
      </c>
      <c r="B230" s="21">
        <v>45649</v>
      </c>
      <c r="C230" s="21" t="s">
        <v>306</v>
      </c>
      <c r="D230" s="74" t="str">
        <f t="shared" ref="D230" si="114">IF(B230="","-",TEXT(B230,"ddd"))</f>
        <v>seg</v>
      </c>
      <c r="E230" s="169">
        <f>IF(K230&lt;&gt;"",VLOOKUP(K230,'Catálogo SAP'!$A$1:$F$245,2,FALSE),"-")</f>
        <v>280</v>
      </c>
      <c r="F230" s="225">
        <v>284</v>
      </c>
      <c r="G230" s="225">
        <v>293</v>
      </c>
      <c r="H230" s="226"/>
      <c r="I230" s="230">
        <v>577</v>
      </c>
      <c r="J230" s="162" t="str">
        <f t="shared" ref="J230:J234" si="115">IF(AND(I230&gt;=0.001,I230&lt;=16),"AÇAILÂNDIA","")&amp;IF(AND(I230&gt;=16.001,I230&lt;=44),"S.F. BREJÃO","")&amp;IF(AND(I230&gt;=44.001,I230&lt;=78),"JOÃO LISBOA","")&amp;IF(AND(I230&gt;=78.001,I230&lt;=96.397),"IMPERATRIZ","")&amp;IF(AND(I230&gt;=96.398,I230&lt;=122.82),"EDSON LOBÃO","")&amp;IF(AND(I230&gt;=122.821,I230&lt;=152.303),"RIBAMAR FIQUENE","")&amp;IF(AND(I230&gt;=152.304,I230&lt;=172.403),"CAMPESTRE","")&amp;IF(AND(I230&gt;=172.404,I230&lt;=195),"PORTO FRANCO","")&amp;IF(AND(I230&gt;=300,I230&lt;=300),"SAO LUIS","")&amp;IF(AND(I230&gt;=385.4,I230&lt;=465.4),"Palmeirante","")&amp;IF(AND(I230&gt;=465.401,I230&lt;=520.455),"Tupiratins","")&amp;IF(AND(I230&gt;=520.456,I230&lt;=536.741),"Guaraí","")&amp;IF(AND(I230&gt;=536.742,I230&lt;=580.293),"Tupirama","")&amp;IF(AND(I230&gt;=580.294,I230&lt;=608.637),"Rio dos Bois","")&amp;IF(AND(I230&gt;=608.638,I230&lt;=698.981),"Miracema","")&amp;IF(AND(I230&gt;=698.982,I230&lt;=735.6),"Porto Nacional","")&amp;IF(AND(I230&gt;=195.1,I230&lt;=213.603),"ESTREITO","")&amp;IF(AND(I230&gt;=213.604,I230&lt;=218.976),"AGUIARNÓPOLIS","")&amp;IF(AND(I230&gt;=218.977,I230&lt;=253.5),"PALMEIRAS DO TOCANTINS","")&amp;IF(AND(I230&gt;=253.501,I230&lt;=274.15),"DARCINÓPOLIS","")&amp;IF(AND(I230&gt;=274.151,I230&lt;=299.999),"BABAÇULÂNDIA","")&amp;IF(AND(I230&gt;=356.62,I230&lt;=385.4),"ARAGUAÍNA","")&amp;IF(AND(I230&gt;=300.001,I230&lt;=356.619),"BABAÇULÂNDIA","")&amp;IF(AND(I230&gt;=900,I230&lt;=902),"ENG. VLI","")</f>
        <v>Tupirama</v>
      </c>
      <c r="K230" s="16">
        <v>280</v>
      </c>
      <c r="L230" s="167" t="str">
        <f>IF(K230&lt;&gt;"",VLOOKUP(K230,'Catálogo SAP'!A:F,3,FALSE),"")</f>
        <v>S.VP-01453</v>
      </c>
      <c r="M230" s="162" t="str">
        <f>IF(K230&lt;&gt;"",VLOOKUP(K230,'Catálogo SAP'!A:F,4,FALSE),"")</f>
        <v>Hora Produtiva Motoniveladora C/Operador</v>
      </c>
      <c r="N230" s="168" t="str">
        <f>IF(K230&lt;&gt;"",VLOOKUP(K230,'Catálogo SAP'!A:F,5,FALSE),"")</f>
        <v>H</v>
      </c>
      <c r="O230" s="160">
        <v>9</v>
      </c>
      <c r="P230" s="70">
        <f t="shared" si="97"/>
        <v>9</v>
      </c>
      <c r="Q230" s="163" t="e">
        <f t="shared" si="92"/>
        <v>#VALUE!</v>
      </c>
      <c r="R230" s="44" t="str">
        <f>IF(J230&lt;&gt;"",VLOOKUP(J230,'RESUMO DR'!$B$4:$E$253,4,FALSE),"-")</f>
        <v>T-03</v>
      </c>
      <c r="S230" s="58" t="str">
        <f>IF(J230&lt;&gt;"",VLOOKUP(J230,'RESUMO DR'!$B$4:$E$253,3,FALSE),"-")</f>
        <v>PALMAS</v>
      </c>
      <c r="T230" s="129"/>
      <c r="U230" s="129"/>
      <c r="V230" s="129"/>
      <c r="W230" s="128"/>
      <c r="X230" s="127"/>
      <c r="Y230" s="127"/>
      <c r="Z230" s="4"/>
    </row>
    <row r="231" spans="1:26" ht="18" customHeight="1">
      <c r="A231" s="5"/>
      <c r="B231" s="21">
        <v>45649</v>
      </c>
      <c r="C231" s="21" t="s">
        <v>306</v>
      </c>
      <c r="D231" s="74" t="str">
        <f t="shared" si="31"/>
        <v>seg</v>
      </c>
      <c r="E231" s="169" t="str">
        <f>IF(K231&lt;&gt;"",VLOOKUP(K231,'Catálogo SAP'!$A$1:$F$245,2,FALSE),"-")</f>
        <v>-</v>
      </c>
      <c r="F231" s="16"/>
      <c r="G231" s="16"/>
      <c r="H231" s="22"/>
      <c r="I231" s="133"/>
      <c r="J231" s="162" t="str">
        <f t="shared" si="115"/>
        <v/>
      </c>
      <c r="K231" s="16"/>
      <c r="L231" s="167" t="str">
        <f>IF(K231&lt;&gt;"",VLOOKUP(K231,'Catálogo SAP'!A:F,3,FALSE),"")</f>
        <v/>
      </c>
      <c r="M231" s="162" t="str">
        <f>IF(K231&lt;&gt;"",VLOOKUP(K231,'Catálogo SAP'!A:F,4,FALSE),"")</f>
        <v/>
      </c>
      <c r="N231" s="168" t="str">
        <f>IF(K231&lt;&gt;"",VLOOKUP(K231,'Catálogo SAP'!A:F,5,FALSE),"")</f>
        <v/>
      </c>
      <c r="O231" s="160"/>
      <c r="P231" s="70" t="str">
        <f t="shared" si="97"/>
        <v>-</v>
      </c>
      <c r="Q231" s="163" t="str">
        <f t="shared" si="92"/>
        <v>-</v>
      </c>
      <c r="R231" s="44" t="str">
        <f>IF(J231&lt;&gt;"",VLOOKUP(J231,'RESUMO DR'!$B$4:$E$253,4,FALSE),"-")</f>
        <v>-</v>
      </c>
      <c r="S231" s="58" t="str">
        <f>IF(J231&lt;&gt;"",VLOOKUP(J231,'RESUMO DR'!$B$4:$E$253,3,FALSE),"-")</f>
        <v>-</v>
      </c>
      <c r="T231" s="129"/>
      <c r="U231" s="129"/>
      <c r="V231" s="129"/>
      <c r="W231" s="128"/>
      <c r="X231" s="127"/>
      <c r="Y231" s="127"/>
      <c r="Z231" s="4"/>
    </row>
    <row r="232" spans="1:26" ht="18" customHeight="1">
      <c r="A232" s="5"/>
      <c r="B232" s="21">
        <v>45649</v>
      </c>
      <c r="C232" s="21" t="s">
        <v>137</v>
      </c>
      <c r="D232" s="74" t="str">
        <f t="shared" ref="D232" si="116">IF(B232="","-",TEXT(B232,"ddd"))</f>
        <v>seg</v>
      </c>
      <c r="E232" s="169" t="str">
        <f>IF(K232&lt;&gt;"",VLOOKUP(K232,'Catálogo SAP'!$A$1:$F$245,2,FALSE),"-")</f>
        <v>-</v>
      </c>
      <c r="F232" s="225"/>
      <c r="G232" s="225"/>
      <c r="H232" s="226"/>
      <c r="I232" s="230"/>
      <c r="J232" s="162" t="str">
        <f t="shared" si="115"/>
        <v/>
      </c>
      <c r="K232" s="16"/>
      <c r="L232" s="167" t="str">
        <f>IF(K232&lt;&gt;"",VLOOKUP(K232,'Catálogo SAP'!A:F,3,FALSE),"")</f>
        <v/>
      </c>
      <c r="M232" s="162" t="str">
        <f>IF(K232&lt;&gt;"",VLOOKUP(K232,'Catálogo SAP'!A:F,4,FALSE),"")</f>
        <v/>
      </c>
      <c r="N232" s="168" t="str">
        <f>IF(K232&lt;&gt;"",VLOOKUP(K232,'Catálogo SAP'!A:F,5,FALSE),"")</f>
        <v/>
      </c>
      <c r="O232" s="160"/>
      <c r="P232" s="70" t="str">
        <f t="shared" si="97"/>
        <v>-</v>
      </c>
      <c r="Q232" s="163" t="str">
        <f t="shared" si="92"/>
        <v>-</v>
      </c>
      <c r="R232" s="44" t="str">
        <f>IF(J232&lt;&gt;"",VLOOKUP(J232,'RESUMO DR'!$B$4:$E$253,4,FALSE),"-")</f>
        <v>-</v>
      </c>
      <c r="S232" s="58" t="str">
        <f>IF(J232&lt;&gt;"",VLOOKUP(J232,'RESUMO DR'!$B$4:$E$253,3,FALSE),"-")</f>
        <v>-</v>
      </c>
      <c r="T232" s="129"/>
      <c r="U232" s="129"/>
      <c r="V232" s="129"/>
      <c r="W232" s="128"/>
      <c r="X232" s="127"/>
      <c r="Y232" s="127"/>
      <c r="Z232" s="4"/>
    </row>
    <row r="233" spans="1:26" ht="18" customHeight="1">
      <c r="A233" s="5">
        <v>1957</v>
      </c>
      <c r="B233" s="21">
        <v>45649</v>
      </c>
      <c r="C233" s="21" t="s">
        <v>313</v>
      </c>
      <c r="D233" s="74" t="str">
        <f t="shared" si="31"/>
        <v>seg</v>
      </c>
      <c r="E233" s="169">
        <f>IF(K233&lt;&gt;"",VLOOKUP(K233,'Catálogo SAP'!$A$1:$F$245,2,FALSE),"-")</f>
        <v>200</v>
      </c>
      <c r="F233" s="225">
        <v>61017</v>
      </c>
      <c r="G233" s="225">
        <v>61321</v>
      </c>
      <c r="H233" s="226"/>
      <c r="I233" s="230">
        <v>54</v>
      </c>
      <c r="J233" s="162" t="str">
        <f t="shared" si="115"/>
        <v>JOÃO LISBOA</v>
      </c>
      <c r="K233" s="16">
        <v>200</v>
      </c>
      <c r="L233" s="167" t="str">
        <f>IF(K233&lt;&gt;"",VLOOKUP(K233,'Catálogo SAP'!A:F,3,FALSE),"")</f>
        <v>S.VP-01445</v>
      </c>
      <c r="M233" s="162" t="str">
        <f>IF(K233&lt;&gt;"",VLOOKUP(K233,'Catálogo SAP'!A:F,4,FALSE),"")</f>
        <v>Km Rodado Caminhão Basculante - C/Motorista</v>
      </c>
      <c r="N233" s="168" t="str">
        <f>IF(K233&lt;&gt;"",VLOOKUP(K233,'Catálogo SAP'!A:F,5,FALSE),"")</f>
        <v>KM</v>
      </c>
      <c r="O233" s="160">
        <v>304</v>
      </c>
      <c r="P233" s="70">
        <f t="shared" si="97"/>
        <v>304</v>
      </c>
      <c r="Q233" s="163" t="e">
        <f t="shared" si="92"/>
        <v>#VALUE!</v>
      </c>
      <c r="R233" s="44" t="str">
        <f>IF(J233&lt;&gt;"",VLOOKUP(J233,'RESUMO DR'!$B$4:$E$253,4,FALSE),"-")</f>
        <v>T-01</v>
      </c>
      <c r="S233" s="58" t="str">
        <f>IF(J233&lt;&gt;"",VLOOKUP(J233,'RESUMO DR'!$B$4:$E$253,3,FALSE),"-")</f>
        <v>IMPERATRIZ</v>
      </c>
      <c r="T233" s="129"/>
      <c r="U233" s="129"/>
      <c r="V233" s="129"/>
      <c r="W233" s="128"/>
      <c r="X233" s="127"/>
      <c r="Y233" s="127"/>
      <c r="Z233" s="4"/>
    </row>
    <row r="234" spans="1:26" ht="18" customHeight="1">
      <c r="A234" s="5">
        <v>1957</v>
      </c>
      <c r="B234" s="21">
        <v>45649</v>
      </c>
      <c r="C234" s="21" t="s">
        <v>314</v>
      </c>
      <c r="D234" s="74" t="str">
        <f t="shared" ref="D234:D238" si="117">IF(B234="","-",TEXT(B234,"ddd"))</f>
        <v>seg</v>
      </c>
      <c r="E234" s="169">
        <f>IF(K234&lt;&gt;"",VLOOKUP(K234,'Catálogo SAP'!$A$1:$F$245,2,FALSE),"-")</f>
        <v>200</v>
      </c>
      <c r="F234" s="225">
        <v>64716</v>
      </c>
      <c r="G234" s="225">
        <v>65016</v>
      </c>
      <c r="H234" s="226"/>
      <c r="I234" s="230">
        <v>57</v>
      </c>
      <c r="J234" s="162" t="str">
        <f t="shared" si="115"/>
        <v>JOÃO LISBOA</v>
      </c>
      <c r="K234" s="16">
        <v>200</v>
      </c>
      <c r="L234" s="167" t="str">
        <f>IF(K234&lt;&gt;"",VLOOKUP(K234,'Catálogo SAP'!A:F,3,FALSE),"")</f>
        <v>S.VP-01445</v>
      </c>
      <c r="M234" s="162" t="str">
        <f>IF(K234&lt;&gt;"",VLOOKUP(K234,'Catálogo SAP'!A:F,4,FALSE),"")</f>
        <v>Km Rodado Caminhão Basculante - C/Motorista</v>
      </c>
      <c r="N234" s="168" t="str">
        <f>IF(K234&lt;&gt;"",VLOOKUP(K234,'Catálogo SAP'!A:F,5,FALSE),"")</f>
        <v>KM</v>
      </c>
      <c r="O234" s="160">
        <v>300</v>
      </c>
      <c r="P234" s="70">
        <f t="shared" si="97"/>
        <v>300</v>
      </c>
      <c r="Q234" s="163" t="e">
        <f t="shared" si="92"/>
        <v>#VALUE!</v>
      </c>
      <c r="R234" s="44" t="str">
        <f>IF(J234&lt;&gt;"",VLOOKUP(J234,'RESUMO DR'!$B$4:$E$253,4,FALSE),"-")</f>
        <v>T-01</v>
      </c>
      <c r="S234" s="58" t="str">
        <f>IF(J234&lt;&gt;"",VLOOKUP(J234,'RESUMO DR'!$B$4:$E$253,3,FALSE),"-")</f>
        <v>IMPERATRIZ</v>
      </c>
      <c r="T234" s="129"/>
      <c r="U234" s="129"/>
      <c r="V234" s="129"/>
      <c r="W234" s="128"/>
      <c r="X234" s="127"/>
      <c r="Y234" s="127"/>
      <c r="Z234" s="4"/>
    </row>
    <row r="235" spans="1:26" ht="18" customHeight="1">
      <c r="A235" s="5"/>
      <c r="B235" s="21">
        <v>45649</v>
      </c>
      <c r="C235" s="21" t="s">
        <v>139</v>
      </c>
      <c r="D235" s="74" t="str">
        <f t="shared" si="117"/>
        <v>seg</v>
      </c>
      <c r="E235" s="169" t="str">
        <f>IF(K235&lt;&gt;"",VLOOKUP(K235,'Catálogo SAP'!$A$1:$F$245,2,FALSE),"-")</f>
        <v>-</v>
      </c>
      <c r="F235" s="225"/>
      <c r="G235" s="225"/>
      <c r="H235" s="226"/>
      <c r="I235" s="230"/>
      <c r="J235" s="162" t="str">
        <f t="shared" ref="J235:J238" si="118">IF(AND(I235&gt;=0.001,I235&lt;=16),"AÇAILÂNDIA","")&amp;IF(AND(I235&gt;=16.001,I235&lt;=44),"S.F. BREJÃO","")&amp;IF(AND(I235&gt;=44.001,I235&lt;=78),"JOÃO LISBOA","")&amp;IF(AND(I235&gt;=78.001,I235&lt;=96.397),"IMPERATRIZ","")&amp;IF(AND(I235&gt;=96.398,I235&lt;=122.82),"EDSON LOBÃO","")&amp;IF(AND(I235&gt;=122.821,I235&lt;=152.303),"RIBAMAR FIQUENE","")&amp;IF(AND(I235&gt;=152.304,I235&lt;=172.403),"CAMPESTRE","")&amp;IF(AND(I235&gt;=172.404,I235&lt;=195),"PORTO FRANCO","")&amp;IF(AND(I235&gt;=300,I235&lt;=300),"SAO LUIS","")&amp;IF(AND(I235&gt;=385.4,I235&lt;=465.4),"Palmeirante","")&amp;IF(AND(I235&gt;=465.401,I235&lt;=520.455),"Tupiratins","")&amp;IF(AND(I235&gt;=520.456,I235&lt;=536.741),"Guaraí","")&amp;IF(AND(I235&gt;=536.742,I235&lt;=580.293),"Tupirama","")&amp;IF(AND(I235&gt;=580.294,I235&lt;=608.637),"Rio dos Bois","")&amp;IF(AND(I235&gt;=608.638,I235&lt;=698.981),"Miracema","")&amp;IF(AND(I235&gt;=698.982,I235&lt;=735.6),"Porto Nacional","")&amp;IF(AND(I235&gt;=195.1,I235&lt;=213.603),"ESTREITO","")&amp;IF(AND(I235&gt;=213.604,I235&lt;=218.976),"AGUIARNÓPOLIS","")&amp;IF(AND(I235&gt;=218.977,I235&lt;=253.5),"PALMEIRAS DO TOCANTINS","")&amp;IF(AND(I235&gt;=253.501,I235&lt;=274.15),"DARCINÓPOLIS","")&amp;IF(AND(I235&gt;=274.151,I235&lt;=299.999),"BABAÇULÂNDIA","")&amp;IF(AND(I235&gt;=356.62,I235&lt;=385.4),"ARAGUAÍNA","")&amp;IF(AND(I235&gt;=300.001,I235&lt;=356.619),"BABAÇULÂNDIA","")&amp;IF(AND(I235&gt;=900,I235&lt;=902),"ENG. VLI","")</f>
        <v/>
      </c>
      <c r="K235" s="16"/>
      <c r="L235" s="167" t="str">
        <f>IF(K235&lt;&gt;"",VLOOKUP(K235,'Catálogo SAP'!A:F,3,FALSE),"")</f>
        <v/>
      </c>
      <c r="M235" s="162" t="str">
        <f>IF(K235&lt;&gt;"",VLOOKUP(K235,'Catálogo SAP'!A:F,4,FALSE),"")</f>
        <v/>
      </c>
      <c r="N235" s="168" t="str">
        <f>IF(K235&lt;&gt;"",VLOOKUP(K235,'Catálogo SAP'!A:F,5,FALSE),"")</f>
        <v/>
      </c>
      <c r="O235" s="160"/>
      <c r="P235" s="70" t="str">
        <f t="shared" si="97"/>
        <v>-</v>
      </c>
      <c r="Q235" s="163" t="str">
        <f t="shared" si="92"/>
        <v>-</v>
      </c>
      <c r="R235" s="44" t="str">
        <f>IF(J235&lt;&gt;"",VLOOKUP(J235,'RESUMO DR'!$B$4:$E$253,4,FALSE),"-")</f>
        <v>-</v>
      </c>
      <c r="S235" s="58" t="str">
        <f>IF(J235&lt;&gt;"",VLOOKUP(J235,'RESUMO DR'!$B$4:$E$253,3,FALSE),"-")</f>
        <v>-</v>
      </c>
      <c r="T235" s="129"/>
      <c r="U235" s="129"/>
      <c r="V235" s="129"/>
      <c r="W235" s="128"/>
      <c r="X235" s="127"/>
      <c r="Y235" s="127"/>
      <c r="Z235" s="4"/>
    </row>
    <row r="236" spans="1:26" ht="13.95" customHeight="1">
      <c r="A236" s="5"/>
      <c r="B236" s="21"/>
      <c r="C236" s="21"/>
      <c r="D236" s="74" t="str">
        <f t="shared" si="117"/>
        <v>-</v>
      </c>
      <c r="E236" s="169" t="str">
        <f>IF(K236&lt;&gt;"",VLOOKUP(K236,'Catálogo SAP'!$A$1:$F$245,2,FALSE),"-")</f>
        <v>-</v>
      </c>
      <c r="F236" s="16"/>
      <c r="G236" s="16"/>
      <c r="H236" s="22"/>
      <c r="I236" s="133"/>
      <c r="J236" s="162" t="str">
        <f t="shared" si="118"/>
        <v/>
      </c>
      <c r="K236" s="16"/>
      <c r="L236" s="167" t="str">
        <f>IF(K236&lt;&gt;"",VLOOKUP(K236,'Catálogo SAP'!A:F,3,FALSE),"")</f>
        <v/>
      </c>
      <c r="M236" s="162" t="str">
        <f>IF(K236&lt;&gt;"",VLOOKUP(K236,'Catálogo SAP'!A:F,4,FALSE),"")</f>
        <v/>
      </c>
      <c r="N236" s="168" t="str">
        <f>IF(K236&lt;&gt;"",VLOOKUP(K236,'Catálogo SAP'!A:F,5,FALSE),"")</f>
        <v/>
      </c>
      <c r="O236" s="160"/>
      <c r="P236" s="70" t="str">
        <f t="shared" si="97"/>
        <v>-</v>
      </c>
      <c r="Q236" s="163" t="str">
        <f t="shared" si="92"/>
        <v>-</v>
      </c>
      <c r="R236" s="44" t="str">
        <f>IF(J236&lt;&gt;"",VLOOKUP(J236,'RESUMO DR'!$B$4:$E$253,4,FALSE),"-")</f>
        <v>-</v>
      </c>
      <c r="S236" s="58" t="str">
        <f>IF(J236&lt;&gt;"",VLOOKUP(J236,'RESUMO DR'!$B$4:$E$253,3,FALSE),"-")</f>
        <v>-</v>
      </c>
      <c r="T236" s="129"/>
      <c r="U236" s="129"/>
      <c r="V236" s="129"/>
      <c r="W236" s="128"/>
      <c r="X236" s="127"/>
      <c r="Y236" s="127"/>
      <c r="Z236" s="4"/>
    </row>
    <row r="237" spans="1:26" ht="18" customHeight="1">
      <c r="A237" s="5">
        <v>1558</v>
      </c>
      <c r="B237" s="21">
        <v>45650</v>
      </c>
      <c r="C237" s="21" t="s">
        <v>121</v>
      </c>
      <c r="D237" s="74" t="str">
        <f t="shared" si="117"/>
        <v>ter</v>
      </c>
      <c r="E237" s="169">
        <f>IF(K237&lt;&gt;"",VLOOKUP(K237,'Catálogo SAP'!$A$1:$F$245,2,FALSE),"-")</f>
        <v>130</v>
      </c>
      <c r="F237" s="16">
        <v>8692</v>
      </c>
      <c r="G237" s="16">
        <v>8692</v>
      </c>
      <c r="H237" s="226"/>
      <c r="I237" s="133">
        <v>300</v>
      </c>
      <c r="J237" s="162" t="str">
        <f t="shared" si="118"/>
        <v>SAO LUIS</v>
      </c>
      <c r="K237" s="16">
        <v>130</v>
      </c>
      <c r="L237" s="167" t="str">
        <f>IF(K237&lt;&gt;"",VLOOKUP(K237,'Catálogo SAP'!A:F,3,FALSE),"")</f>
        <v>S.VP-01438</v>
      </c>
      <c r="M237" s="162" t="str">
        <f>IF(K237&lt;&gt;"",VLOOKUP(K237,'Catálogo SAP'!A:F,4,FALSE),"")</f>
        <v>Hr Improdutiva Retroescavadeira C/Operador</v>
      </c>
      <c r="N237" s="168" t="str">
        <f>IF(K237&lt;&gt;"",VLOOKUP(K237,'Catálogo SAP'!A:F,5,FALSE),"")</f>
        <v>H</v>
      </c>
      <c r="O237" s="160">
        <v>9</v>
      </c>
      <c r="P237" s="70">
        <f t="shared" si="97"/>
        <v>0</v>
      </c>
      <c r="Q237" s="163" t="e">
        <f t="shared" si="92"/>
        <v>#VALUE!</v>
      </c>
      <c r="R237" s="44" t="str">
        <f>IF(J237&lt;&gt;"",VLOOKUP(J237,'RESUMO DR'!$B$4:$E$253,4,FALSE),"-")</f>
        <v>T-02</v>
      </c>
      <c r="S237" s="58" t="str">
        <f>IF(J237&lt;&gt;"",VLOOKUP(J237,'RESUMO DR'!$B$4:$E$253,3,FALSE),"-")</f>
        <v>ARAGUAINA</v>
      </c>
      <c r="T237" s="129"/>
      <c r="U237" s="129"/>
      <c r="V237" s="129"/>
      <c r="W237" s="128"/>
      <c r="X237" s="127"/>
      <c r="Y237" s="127"/>
      <c r="Z237" s="4"/>
    </row>
    <row r="238" spans="1:26" ht="18" customHeight="1">
      <c r="A238" s="5"/>
      <c r="B238" s="21">
        <v>45650</v>
      </c>
      <c r="C238" s="21" t="s">
        <v>121</v>
      </c>
      <c r="D238" s="74" t="str">
        <f t="shared" si="117"/>
        <v>ter</v>
      </c>
      <c r="E238" s="169" t="str">
        <f>IF(K238&lt;&gt;"",VLOOKUP(K238,'Catálogo SAP'!$A$1:$F$245,2,FALSE),"-")</f>
        <v>-</v>
      </c>
      <c r="F238" s="225"/>
      <c r="G238" s="225"/>
      <c r="H238" s="226"/>
      <c r="I238" s="230"/>
      <c r="J238" s="162" t="str">
        <f t="shared" si="118"/>
        <v/>
      </c>
      <c r="K238" s="16"/>
      <c r="L238" s="167" t="str">
        <f>IF(K238&lt;&gt;"",VLOOKUP(K238,'Catálogo SAP'!A:F,3,FALSE),"")</f>
        <v/>
      </c>
      <c r="M238" s="162" t="str">
        <f>IF(K238&lt;&gt;"",VLOOKUP(K238,'Catálogo SAP'!A:F,4,FALSE),"")</f>
        <v/>
      </c>
      <c r="N238" s="168" t="str">
        <f>IF(K238&lt;&gt;"",VLOOKUP(K238,'Catálogo SAP'!A:F,5,FALSE),"")</f>
        <v/>
      </c>
      <c r="O238" s="160"/>
      <c r="P238" s="70" t="str">
        <f t="shared" si="97"/>
        <v>-</v>
      </c>
      <c r="Q238" s="163" t="str">
        <f t="shared" si="92"/>
        <v>-</v>
      </c>
      <c r="R238" s="44" t="str">
        <f>IF(J238&lt;&gt;"",VLOOKUP(J238,'RESUMO DR'!$B$4:$E$253,4,FALSE),"-")</f>
        <v>-</v>
      </c>
      <c r="S238" s="58" t="str">
        <f>IF(J238&lt;&gt;"",VLOOKUP(J238,'RESUMO DR'!$B$4:$E$253,3,FALSE),"-")</f>
        <v>-</v>
      </c>
      <c r="T238" s="129"/>
      <c r="U238" s="129"/>
      <c r="V238" s="129"/>
      <c r="W238" s="128"/>
      <c r="X238" s="127"/>
      <c r="Y238" s="127"/>
      <c r="Z238" s="4"/>
    </row>
    <row r="239" spans="1:26" ht="18" customHeight="1">
      <c r="A239" s="5">
        <v>1970</v>
      </c>
      <c r="B239" s="21">
        <v>45650</v>
      </c>
      <c r="C239" s="21" t="s">
        <v>122</v>
      </c>
      <c r="D239" s="74" t="str">
        <f t="shared" si="31"/>
        <v>ter</v>
      </c>
      <c r="E239" s="169">
        <f>IF(K239&lt;&gt;"",VLOOKUP(K239,'Catálogo SAP'!$A$1:$F$245,2,FALSE),"-")</f>
        <v>120</v>
      </c>
      <c r="F239" s="225">
        <v>3805</v>
      </c>
      <c r="G239" s="225">
        <v>3814</v>
      </c>
      <c r="H239" s="226"/>
      <c r="I239" s="230">
        <v>359</v>
      </c>
      <c r="J239" s="162" t="str">
        <f t="shared" si="32"/>
        <v>ARAGUAÍNA</v>
      </c>
      <c r="K239" s="16">
        <v>120</v>
      </c>
      <c r="L239" s="167" t="str">
        <f>IF(K239&lt;&gt;"",VLOOKUP(K239,'Catálogo SAP'!A:F,3,FALSE),"")</f>
        <v>S.VP-01437</v>
      </c>
      <c r="M239" s="162" t="str">
        <f>IF(K239&lt;&gt;"",VLOOKUP(K239,'Catálogo SAP'!A:F,4,FALSE),"")</f>
        <v>Hr Produtiva Retroescavadeira C/Operador</v>
      </c>
      <c r="N239" s="168" t="str">
        <f>IF(K239&lt;&gt;"",VLOOKUP(K239,'Catálogo SAP'!A:F,5,FALSE),"")</f>
        <v>H</v>
      </c>
      <c r="O239" s="160">
        <v>9</v>
      </c>
      <c r="P239" s="70">
        <f t="shared" si="97"/>
        <v>9</v>
      </c>
      <c r="Q239" s="163" t="e">
        <f t="shared" si="92"/>
        <v>#VALUE!</v>
      </c>
      <c r="R239" s="44" t="str">
        <f>IF(J239&lt;&gt;"",VLOOKUP(J239,'RESUMO DR'!$B$4:$E$253,4,FALSE),"-")</f>
        <v>T-02</v>
      </c>
      <c r="S239" s="58" t="str">
        <f>IF(J239&lt;&gt;"",VLOOKUP(J239,'RESUMO DR'!$B$4:$E$253,3,FALSE),"-")</f>
        <v>ARAGUAINA</v>
      </c>
      <c r="T239" s="129"/>
      <c r="U239" s="129"/>
      <c r="V239" s="129"/>
      <c r="W239" s="128"/>
      <c r="X239" s="127"/>
      <c r="Y239" s="127"/>
      <c r="Z239" s="4"/>
    </row>
    <row r="240" spans="1:26" ht="18" customHeight="1">
      <c r="A240" s="5"/>
      <c r="B240" s="21">
        <v>45650</v>
      </c>
      <c r="C240" s="21" t="s">
        <v>122</v>
      </c>
      <c r="D240" s="74" t="str">
        <f t="shared" ref="D240:D241" si="119">IF(B240="","-",TEXT(B240,"ddd"))</f>
        <v>ter</v>
      </c>
      <c r="E240" s="169" t="str">
        <f>IF(K240&lt;&gt;"",VLOOKUP(K240,'Catálogo SAP'!$A$1:$F$245,2,FALSE),"-")</f>
        <v>-</v>
      </c>
      <c r="F240" s="225"/>
      <c r="G240" s="225"/>
      <c r="H240" s="226"/>
      <c r="I240" s="227"/>
      <c r="J240" s="228" t="str">
        <f t="shared" si="32"/>
        <v/>
      </c>
      <c r="K240" s="225"/>
      <c r="L240" s="167" t="str">
        <f>IF(K240&lt;&gt;"",VLOOKUP(K240,'Catálogo SAP'!A:F,3,FALSE),"")</f>
        <v/>
      </c>
      <c r="M240" s="162" t="str">
        <f>IF(K240&lt;&gt;"",VLOOKUP(K240,'Catálogo SAP'!A:F,4,FALSE),"")</f>
        <v/>
      </c>
      <c r="N240" s="168" t="str">
        <f>IF(K240&lt;&gt;"",VLOOKUP(K240,'Catálogo SAP'!A:F,5,FALSE),"")</f>
        <v/>
      </c>
      <c r="O240" s="231"/>
      <c r="P240" s="70" t="str">
        <f t="shared" si="97"/>
        <v>-</v>
      </c>
      <c r="Q240" s="229" t="str">
        <f t="shared" si="92"/>
        <v>-</v>
      </c>
      <c r="R240" s="44" t="str">
        <f>IF(J240&lt;&gt;"",VLOOKUP(J240,'RESUMO DR'!$B$4:$E$253,4,FALSE),"-")</f>
        <v>-</v>
      </c>
      <c r="S240" s="58" t="str">
        <f>IF(J240&lt;&gt;"",VLOOKUP(J240,'RESUMO DR'!$B$4:$E$253,3,FALSE),"-")</f>
        <v>-</v>
      </c>
      <c r="T240" s="129"/>
      <c r="U240" s="129"/>
      <c r="V240" s="129"/>
      <c r="W240" s="128"/>
      <c r="X240" s="127"/>
      <c r="Y240" s="127"/>
      <c r="Z240" s="4"/>
    </row>
    <row r="241" spans="1:26" ht="18" customHeight="1">
      <c r="A241" s="5">
        <v>1971</v>
      </c>
      <c r="B241" s="21">
        <v>45650</v>
      </c>
      <c r="C241" s="21" t="s">
        <v>123</v>
      </c>
      <c r="D241" s="74" t="str">
        <f t="shared" si="119"/>
        <v>ter</v>
      </c>
      <c r="E241" s="169">
        <f>IF(K241&lt;&gt;"",VLOOKUP(K241,'Catálogo SAP'!$A$1:$F$245,2,FALSE),"-")</f>
        <v>120</v>
      </c>
      <c r="F241" s="225">
        <v>5837</v>
      </c>
      <c r="G241" s="225">
        <v>5846</v>
      </c>
      <c r="H241" s="226"/>
      <c r="I241" s="230">
        <v>574</v>
      </c>
      <c r="J241" s="162" t="str">
        <f t="shared" ref="J241:J242" si="120">IF(AND(I241&gt;=0.001,I241&lt;=16),"AÇAILÂNDIA","")&amp;IF(AND(I241&gt;=16.001,I241&lt;=44),"S.F. BREJÃO","")&amp;IF(AND(I241&gt;=44.001,I241&lt;=78),"JOÃO LISBOA","")&amp;IF(AND(I241&gt;=78.001,I241&lt;=96.397),"IMPERATRIZ","")&amp;IF(AND(I241&gt;=96.398,I241&lt;=122.82),"EDSON LOBÃO","")&amp;IF(AND(I241&gt;=122.821,I241&lt;=152.303),"RIBAMAR FIQUENE","")&amp;IF(AND(I241&gt;=152.304,I241&lt;=172.403),"CAMPESTRE","")&amp;IF(AND(I241&gt;=172.404,I241&lt;=195),"PORTO FRANCO","")&amp;IF(AND(I241&gt;=300,I241&lt;=300),"SAO LUIS","")&amp;IF(AND(I241&gt;=385.4,I241&lt;=465.4),"Palmeirante","")&amp;IF(AND(I241&gt;=465.401,I241&lt;=520.455),"Tupiratins","")&amp;IF(AND(I241&gt;=520.456,I241&lt;=536.741),"Guaraí","")&amp;IF(AND(I241&gt;=536.742,I241&lt;=580.293),"Tupirama","")&amp;IF(AND(I241&gt;=580.294,I241&lt;=608.637),"Rio dos Bois","")&amp;IF(AND(I241&gt;=608.638,I241&lt;=698.981),"Miracema","")&amp;IF(AND(I241&gt;=698.982,I241&lt;=735.6),"Porto Nacional","")&amp;IF(AND(I241&gt;=195.1,I241&lt;=213.603),"ESTREITO","")&amp;IF(AND(I241&gt;=213.604,I241&lt;=218.976),"AGUIARNÓPOLIS","")&amp;IF(AND(I241&gt;=218.977,I241&lt;=253.5),"PALMEIRAS DO TOCANTINS","")&amp;IF(AND(I241&gt;=253.501,I241&lt;=274.15),"DARCINÓPOLIS","")&amp;IF(AND(I241&gt;=274.151,I241&lt;=299.999),"BABAÇULÂNDIA","")&amp;IF(AND(I241&gt;=356.62,I241&lt;=385.4),"ARAGUAÍNA","")&amp;IF(AND(I241&gt;=300.001,I241&lt;=356.619),"BABAÇULÂNDIA","")&amp;IF(AND(I241&gt;=900,I241&lt;=902),"ENG. VLI","")</f>
        <v>Tupirama</v>
      </c>
      <c r="K241" s="16">
        <v>120</v>
      </c>
      <c r="L241" s="167" t="str">
        <f>IF(K241&lt;&gt;"",VLOOKUP(K241,'Catálogo SAP'!A:F,3,FALSE),"")</f>
        <v>S.VP-01437</v>
      </c>
      <c r="M241" s="162" t="str">
        <f>IF(K241&lt;&gt;"",VLOOKUP(K241,'Catálogo SAP'!A:F,4,FALSE),"")</f>
        <v>Hr Produtiva Retroescavadeira C/Operador</v>
      </c>
      <c r="N241" s="168" t="str">
        <f>IF(K241&lt;&gt;"",VLOOKUP(K241,'Catálogo SAP'!A:F,5,FALSE),"")</f>
        <v>H</v>
      </c>
      <c r="O241" s="160">
        <v>9</v>
      </c>
      <c r="P241" s="70">
        <f t="shared" si="97"/>
        <v>9</v>
      </c>
      <c r="Q241" s="163" t="e">
        <f t="shared" si="92"/>
        <v>#VALUE!</v>
      </c>
      <c r="R241" s="44" t="str">
        <f>IF(J241&lt;&gt;"",VLOOKUP(J241,'RESUMO DR'!$B$4:$E$253,4,FALSE),"-")</f>
        <v>T-03</v>
      </c>
      <c r="S241" s="58" t="str">
        <f>IF(J241&lt;&gt;"",VLOOKUP(J241,'RESUMO DR'!$B$4:$E$253,3,FALSE),"-")</f>
        <v>PALMAS</v>
      </c>
      <c r="T241" s="129"/>
      <c r="U241" s="129"/>
      <c r="V241" s="129"/>
      <c r="W241" s="128"/>
      <c r="X241" s="127"/>
      <c r="Y241" s="127"/>
      <c r="Z241" s="4"/>
    </row>
    <row r="242" spans="1:26" ht="18" customHeight="1">
      <c r="A242" s="5"/>
      <c r="B242" s="21">
        <v>45650</v>
      </c>
      <c r="C242" s="21" t="s">
        <v>124</v>
      </c>
      <c r="D242" s="74" t="str">
        <f t="shared" ref="D242" si="121">IF(B242="","-",TEXT(B242,"ddd"))</f>
        <v>ter</v>
      </c>
      <c r="E242" s="169" t="str">
        <f>IF(K242&lt;&gt;"",VLOOKUP(K242,'Catálogo SAP'!$A$1:$F$245,2,FALSE),"-")</f>
        <v>-</v>
      </c>
      <c r="F242" s="225"/>
      <c r="G242" s="225"/>
      <c r="H242" s="226"/>
      <c r="I242" s="230"/>
      <c r="J242" s="162" t="str">
        <f t="shared" si="120"/>
        <v/>
      </c>
      <c r="K242" s="16"/>
      <c r="L242" s="167" t="str">
        <f>IF(K242&lt;&gt;"",VLOOKUP(K242,'Catálogo SAP'!A:F,3,FALSE),"")</f>
        <v/>
      </c>
      <c r="M242" s="162" t="str">
        <f>IF(K242&lt;&gt;"",VLOOKUP(K242,'Catálogo SAP'!A:F,4,FALSE),"")</f>
        <v/>
      </c>
      <c r="N242" s="168" t="str">
        <f>IF(K242&lt;&gt;"",VLOOKUP(K242,'Catálogo SAP'!A:F,5,FALSE),"")</f>
        <v/>
      </c>
      <c r="O242" s="160"/>
      <c r="P242" s="70" t="str">
        <f t="shared" si="97"/>
        <v>-</v>
      </c>
      <c r="Q242" s="163" t="str">
        <f t="shared" si="92"/>
        <v>-</v>
      </c>
      <c r="R242" s="44" t="str">
        <f>IF(J242&lt;&gt;"",VLOOKUP(J242,'RESUMO DR'!$B$4:$E$253,4,FALSE),"-")</f>
        <v>-</v>
      </c>
      <c r="S242" s="58" t="str">
        <f>IF(J242&lt;&gt;"",VLOOKUP(J242,'RESUMO DR'!$B$4:$E$253,3,FALSE),"-")</f>
        <v>-</v>
      </c>
      <c r="T242" s="129"/>
      <c r="U242" s="129"/>
      <c r="V242" s="129"/>
      <c r="W242" s="128"/>
      <c r="X242" s="127"/>
      <c r="Y242" s="127"/>
      <c r="Z242" s="4"/>
    </row>
    <row r="243" spans="1:26" ht="18" customHeight="1">
      <c r="A243" s="5"/>
      <c r="B243" s="21">
        <v>45650</v>
      </c>
      <c r="C243" s="21" t="s">
        <v>124</v>
      </c>
      <c r="D243" s="74" t="str">
        <f t="shared" si="31"/>
        <v>ter</v>
      </c>
      <c r="E243" s="169" t="str">
        <f>IF(K243&lt;&gt;"",VLOOKUP(K243,'Catálogo SAP'!$A$1:$F$245,2,FALSE),"-")</f>
        <v>-</v>
      </c>
      <c r="F243" s="16"/>
      <c r="G243" s="16"/>
      <c r="H243" s="22"/>
      <c r="I243" s="133"/>
      <c r="J243" s="162" t="str">
        <f t="shared" si="32"/>
        <v/>
      </c>
      <c r="K243" s="16"/>
      <c r="L243" s="167" t="str">
        <f>IF(K243&lt;&gt;"",VLOOKUP(K243,'Catálogo SAP'!A:F,3,FALSE),"")</f>
        <v/>
      </c>
      <c r="M243" s="162" t="str">
        <f>IF(K243&lt;&gt;"",VLOOKUP(K243,'Catálogo SAP'!A:F,4,FALSE),"")</f>
        <v/>
      </c>
      <c r="N243" s="168" t="str">
        <f>IF(K243&lt;&gt;"",VLOOKUP(K243,'Catálogo SAP'!A:F,5,FALSE),"")</f>
        <v/>
      </c>
      <c r="O243" s="160"/>
      <c r="P243" s="70" t="str">
        <f t="shared" si="97"/>
        <v>-</v>
      </c>
      <c r="Q243" s="163" t="str">
        <f t="shared" si="92"/>
        <v>-</v>
      </c>
      <c r="R243" s="44" t="str">
        <f>IF(J243&lt;&gt;"",VLOOKUP(J243,'RESUMO DR'!$B$4:$E$253,4,FALSE),"-")</f>
        <v>-</v>
      </c>
      <c r="S243" s="58" t="str">
        <f>IF(J243&lt;&gt;"",VLOOKUP(J243,'RESUMO DR'!$B$4:$E$253,3,FALSE),"-")</f>
        <v>-</v>
      </c>
      <c r="T243" s="129"/>
      <c r="U243" s="129"/>
      <c r="V243" s="129"/>
      <c r="W243" s="128"/>
      <c r="X243" s="127"/>
      <c r="Y243" s="127"/>
      <c r="Z243" s="4"/>
    </row>
    <row r="244" spans="1:26" ht="18" customHeight="1">
      <c r="A244" s="5">
        <v>1962</v>
      </c>
      <c r="B244" s="21">
        <v>45650</v>
      </c>
      <c r="C244" s="21" t="s">
        <v>307</v>
      </c>
      <c r="D244" s="74" t="str">
        <f t="shared" ref="D244:D252" si="122">IF(B244="","-",TEXT(B244,"ddd"))</f>
        <v>ter</v>
      </c>
      <c r="E244" s="169">
        <f>IF(K244&lt;&gt;"",VLOOKUP(K244,'Catálogo SAP'!$A$1:$F$245,2,FALSE),"-")</f>
        <v>200</v>
      </c>
      <c r="F244" s="225">
        <v>65277</v>
      </c>
      <c r="G244" s="225">
        <v>65677</v>
      </c>
      <c r="H244" s="226"/>
      <c r="I244" s="230">
        <v>54</v>
      </c>
      <c r="J244" s="162" t="str">
        <f t="shared" ref="J244:J252" si="123">IF(AND(I244&gt;=0.001,I244&lt;=16),"AÇAILÂNDIA","")&amp;IF(AND(I244&gt;=16.001,I244&lt;=44),"S.F. BREJÃO","")&amp;IF(AND(I244&gt;=44.001,I244&lt;=78),"JOÃO LISBOA","")&amp;IF(AND(I244&gt;=78.001,I244&lt;=96.397),"IMPERATRIZ","")&amp;IF(AND(I244&gt;=96.398,I244&lt;=122.82),"EDSON LOBÃO","")&amp;IF(AND(I244&gt;=122.821,I244&lt;=152.303),"RIBAMAR FIQUENE","")&amp;IF(AND(I244&gt;=152.304,I244&lt;=172.403),"CAMPESTRE","")&amp;IF(AND(I244&gt;=172.404,I244&lt;=195),"PORTO FRANCO","")&amp;IF(AND(I244&gt;=300,I244&lt;=300),"SAO LUIS","")&amp;IF(AND(I244&gt;=385.4,I244&lt;=465.4),"Palmeirante","")&amp;IF(AND(I244&gt;=465.401,I244&lt;=520.455),"Tupiratins","")&amp;IF(AND(I244&gt;=520.456,I244&lt;=536.741),"Guaraí","")&amp;IF(AND(I244&gt;=536.742,I244&lt;=580.293),"Tupirama","")&amp;IF(AND(I244&gt;=580.294,I244&lt;=608.637),"Rio dos Bois","")&amp;IF(AND(I244&gt;=608.638,I244&lt;=698.981),"Miracema","")&amp;IF(AND(I244&gt;=698.982,I244&lt;=735.6),"Porto Nacional","")&amp;IF(AND(I244&gt;=195.1,I244&lt;=213.603),"ESTREITO","")&amp;IF(AND(I244&gt;=213.604,I244&lt;=218.976),"AGUIARNÓPOLIS","")&amp;IF(AND(I244&gt;=218.977,I244&lt;=253.5),"PALMEIRAS DO TOCANTINS","")&amp;IF(AND(I244&gt;=253.501,I244&lt;=274.15),"DARCINÓPOLIS","")&amp;IF(AND(I244&gt;=274.151,I244&lt;=299.999),"BABAÇULÂNDIA","")&amp;IF(AND(I244&gt;=356.62,I244&lt;=385.4),"ARAGUAÍNA","")&amp;IF(AND(I244&gt;=300.001,I244&lt;=356.619),"BABAÇULÂNDIA","")&amp;IF(AND(I244&gt;=900,I244&lt;=902),"ENG. VLI","")</f>
        <v>JOÃO LISBOA</v>
      </c>
      <c r="K244" s="16">
        <v>200</v>
      </c>
      <c r="L244" s="167" t="str">
        <f>IF(K244&lt;&gt;"",VLOOKUP(K244,'Catálogo SAP'!A:F,3,FALSE),"")</f>
        <v>S.VP-01445</v>
      </c>
      <c r="M244" s="162" t="str">
        <f>IF(K244&lt;&gt;"",VLOOKUP(K244,'Catálogo SAP'!A:F,4,FALSE),"")</f>
        <v>Km Rodado Caminhão Basculante - C/Motorista</v>
      </c>
      <c r="N244" s="168" t="str">
        <f>IF(K244&lt;&gt;"",VLOOKUP(K244,'Catálogo SAP'!A:F,5,FALSE),"")</f>
        <v>KM</v>
      </c>
      <c r="O244" s="160">
        <v>400</v>
      </c>
      <c r="P244" s="70">
        <f t="shared" si="97"/>
        <v>400</v>
      </c>
      <c r="Q244" s="163" t="e">
        <f t="shared" si="92"/>
        <v>#VALUE!</v>
      </c>
      <c r="R244" s="44" t="str">
        <f>IF(J244&lt;&gt;"",VLOOKUP(J244,'RESUMO DR'!$B$4:$E$253,4,FALSE),"-")</f>
        <v>T-01</v>
      </c>
      <c r="S244" s="58" t="str">
        <f>IF(J244&lt;&gt;"",VLOOKUP(J244,'RESUMO DR'!$B$4:$E$253,3,FALSE),"-")</f>
        <v>IMPERATRIZ</v>
      </c>
      <c r="T244" s="129"/>
      <c r="U244" s="129"/>
      <c r="V244" s="129"/>
      <c r="W244" s="128"/>
      <c r="X244" s="127"/>
      <c r="Y244" s="127"/>
      <c r="Z244" s="4"/>
    </row>
    <row r="245" spans="1:26" ht="18" customHeight="1">
      <c r="A245" s="5">
        <v>1962</v>
      </c>
      <c r="B245" s="21">
        <v>45650</v>
      </c>
      <c r="C245" s="21" t="s">
        <v>308</v>
      </c>
      <c r="D245" s="74" t="str">
        <f t="shared" si="122"/>
        <v>ter</v>
      </c>
      <c r="E245" s="169">
        <f>IF(K245&lt;&gt;"",VLOOKUP(K245,'Catálogo SAP'!$A$1:$F$245,2,FALSE),"-")</f>
        <v>200</v>
      </c>
      <c r="F245" s="225">
        <v>65150</v>
      </c>
      <c r="G245" s="225">
        <v>65612</v>
      </c>
      <c r="H245" s="226"/>
      <c r="I245" s="230">
        <v>54</v>
      </c>
      <c r="J245" s="162" t="str">
        <f t="shared" si="123"/>
        <v>JOÃO LISBOA</v>
      </c>
      <c r="K245" s="16">
        <v>200</v>
      </c>
      <c r="L245" s="167" t="str">
        <f>IF(K245&lt;&gt;"",VLOOKUP(K245,'Catálogo SAP'!A:F,3,FALSE),"")</f>
        <v>S.VP-01445</v>
      </c>
      <c r="M245" s="162" t="str">
        <f>IF(K245&lt;&gt;"",VLOOKUP(K245,'Catálogo SAP'!A:F,4,FALSE),"")</f>
        <v>Km Rodado Caminhão Basculante - C/Motorista</v>
      </c>
      <c r="N245" s="168" t="str">
        <f>IF(K245&lt;&gt;"",VLOOKUP(K245,'Catálogo SAP'!A:F,5,FALSE),"")</f>
        <v>KM</v>
      </c>
      <c r="O245" s="160">
        <v>462</v>
      </c>
      <c r="P245" s="70">
        <f t="shared" si="97"/>
        <v>462</v>
      </c>
      <c r="Q245" s="163" t="e">
        <f t="shared" si="92"/>
        <v>#VALUE!</v>
      </c>
      <c r="R245" s="44" t="str">
        <f>IF(J245&lt;&gt;"",VLOOKUP(J245,'RESUMO DR'!$B$4:$E$253,4,FALSE),"-")</f>
        <v>T-01</v>
      </c>
      <c r="S245" s="58" t="str">
        <f>IF(J245&lt;&gt;"",VLOOKUP(J245,'RESUMO DR'!$B$4:$E$253,3,FALSE),"-")</f>
        <v>IMPERATRIZ</v>
      </c>
      <c r="T245" s="129"/>
      <c r="U245" s="129"/>
      <c r="V245" s="129"/>
      <c r="W245" s="128"/>
      <c r="X245" s="127"/>
      <c r="Y245" s="127"/>
      <c r="Z245" s="4"/>
    </row>
    <row r="246" spans="1:26" ht="18" customHeight="1">
      <c r="A246" s="5"/>
      <c r="B246" s="21">
        <v>45650</v>
      </c>
      <c r="C246" s="21" t="s">
        <v>127</v>
      </c>
      <c r="D246" s="74" t="str">
        <f t="shared" si="122"/>
        <v>ter</v>
      </c>
      <c r="E246" s="169" t="str">
        <f>IF(K246&lt;&gt;"",VLOOKUP(K246,'Catálogo SAP'!$A$1:$F$245,2,FALSE),"-")</f>
        <v>-</v>
      </c>
      <c r="F246" s="225"/>
      <c r="G246" s="225"/>
      <c r="H246" s="226"/>
      <c r="I246" s="230"/>
      <c r="J246" s="162" t="str">
        <f t="shared" si="123"/>
        <v/>
      </c>
      <c r="K246" s="16"/>
      <c r="L246" s="167" t="str">
        <f>IF(K246&lt;&gt;"",VLOOKUP(K246,'Catálogo SAP'!A:F,3,FALSE),"")</f>
        <v/>
      </c>
      <c r="M246" s="162" t="str">
        <f>IF(K246&lt;&gt;"",VLOOKUP(K246,'Catálogo SAP'!A:F,4,FALSE),"")</f>
        <v/>
      </c>
      <c r="N246" s="168" t="str">
        <f>IF(K246&lt;&gt;"",VLOOKUP(K246,'Catálogo SAP'!A:F,5,FALSE),"")</f>
        <v/>
      </c>
      <c r="O246" s="160"/>
      <c r="P246" s="70" t="str">
        <f t="shared" si="97"/>
        <v>-</v>
      </c>
      <c r="Q246" s="163" t="str">
        <f t="shared" si="92"/>
        <v>-</v>
      </c>
      <c r="R246" s="44" t="str">
        <f>IF(J246&lt;&gt;"",VLOOKUP(J246,'RESUMO DR'!$B$4:$E$253,4,FALSE),"-")</f>
        <v>-</v>
      </c>
      <c r="S246" s="58" t="str">
        <f>IF(J246&lt;&gt;"",VLOOKUP(J246,'RESUMO DR'!$B$4:$E$253,3,FALSE),"-")</f>
        <v>-</v>
      </c>
      <c r="T246" s="129"/>
      <c r="U246" s="129"/>
      <c r="V246" s="129"/>
      <c r="W246" s="128"/>
      <c r="X246" s="127"/>
      <c r="Y246" s="127"/>
      <c r="Z246" s="4"/>
    </row>
    <row r="247" spans="1:26" ht="18" customHeight="1">
      <c r="A247" s="5">
        <v>1962</v>
      </c>
      <c r="B247" s="21">
        <v>45650</v>
      </c>
      <c r="C247" s="21" t="s">
        <v>313</v>
      </c>
      <c r="D247" s="74" t="str">
        <f t="shared" si="122"/>
        <v>ter</v>
      </c>
      <c r="E247" s="169">
        <f>IF(K247&lt;&gt;"",VLOOKUP(K247,'Catálogo SAP'!$A$1:$F$245,2,FALSE),"-")</f>
        <v>200</v>
      </c>
      <c r="F247" s="225">
        <v>61321</v>
      </c>
      <c r="G247" s="225">
        <v>61630</v>
      </c>
      <c r="H247" s="226"/>
      <c r="I247" s="230">
        <v>54</v>
      </c>
      <c r="J247" s="162" t="str">
        <f t="shared" si="123"/>
        <v>JOÃO LISBOA</v>
      </c>
      <c r="K247" s="16">
        <v>200</v>
      </c>
      <c r="L247" s="167" t="str">
        <f>IF(K247&lt;&gt;"",VLOOKUP(K247,'Catálogo SAP'!A:F,3,FALSE),"")</f>
        <v>S.VP-01445</v>
      </c>
      <c r="M247" s="162" t="str">
        <f>IF(K247&lt;&gt;"",VLOOKUP(K247,'Catálogo SAP'!A:F,4,FALSE),"")</f>
        <v>Km Rodado Caminhão Basculante - C/Motorista</v>
      </c>
      <c r="N247" s="168" t="str">
        <f>IF(K247&lt;&gt;"",VLOOKUP(K247,'Catálogo SAP'!A:F,5,FALSE),"")</f>
        <v>KM</v>
      </c>
      <c r="O247" s="160">
        <v>309</v>
      </c>
      <c r="P247" s="70">
        <f t="shared" si="97"/>
        <v>309</v>
      </c>
      <c r="Q247" s="163" t="e">
        <f t="shared" si="92"/>
        <v>#VALUE!</v>
      </c>
      <c r="R247" s="44" t="str">
        <f>IF(J247&lt;&gt;"",VLOOKUP(J247,'RESUMO DR'!$B$4:$E$253,4,FALSE),"-")</f>
        <v>T-01</v>
      </c>
      <c r="S247" s="58" t="str">
        <f>IF(J247&lt;&gt;"",VLOOKUP(J247,'RESUMO DR'!$B$4:$E$253,3,FALSE),"-")</f>
        <v>IMPERATRIZ</v>
      </c>
      <c r="T247" s="129"/>
      <c r="U247" s="129"/>
      <c r="V247" s="129"/>
      <c r="W247" s="128"/>
      <c r="X247" s="127"/>
      <c r="Y247" s="127"/>
      <c r="Z247" s="4"/>
    </row>
    <row r="248" spans="1:26" ht="18" customHeight="1">
      <c r="A248" s="5"/>
      <c r="B248" s="21">
        <v>45650</v>
      </c>
      <c r="C248" s="21" t="s">
        <v>312</v>
      </c>
      <c r="D248" s="74" t="str">
        <f t="shared" si="122"/>
        <v>ter</v>
      </c>
      <c r="E248" s="169" t="str">
        <f>IF(K248&lt;&gt;"",VLOOKUP(K248,'Catálogo SAP'!$A$1:$F$245,2,FALSE),"-")</f>
        <v>-</v>
      </c>
      <c r="F248" s="225"/>
      <c r="G248" s="225"/>
      <c r="H248" s="226"/>
      <c r="I248" s="230"/>
      <c r="J248" s="162" t="str">
        <f t="shared" si="123"/>
        <v/>
      </c>
      <c r="K248" s="16"/>
      <c r="L248" s="167" t="str">
        <f>IF(K248&lt;&gt;"",VLOOKUP(K248,'Catálogo SAP'!A:F,3,FALSE),"")</f>
        <v/>
      </c>
      <c r="M248" s="162" t="str">
        <f>IF(K248&lt;&gt;"",VLOOKUP(K248,'Catálogo SAP'!A:F,4,FALSE),"")</f>
        <v/>
      </c>
      <c r="N248" s="168" t="str">
        <f>IF(K248&lt;&gt;"",VLOOKUP(K248,'Catálogo SAP'!A:F,5,FALSE),"")</f>
        <v/>
      </c>
      <c r="O248" s="160"/>
      <c r="P248" s="70" t="str">
        <f t="shared" si="97"/>
        <v>-</v>
      </c>
      <c r="Q248" s="163" t="str">
        <f t="shared" si="92"/>
        <v>-</v>
      </c>
      <c r="R248" s="44" t="str">
        <f>IF(J248&lt;&gt;"",VLOOKUP(J248,'RESUMO DR'!$B$4:$E$253,4,FALSE),"-")</f>
        <v>-</v>
      </c>
      <c r="S248" s="58" t="str">
        <f>IF(J248&lt;&gt;"",VLOOKUP(J248,'RESUMO DR'!$B$4:$E$253,3,FALSE),"-")</f>
        <v>-</v>
      </c>
      <c r="T248" s="129"/>
      <c r="U248" s="129"/>
      <c r="V248" s="129"/>
      <c r="W248" s="128"/>
      <c r="X248" s="127"/>
      <c r="Y248" s="127"/>
      <c r="Z248" s="4"/>
    </row>
    <row r="249" spans="1:26" ht="18" customHeight="1">
      <c r="A249" s="5">
        <v>1971</v>
      </c>
      <c r="B249" s="21">
        <v>45650</v>
      </c>
      <c r="C249" s="21" t="s">
        <v>129</v>
      </c>
      <c r="D249" s="74" t="str">
        <f t="shared" si="122"/>
        <v>ter</v>
      </c>
      <c r="E249" s="169">
        <f>IF(K249&lt;&gt;"",VLOOKUP(K249,'Catálogo SAP'!$A$1:$F$245,2,FALSE),"-")</f>
        <v>200</v>
      </c>
      <c r="F249" s="225">
        <v>80742</v>
      </c>
      <c r="G249" s="225">
        <v>80799</v>
      </c>
      <c r="H249" s="226"/>
      <c r="I249" s="230">
        <v>574</v>
      </c>
      <c r="J249" s="162" t="str">
        <f t="shared" si="123"/>
        <v>Tupirama</v>
      </c>
      <c r="K249" s="16">
        <v>200</v>
      </c>
      <c r="L249" s="167" t="str">
        <f>IF(K249&lt;&gt;"",VLOOKUP(K249,'Catálogo SAP'!A:F,3,FALSE),"")</f>
        <v>S.VP-01445</v>
      </c>
      <c r="M249" s="162" t="str">
        <f>IF(K249&lt;&gt;"",VLOOKUP(K249,'Catálogo SAP'!A:F,4,FALSE),"")</f>
        <v>Km Rodado Caminhão Basculante - C/Motorista</v>
      </c>
      <c r="N249" s="168" t="str">
        <f>IF(K249&lt;&gt;"",VLOOKUP(K249,'Catálogo SAP'!A:F,5,FALSE),"")</f>
        <v>KM</v>
      </c>
      <c r="O249" s="160">
        <v>57</v>
      </c>
      <c r="P249" s="70">
        <f t="shared" si="97"/>
        <v>57</v>
      </c>
      <c r="Q249" s="163" t="e">
        <f t="shared" si="92"/>
        <v>#VALUE!</v>
      </c>
      <c r="R249" s="44" t="str">
        <f>IF(J249&lt;&gt;"",VLOOKUP(J249,'RESUMO DR'!$B$4:$E$253,4,FALSE),"-")</f>
        <v>T-03</v>
      </c>
      <c r="S249" s="58" t="str">
        <f>IF(J249&lt;&gt;"",VLOOKUP(J249,'RESUMO DR'!$B$4:$E$253,3,FALSE),"-")</f>
        <v>PALMAS</v>
      </c>
      <c r="T249" s="129"/>
      <c r="U249" s="129"/>
      <c r="V249" s="129"/>
      <c r="W249" s="128"/>
      <c r="X249" s="127"/>
      <c r="Y249" s="127"/>
      <c r="Z249" s="4"/>
    </row>
    <row r="250" spans="1:26" ht="18" customHeight="1">
      <c r="A250" s="5"/>
      <c r="B250" s="21">
        <v>45650</v>
      </c>
      <c r="C250" s="21" t="s">
        <v>298</v>
      </c>
      <c r="D250" s="74" t="str">
        <f t="shared" si="122"/>
        <v>ter</v>
      </c>
      <c r="E250" s="169" t="str">
        <f>IF(K250&lt;&gt;"",VLOOKUP(K250,'Catálogo SAP'!$A$1:$F$245,2,FALSE),"-")</f>
        <v>-</v>
      </c>
      <c r="F250" s="225"/>
      <c r="G250" s="225"/>
      <c r="H250" s="226"/>
      <c r="I250" s="230"/>
      <c r="J250" s="162" t="str">
        <f t="shared" si="123"/>
        <v/>
      </c>
      <c r="K250" s="16"/>
      <c r="L250" s="167" t="str">
        <f>IF(K250&lt;&gt;"",VLOOKUP(K250,'Catálogo SAP'!A:F,3,FALSE),"")</f>
        <v/>
      </c>
      <c r="M250" s="162" t="str">
        <f>IF(K250&lt;&gt;"",VLOOKUP(K250,'Catálogo SAP'!A:F,4,FALSE),"")</f>
        <v/>
      </c>
      <c r="N250" s="168" t="str">
        <f>IF(K250&lt;&gt;"",VLOOKUP(K250,'Catálogo SAP'!A:F,5,FALSE),"")</f>
        <v/>
      </c>
      <c r="O250" s="160"/>
      <c r="P250" s="70" t="str">
        <f t="shared" si="97"/>
        <v>-</v>
      </c>
      <c r="Q250" s="163" t="str">
        <f t="shared" ref="Q250:Q252" si="124">IF(K250="","-",N250*O250)</f>
        <v>-</v>
      </c>
      <c r="R250" s="44" t="str">
        <f>IF(J250&lt;&gt;"",VLOOKUP(J250,'RESUMO DR'!$B$4:$E$253,4,FALSE),"-")</f>
        <v>-</v>
      </c>
      <c r="S250" s="58" t="str">
        <f>IF(J250&lt;&gt;"",VLOOKUP(J250,'RESUMO DR'!$B$4:$E$253,3,FALSE),"-")</f>
        <v>-</v>
      </c>
      <c r="T250" s="129"/>
      <c r="U250" s="129"/>
      <c r="V250" s="129"/>
      <c r="W250" s="128"/>
      <c r="X250" s="127"/>
      <c r="Y250" s="127"/>
      <c r="Z250" s="4"/>
    </row>
    <row r="251" spans="1:26" ht="18" customHeight="1">
      <c r="A251" s="5">
        <v>1969</v>
      </c>
      <c r="B251" s="21">
        <v>45650</v>
      </c>
      <c r="C251" s="21" t="s">
        <v>131</v>
      </c>
      <c r="D251" s="74" t="str">
        <f t="shared" si="122"/>
        <v>ter</v>
      </c>
      <c r="E251" s="169">
        <f>IF(K251&lt;&gt;"",VLOOKUP(K251,'Catálogo SAP'!$A$1:$F$245,2,FALSE),"-")</f>
        <v>520</v>
      </c>
      <c r="F251" s="225">
        <v>10564</v>
      </c>
      <c r="G251" s="225">
        <v>10572</v>
      </c>
      <c r="H251" s="226"/>
      <c r="I251" s="230">
        <v>195</v>
      </c>
      <c r="J251" s="162" t="str">
        <f t="shared" si="123"/>
        <v>PORTO FRANCO</v>
      </c>
      <c r="K251" s="16">
        <v>520</v>
      </c>
      <c r="L251" s="167" t="str">
        <f>IF(K251&lt;&gt;"",VLOOKUP(K251,'Catálogo SAP'!A:F,3,FALSE),"")</f>
        <v>S.VP-01469</v>
      </c>
      <c r="M251" s="162" t="str">
        <f>IF(K251&lt;&gt;"",VLOOKUP(K251,'Catálogo SAP'!A:F,4,FALSE),"")</f>
        <v>Hora Produtiva Escavadeira Hidraulica</v>
      </c>
      <c r="N251" s="168" t="str">
        <f>IF(K251&lt;&gt;"",VLOOKUP(K251,'Catálogo SAP'!A:F,5,FALSE),"")</f>
        <v>H</v>
      </c>
      <c r="O251" s="160">
        <v>8</v>
      </c>
      <c r="P251" s="70">
        <f t="shared" si="97"/>
        <v>8</v>
      </c>
      <c r="Q251" s="163" t="e">
        <f t="shared" si="124"/>
        <v>#VALUE!</v>
      </c>
      <c r="R251" s="44" t="str">
        <f>IF(J251&lt;&gt;"",VLOOKUP(J251,'RESUMO DR'!$B$4:$E$253,4,FALSE),"-")</f>
        <v>T-01</v>
      </c>
      <c r="S251" s="58" t="str">
        <f>IF(J251&lt;&gt;"",VLOOKUP(J251,'RESUMO DR'!$B$4:$E$253,3,FALSE),"-")</f>
        <v>IMPERATRIZ</v>
      </c>
      <c r="T251" s="129"/>
      <c r="U251" s="129"/>
      <c r="V251" s="129"/>
      <c r="W251" s="128"/>
      <c r="X251" s="127"/>
      <c r="Y251" s="127"/>
      <c r="Z251" s="4"/>
    </row>
    <row r="252" spans="1:26" ht="13.95" customHeight="1">
      <c r="A252" s="5">
        <v>1969</v>
      </c>
      <c r="B252" s="21">
        <v>45650</v>
      </c>
      <c r="C252" s="21" t="s">
        <v>131</v>
      </c>
      <c r="D252" s="74" t="str">
        <f t="shared" si="122"/>
        <v>ter</v>
      </c>
      <c r="E252" s="169">
        <f>IF(K252&lt;&gt;"",VLOOKUP(K252,'Catálogo SAP'!$A$1:$F$245,2,FALSE),"-")</f>
        <v>530</v>
      </c>
      <c r="F252" s="225">
        <v>10572</v>
      </c>
      <c r="G252" s="225">
        <v>10572</v>
      </c>
      <c r="H252" s="226"/>
      <c r="I252" s="230">
        <v>195</v>
      </c>
      <c r="J252" s="162" t="str">
        <f t="shared" si="123"/>
        <v>PORTO FRANCO</v>
      </c>
      <c r="K252" s="16">
        <v>530</v>
      </c>
      <c r="L252" s="167" t="str">
        <f>IF(K252&lt;&gt;"",VLOOKUP(K252,'Catálogo SAP'!A:F,3,FALSE),"")</f>
        <v>S.VP-01470</v>
      </c>
      <c r="M252" s="162" t="str">
        <f>IF(K252&lt;&gt;"",VLOOKUP(K252,'Catálogo SAP'!A:F,4,FALSE),"")</f>
        <v>Hora Improdutiva Escavadeira Hidraulica</v>
      </c>
      <c r="N252" s="168" t="str">
        <f>IF(K252&lt;&gt;"",VLOOKUP(K252,'Catálogo SAP'!A:F,5,FALSE),"")</f>
        <v>H</v>
      </c>
      <c r="O252" s="160">
        <v>1</v>
      </c>
      <c r="P252" s="70">
        <f t="shared" si="97"/>
        <v>0</v>
      </c>
      <c r="Q252" s="163" t="e">
        <f t="shared" si="124"/>
        <v>#VALUE!</v>
      </c>
      <c r="R252" s="44" t="str">
        <f>IF(J252&lt;&gt;"",VLOOKUP(J252,'RESUMO DR'!$B$4:$E$253,4,FALSE),"-")</f>
        <v>T-01</v>
      </c>
      <c r="S252" s="58" t="str">
        <f>IF(J252&lt;&gt;"",VLOOKUP(J252,'RESUMO DR'!$B$4:$E$253,3,FALSE),"-")</f>
        <v>IMPERATRIZ</v>
      </c>
      <c r="T252" s="129"/>
      <c r="U252" s="129"/>
      <c r="V252" s="129"/>
      <c r="W252" s="128"/>
      <c r="X252" s="127"/>
      <c r="Y252" s="127"/>
      <c r="Z252" s="4"/>
    </row>
    <row r="253" spans="1:26" ht="18" customHeight="1">
      <c r="A253" s="5"/>
      <c r="B253" s="21">
        <v>45650</v>
      </c>
      <c r="C253" s="21" t="s">
        <v>132</v>
      </c>
      <c r="D253" s="74" t="str">
        <f t="shared" si="31"/>
        <v>ter</v>
      </c>
      <c r="E253" s="169" t="str">
        <f>IF(K253&lt;&gt;"",VLOOKUP(K253,'Catálogo SAP'!$A$1:$F$245,2,FALSE),"-")</f>
        <v>-</v>
      </c>
      <c r="F253" s="16"/>
      <c r="G253" s="16"/>
      <c r="H253" s="22"/>
      <c r="I253" s="133"/>
      <c r="J253" s="162" t="str">
        <f t="shared" si="32"/>
        <v/>
      </c>
      <c r="K253" s="16"/>
      <c r="L253" s="167" t="str">
        <f>IF(K253&lt;&gt;"",VLOOKUP(K253,'Catálogo SAP'!A:F,3,FALSE),"")</f>
        <v/>
      </c>
      <c r="M253" s="162" t="str">
        <f>IF(K253&lt;&gt;"",VLOOKUP(K253,'Catálogo SAP'!A:F,4,FALSE),"")</f>
        <v/>
      </c>
      <c r="N253" s="168" t="str">
        <f>IF(K253&lt;&gt;"",VLOOKUP(K253,'Catálogo SAP'!A:F,5,FALSE),"")</f>
        <v/>
      </c>
      <c r="O253" s="160"/>
      <c r="P253" s="70" t="str">
        <f t="shared" si="97"/>
        <v>-</v>
      </c>
      <c r="Q253" s="163" t="str">
        <f t="shared" ref="Q253:Q327" si="125">IF(K253="","-",N253*O253)</f>
        <v>-</v>
      </c>
      <c r="R253" s="44" t="str">
        <f>IF(J253&lt;&gt;"",VLOOKUP(J253,'RESUMO DR'!$B$4:$E$253,4,FALSE),"-")</f>
        <v>-</v>
      </c>
      <c r="S253" s="58" t="str">
        <f>IF(J253&lt;&gt;"",VLOOKUP(J253,'RESUMO DR'!$B$4:$E$253,3,FALSE),"-")</f>
        <v>-</v>
      </c>
      <c r="T253" s="129"/>
      <c r="U253" s="129"/>
      <c r="V253" s="129"/>
      <c r="W253" s="128"/>
      <c r="X253" s="127"/>
      <c r="Y253" s="127"/>
      <c r="Z253" s="4"/>
    </row>
    <row r="254" spans="1:26" ht="18" customHeight="1">
      <c r="A254" s="5"/>
      <c r="B254" s="21">
        <v>45650</v>
      </c>
      <c r="C254" s="21" t="s">
        <v>132</v>
      </c>
      <c r="D254" s="74" t="str">
        <f t="shared" ref="D254" si="126">IF(B254="","-",TEXT(B254,"ddd"))</f>
        <v>ter</v>
      </c>
      <c r="E254" s="169" t="str">
        <f>IF(K254&lt;&gt;"",VLOOKUP(K254,'Catálogo SAP'!$A$1:$F$245,2,FALSE),"-")</f>
        <v>-</v>
      </c>
      <c r="F254" s="225"/>
      <c r="G254" s="225"/>
      <c r="H254" s="226"/>
      <c r="I254" s="230"/>
      <c r="J254" s="162" t="str">
        <f t="shared" ref="J254" si="127">IF(AND(I254&gt;=0.001,I254&lt;=16),"AÇAILÂNDIA","")&amp;IF(AND(I254&gt;=16.001,I254&lt;=44),"S.F. BREJÃO","")&amp;IF(AND(I254&gt;=44.001,I254&lt;=78),"JOÃO LISBOA","")&amp;IF(AND(I254&gt;=78.001,I254&lt;=96.397),"IMPERATRIZ","")&amp;IF(AND(I254&gt;=96.398,I254&lt;=122.82),"EDSON LOBÃO","")&amp;IF(AND(I254&gt;=122.821,I254&lt;=152.303),"RIBAMAR FIQUENE","")&amp;IF(AND(I254&gt;=152.304,I254&lt;=172.403),"CAMPESTRE","")&amp;IF(AND(I254&gt;=172.404,I254&lt;=195),"PORTO FRANCO","")&amp;IF(AND(I254&gt;=300,I254&lt;=300),"SAO LUIS","")&amp;IF(AND(I254&gt;=385.4,I254&lt;=465.4),"Palmeirante","")&amp;IF(AND(I254&gt;=465.401,I254&lt;=520.455),"Tupiratins","")&amp;IF(AND(I254&gt;=520.456,I254&lt;=536.741),"Guaraí","")&amp;IF(AND(I254&gt;=536.742,I254&lt;=580.293),"Tupirama","")&amp;IF(AND(I254&gt;=580.294,I254&lt;=608.637),"Rio dos Bois","")&amp;IF(AND(I254&gt;=608.638,I254&lt;=698.981),"Miracema","")&amp;IF(AND(I254&gt;=698.982,I254&lt;=735.6),"Porto Nacional","")&amp;IF(AND(I254&gt;=195.1,I254&lt;=213.603),"ESTREITO","")&amp;IF(AND(I254&gt;=213.604,I254&lt;=218.976),"AGUIARNÓPOLIS","")&amp;IF(AND(I254&gt;=218.977,I254&lt;=253.5),"PALMEIRAS DO TOCANTINS","")&amp;IF(AND(I254&gt;=253.501,I254&lt;=274.15),"DARCINÓPOLIS","")&amp;IF(AND(I254&gt;=274.151,I254&lt;=299.999),"BABAÇULÂNDIA","")&amp;IF(AND(I254&gt;=356.62,I254&lt;=385.4),"ARAGUAÍNA","")&amp;IF(AND(I254&gt;=300.001,I254&lt;=356.619),"BABAÇULÂNDIA","")&amp;IF(AND(I254&gt;=900,I254&lt;=902),"ENG. VLI","")</f>
        <v/>
      </c>
      <c r="K254" s="16"/>
      <c r="L254" s="167" t="str">
        <f>IF(K254&lt;&gt;"",VLOOKUP(K254,'Catálogo SAP'!A:F,3,FALSE),"")</f>
        <v/>
      </c>
      <c r="M254" s="162" t="str">
        <f>IF(K254&lt;&gt;"",VLOOKUP(K254,'Catálogo SAP'!A:F,4,FALSE),"")</f>
        <v/>
      </c>
      <c r="N254" s="168" t="str">
        <f>IF(K254&lt;&gt;"",VLOOKUP(K254,'Catálogo SAP'!A:F,5,FALSE),"")</f>
        <v/>
      </c>
      <c r="O254" s="160"/>
      <c r="P254" s="70" t="str">
        <f t="shared" si="97"/>
        <v>-</v>
      </c>
      <c r="Q254" s="163" t="str">
        <f t="shared" si="125"/>
        <v>-</v>
      </c>
      <c r="R254" s="44" t="str">
        <f>IF(J254&lt;&gt;"",VLOOKUP(J254,'RESUMO DR'!$B$4:$E$253,4,FALSE),"-")</f>
        <v>-</v>
      </c>
      <c r="S254" s="58" t="str">
        <f>IF(J254&lt;&gt;"",VLOOKUP(J254,'RESUMO DR'!$B$4:$E$253,3,FALSE),"-")</f>
        <v>-</v>
      </c>
      <c r="T254" s="129"/>
      <c r="U254" s="129"/>
      <c r="V254" s="129"/>
      <c r="W254" s="128"/>
      <c r="X254" s="127"/>
      <c r="Y254" s="127"/>
      <c r="Z254" s="4"/>
    </row>
    <row r="255" spans="1:26" ht="18" customHeight="1">
      <c r="A255" s="5"/>
      <c r="B255" s="21">
        <v>45650</v>
      </c>
      <c r="C255" s="21" t="s">
        <v>305</v>
      </c>
      <c r="D255" s="74" t="str">
        <f t="shared" si="31"/>
        <v>ter</v>
      </c>
      <c r="E255" s="169" t="str">
        <f>IF(K255&lt;&gt;"",VLOOKUP(K255,'Catálogo SAP'!$A$1:$F$245,2,FALSE),"-")</f>
        <v>-</v>
      </c>
      <c r="F255" s="225"/>
      <c r="G255" s="225"/>
      <c r="H255" s="226"/>
      <c r="I255" s="230"/>
      <c r="J255" s="162" t="str">
        <f t="shared" si="32"/>
        <v/>
      </c>
      <c r="K255" s="16"/>
      <c r="L255" s="167" t="str">
        <f>IF(K255&lt;&gt;"",VLOOKUP(K255,'Catálogo SAP'!A:F,3,FALSE),"")</f>
        <v/>
      </c>
      <c r="M255" s="162" t="str">
        <f>IF(K255&lt;&gt;"",VLOOKUP(K255,'Catálogo SAP'!A:F,4,FALSE),"")</f>
        <v/>
      </c>
      <c r="N255" s="168" t="str">
        <f>IF(K255&lt;&gt;"",VLOOKUP(K255,'Catálogo SAP'!A:F,5,FALSE),"")</f>
        <v/>
      </c>
      <c r="O255" s="160"/>
      <c r="P255" s="70" t="str">
        <f t="shared" si="97"/>
        <v>-</v>
      </c>
      <c r="Q255" s="163" t="str">
        <f t="shared" si="125"/>
        <v>-</v>
      </c>
      <c r="R255" s="44" t="str">
        <f>IF(J255&lt;&gt;"",VLOOKUP(J255,'RESUMO DR'!$B$4:$E$253,4,FALSE),"-")</f>
        <v>-</v>
      </c>
      <c r="S255" s="58" t="str">
        <f>IF(J255&lt;&gt;"",VLOOKUP(J255,'RESUMO DR'!$B$4:$E$253,3,FALSE),"-")</f>
        <v>-</v>
      </c>
      <c r="T255" s="129"/>
      <c r="U255" s="129"/>
      <c r="V255" s="129"/>
      <c r="W255" s="128"/>
      <c r="X255" s="127"/>
      <c r="Y255" s="127"/>
      <c r="Z255" s="4"/>
    </row>
    <row r="256" spans="1:26" ht="18" customHeight="1">
      <c r="A256" s="5"/>
      <c r="B256" s="21">
        <v>45650</v>
      </c>
      <c r="C256" s="21" t="s">
        <v>305</v>
      </c>
      <c r="D256" s="74" t="str">
        <f t="shared" ref="D256" si="128">IF(B256="","-",TEXT(B256,"ddd"))</f>
        <v>ter</v>
      </c>
      <c r="E256" s="169" t="str">
        <f>IF(K256&lt;&gt;"",VLOOKUP(K256,'Catálogo SAP'!$A$1:$F$245,2,FALSE),"-")</f>
        <v>-</v>
      </c>
      <c r="F256" s="16"/>
      <c r="G256" s="16"/>
      <c r="H256" s="22"/>
      <c r="I256" s="133"/>
      <c r="J256" s="162" t="str">
        <f t="shared" ref="J256" si="129">IF(AND(I256&gt;=0.001,I256&lt;=16),"AÇAILÂNDIA","")&amp;IF(AND(I256&gt;=16.001,I256&lt;=44),"S.F. BREJÃO","")&amp;IF(AND(I256&gt;=44.001,I256&lt;=78),"JOÃO LISBOA","")&amp;IF(AND(I256&gt;=78.001,I256&lt;=96.397),"IMPERATRIZ","")&amp;IF(AND(I256&gt;=96.398,I256&lt;=122.82),"EDSON LOBÃO","")&amp;IF(AND(I256&gt;=122.821,I256&lt;=152.303),"RIBAMAR FIQUENE","")&amp;IF(AND(I256&gt;=152.304,I256&lt;=172.403),"CAMPESTRE","")&amp;IF(AND(I256&gt;=172.404,I256&lt;=195),"PORTO FRANCO","")&amp;IF(AND(I256&gt;=300,I256&lt;=300),"SAO LUIS","")&amp;IF(AND(I256&gt;=385.4,I256&lt;=465.4),"Palmeirante","")&amp;IF(AND(I256&gt;=465.401,I256&lt;=520.455),"Tupiratins","")&amp;IF(AND(I256&gt;=520.456,I256&lt;=536.741),"Guaraí","")&amp;IF(AND(I256&gt;=536.742,I256&lt;=580.293),"Tupirama","")&amp;IF(AND(I256&gt;=580.294,I256&lt;=608.637),"Rio dos Bois","")&amp;IF(AND(I256&gt;=608.638,I256&lt;=698.981),"Miracema","")&amp;IF(AND(I256&gt;=698.982,I256&lt;=735.6),"Porto Nacional","")&amp;IF(AND(I256&gt;=195.1,I256&lt;=213.603),"ESTREITO","")&amp;IF(AND(I256&gt;=213.604,I256&lt;=218.976),"AGUIARNÓPOLIS","")&amp;IF(AND(I256&gt;=218.977,I256&lt;=253.5),"PALMEIRAS DO TOCANTINS","")&amp;IF(AND(I256&gt;=253.501,I256&lt;=274.15),"DARCINÓPOLIS","")&amp;IF(AND(I256&gt;=274.151,I256&lt;=299.999),"BABAÇULÂNDIA","")&amp;IF(AND(I256&gt;=356.62,I256&lt;=385.4),"ARAGUAÍNA","")&amp;IF(AND(I256&gt;=300.001,I256&lt;=356.619),"BABAÇULÂNDIA","")&amp;IF(AND(I256&gt;=900,I256&lt;=902),"ENG. VLI","")</f>
        <v/>
      </c>
      <c r="K256" s="16"/>
      <c r="L256" s="167" t="str">
        <f>IF(K256&lt;&gt;"",VLOOKUP(K256,'Catálogo SAP'!A:F,3,FALSE),"")</f>
        <v/>
      </c>
      <c r="M256" s="162" t="str">
        <f>IF(K256&lt;&gt;"",VLOOKUP(K256,'Catálogo SAP'!A:F,4,FALSE),"")</f>
        <v/>
      </c>
      <c r="N256" s="168" t="str">
        <f>IF(K256&lt;&gt;"",VLOOKUP(K256,'Catálogo SAP'!A:F,5,FALSE),"")</f>
        <v/>
      </c>
      <c r="O256" s="160"/>
      <c r="P256" s="70" t="str">
        <f t="shared" si="97"/>
        <v>-</v>
      </c>
      <c r="Q256" s="163" t="str">
        <f t="shared" si="125"/>
        <v>-</v>
      </c>
      <c r="R256" s="44" t="str">
        <f>IF(J256&lt;&gt;"",VLOOKUP(J256,'RESUMO DR'!$B$4:$E$253,4,FALSE),"-")</f>
        <v>-</v>
      </c>
      <c r="S256" s="58" t="str">
        <f>IF(J256&lt;&gt;"",VLOOKUP(J256,'RESUMO DR'!$B$4:$E$253,3,FALSE),"-")</f>
        <v>-</v>
      </c>
      <c r="T256" s="129"/>
      <c r="U256" s="129"/>
      <c r="V256" s="129"/>
      <c r="W256" s="128"/>
      <c r="X256" s="127"/>
      <c r="Y256" s="127"/>
      <c r="Z256" s="4"/>
    </row>
    <row r="257" spans="1:26" ht="18" customHeight="1">
      <c r="A257" s="5">
        <v>1972</v>
      </c>
      <c r="B257" s="21">
        <v>45650</v>
      </c>
      <c r="C257" s="21" t="s">
        <v>300</v>
      </c>
      <c r="D257" s="74" t="str">
        <f t="shared" si="31"/>
        <v>ter</v>
      </c>
      <c r="E257" s="169">
        <f>IF(K257&lt;&gt;"",VLOOKUP(K257,'Catálogo SAP'!$A$1:$F$245,2,FALSE),"-")</f>
        <v>170</v>
      </c>
      <c r="F257" s="225">
        <v>137</v>
      </c>
      <c r="G257" s="225">
        <v>137</v>
      </c>
      <c r="H257" s="226"/>
      <c r="I257" s="230">
        <v>563</v>
      </c>
      <c r="J257" s="162" t="str">
        <f t="shared" si="32"/>
        <v>Tupirama</v>
      </c>
      <c r="K257" s="16">
        <v>170</v>
      </c>
      <c r="L257" s="167" t="str">
        <f>IF(K257&lt;&gt;"",VLOOKUP(K257,'Catálogo SAP'!A:F,3,FALSE),"")</f>
        <v>S.VP-01442</v>
      </c>
      <c r="M257" s="162" t="str">
        <f>IF(K257&lt;&gt;"",VLOOKUP(K257,'Catálogo SAP'!A:F,4,FALSE),"")</f>
        <v>Hora Improdutiva Pa Carregadeira C/Operador</v>
      </c>
      <c r="N257" s="168" t="str">
        <f>IF(K257&lt;&gt;"",VLOOKUP(K257,'Catálogo SAP'!A:F,5,FALSE),"")</f>
        <v>H</v>
      </c>
      <c r="O257" s="160">
        <v>9</v>
      </c>
      <c r="P257" s="70">
        <f t="shared" si="97"/>
        <v>0</v>
      </c>
      <c r="Q257" s="163" t="e">
        <f t="shared" si="125"/>
        <v>#VALUE!</v>
      </c>
      <c r="R257" s="44" t="str">
        <f>IF(J257&lt;&gt;"",VLOOKUP(J257,'RESUMO DR'!$B$4:$E$253,4,FALSE),"-")</f>
        <v>T-03</v>
      </c>
      <c r="S257" s="58" t="str">
        <f>IF(J257&lt;&gt;"",VLOOKUP(J257,'RESUMO DR'!$B$4:$E$253,3,FALSE),"-")</f>
        <v>PALMAS</v>
      </c>
      <c r="T257" s="129"/>
      <c r="U257" s="129"/>
      <c r="V257" s="129"/>
      <c r="W257" s="128"/>
      <c r="X257" s="127"/>
      <c r="Y257" s="127"/>
      <c r="Z257" s="4"/>
    </row>
    <row r="258" spans="1:26" ht="18" customHeight="1">
      <c r="A258" s="5"/>
      <c r="B258" s="21">
        <v>45650</v>
      </c>
      <c r="C258" s="21" t="s">
        <v>300</v>
      </c>
      <c r="D258" s="74" t="str">
        <f t="shared" ref="D258" si="130">IF(B258="","-",TEXT(B258,"ddd"))</f>
        <v>ter</v>
      </c>
      <c r="E258" s="169" t="str">
        <f>IF(K258&lt;&gt;"",VLOOKUP(K258,'Catálogo SAP'!$A$1:$F$245,2,FALSE),"-")</f>
        <v>-</v>
      </c>
      <c r="F258" s="225"/>
      <c r="G258" s="225"/>
      <c r="H258" s="226"/>
      <c r="I258" s="230"/>
      <c r="J258" s="162" t="str">
        <f t="shared" ref="J258" si="131">IF(AND(I258&gt;=0.001,I258&lt;=16),"AÇAILÂNDIA","")&amp;IF(AND(I258&gt;=16.001,I258&lt;=44),"S.F. BREJÃO","")&amp;IF(AND(I258&gt;=44.001,I258&lt;=78),"JOÃO LISBOA","")&amp;IF(AND(I258&gt;=78.001,I258&lt;=96.397),"IMPERATRIZ","")&amp;IF(AND(I258&gt;=96.398,I258&lt;=122.82),"EDSON LOBÃO","")&amp;IF(AND(I258&gt;=122.821,I258&lt;=152.303),"RIBAMAR FIQUENE","")&amp;IF(AND(I258&gt;=152.304,I258&lt;=172.403),"CAMPESTRE","")&amp;IF(AND(I258&gt;=172.404,I258&lt;=195),"PORTO FRANCO","")&amp;IF(AND(I258&gt;=300,I258&lt;=300),"SAO LUIS","")&amp;IF(AND(I258&gt;=385.4,I258&lt;=465.4),"Palmeirante","")&amp;IF(AND(I258&gt;=465.401,I258&lt;=520.455),"Tupiratins","")&amp;IF(AND(I258&gt;=520.456,I258&lt;=536.741),"Guaraí","")&amp;IF(AND(I258&gt;=536.742,I258&lt;=580.293),"Tupirama","")&amp;IF(AND(I258&gt;=580.294,I258&lt;=608.637),"Rio dos Bois","")&amp;IF(AND(I258&gt;=608.638,I258&lt;=698.981),"Miracema","")&amp;IF(AND(I258&gt;=698.982,I258&lt;=735.6),"Porto Nacional","")&amp;IF(AND(I258&gt;=195.1,I258&lt;=213.603),"ESTREITO","")&amp;IF(AND(I258&gt;=213.604,I258&lt;=218.976),"AGUIARNÓPOLIS","")&amp;IF(AND(I258&gt;=218.977,I258&lt;=253.5),"PALMEIRAS DO TOCANTINS","")&amp;IF(AND(I258&gt;=253.501,I258&lt;=274.15),"DARCINÓPOLIS","")&amp;IF(AND(I258&gt;=274.151,I258&lt;=299.999),"BABAÇULÂNDIA","")&amp;IF(AND(I258&gt;=356.62,I258&lt;=385.4),"ARAGUAÍNA","")&amp;IF(AND(I258&gt;=300.001,I258&lt;=356.619),"BABAÇULÂNDIA","")&amp;IF(AND(I258&gt;=900,I258&lt;=902),"ENG. VLI","")</f>
        <v/>
      </c>
      <c r="K258" s="16"/>
      <c r="L258" s="167" t="str">
        <f>IF(K258&lt;&gt;"",VLOOKUP(K258,'Catálogo SAP'!A:F,3,FALSE),"")</f>
        <v/>
      </c>
      <c r="M258" s="162" t="str">
        <f>IF(K258&lt;&gt;"",VLOOKUP(K258,'Catálogo SAP'!A:F,4,FALSE),"")</f>
        <v/>
      </c>
      <c r="N258" s="168" t="str">
        <f>IF(K258&lt;&gt;"",VLOOKUP(K258,'Catálogo SAP'!A:F,5,FALSE),"")</f>
        <v/>
      </c>
      <c r="O258" s="160"/>
      <c r="P258" s="70" t="str">
        <f t="shared" si="97"/>
        <v>-</v>
      </c>
      <c r="Q258" s="163" t="str">
        <f t="shared" si="125"/>
        <v>-</v>
      </c>
      <c r="R258" s="44" t="str">
        <f>IF(J258&lt;&gt;"",VLOOKUP(J258,'RESUMO DR'!$B$4:$E$253,4,FALSE),"-")</f>
        <v>-</v>
      </c>
      <c r="S258" s="58" t="str">
        <f>IF(J258&lt;&gt;"",VLOOKUP(J258,'RESUMO DR'!$B$4:$E$253,3,FALSE),"-")</f>
        <v>-</v>
      </c>
      <c r="T258" s="129"/>
      <c r="U258" s="129"/>
      <c r="V258" s="129"/>
      <c r="W258" s="128"/>
      <c r="X258" s="127"/>
      <c r="Y258" s="127"/>
      <c r="Z258" s="4"/>
    </row>
    <row r="259" spans="1:26" ht="18" customHeight="1">
      <c r="A259" s="5">
        <v>1968</v>
      </c>
      <c r="B259" s="21">
        <v>45650</v>
      </c>
      <c r="C259" s="21" t="s">
        <v>134</v>
      </c>
      <c r="D259" s="74" t="str">
        <f t="shared" si="31"/>
        <v>ter</v>
      </c>
      <c r="E259" s="169">
        <f>IF(K259&lt;&gt;"",VLOOKUP(K259,'Catálogo SAP'!$A$1:$F$245,2,FALSE),"-")</f>
        <v>480</v>
      </c>
      <c r="F259" s="225">
        <v>3392</v>
      </c>
      <c r="G259" s="225">
        <v>3399</v>
      </c>
      <c r="H259" s="226"/>
      <c r="I259" s="230">
        <v>91</v>
      </c>
      <c r="J259" s="162" t="str">
        <f t="shared" si="32"/>
        <v>IMPERATRIZ</v>
      </c>
      <c r="K259" s="16">
        <v>480</v>
      </c>
      <c r="L259" s="167" t="str">
        <f>IF(K259&lt;&gt;"",VLOOKUP(K259,'Catálogo SAP'!A:F,3,FALSE),"")</f>
        <v>S.VP-01465</v>
      </c>
      <c r="M259" s="162" t="str">
        <f>IF(K259&lt;&gt;"",VLOOKUP(K259,'Catálogo SAP'!A:F,4,FALSE),"")</f>
        <v>Hora Produtiva Miniescavadeira Hidraulica C/ Operador</v>
      </c>
      <c r="N259" s="168" t="str">
        <f>IF(K259&lt;&gt;"",VLOOKUP(K259,'Catálogo SAP'!A:F,5,FALSE),"")</f>
        <v>H</v>
      </c>
      <c r="O259" s="160">
        <v>7</v>
      </c>
      <c r="P259" s="70">
        <f t="shared" si="97"/>
        <v>7</v>
      </c>
      <c r="Q259" s="163" t="e">
        <f t="shared" si="125"/>
        <v>#VALUE!</v>
      </c>
      <c r="R259" s="44" t="str">
        <f>IF(J259&lt;&gt;"",VLOOKUP(J259,'RESUMO DR'!$B$4:$E$253,4,FALSE),"-")</f>
        <v>T-01</v>
      </c>
      <c r="S259" s="58" t="str">
        <f>IF(J259&lt;&gt;"",VLOOKUP(J259,'RESUMO DR'!$B$4:$E$253,3,FALSE),"-")</f>
        <v>IMPERATRIZ</v>
      </c>
      <c r="T259" s="129"/>
      <c r="U259" s="129"/>
      <c r="V259" s="129"/>
      <c r="W259" s="128"/>
      <c r="X259" s="127"/>
      <c r="Y259" s="127"/>
      <c r="Z259" s="4"/>
    </row>
    <row r="260" spans="1:26" ht="18" customHeight="1">
      <c r="A260" s="5">
        <v>1968</v>
      </c>
      <c r="B260" s="21">
        <v>45650</v>
      </c>
      <c r="C260" s="21" t="s">
        <v>134</v>
      </c>
      <c r="D260" s="74" t="str">
        <f t="shared" ref="D260" si="132">IF(B260="","-",TEXT(B260,"ddd"))</f>
        <v>ter</v>
      </c>
      <c r="E260" s="169">
        <f>IF(K260&lt;&gt;"",VLOOKUP(K260,'Catálogo SAP'!$A$1:$F$245,2,FALSE),"-")</f>
        <v>490</v>
      </c>
      <c r="F260" s="225">
        <v>3399</v>
      </c>
      <c r="G260" s="225">
        <v>3399</v>
      </c>
      <c r="H260" s="226"/>
      <c r="I260" s="230">
        <v>91</v>
      </c>
      <c r="J260" s="162" t="str">
        <f t="shared" ref="J260" si="133">IF(AND(I260&gt;=0.001,I260&lt;=16),"AÇAILÂNDIA","")&amp;IF(AND(I260&gt;=16.001,I260&lt;=44),"S.F. BREJÃO","")&amp;IF(AND(I260&gt;=44.001,I260&lt;=78),"JOÃO LISBOA","")&amp;IF(AND(I260&gt;=78.001,I260&lt;=96.397),"IMPERATRIZ","")&amp;IF(AND(I260&gt;=96.398,I260&lt;=122.82),"EDSON LOBÃO","")&amp;IF(AND(I260&gt;=122.821,I260&lt;=152.303),"RIBAMAR FIQUENE","")&amp;IF(AND(I260&gt;=152.304,I260&lt;=172.403),"CAMPESTRE","")&amp;IF(AND(I260&gt;=172.404,I260&lt;=195),"PORTO FRANCO","")&amp;IF(AND(I260&gt;=300,I260&lt;=300),"SAO LUIS","")&amp;IF(AND(I260&gt;=385.4,I260&lt;=465.4),"Palmeirante","")&amp;IF(AND(I260&gt;=465.401,I260&lt;=520.455),"Tupiratins","")&amp;IF(AND(I260&gt;=520.456,I260&lt;=536.741),"Guaraí","")&amp;IF(AND(I260&gt;=536.742,I260&lt;=580.293),"Tupirama","")&amp;IF(AND(I260&gt;=580.294,I260&lt;=608.637),"Rio dos Bois","")&amp;IF(AND(I260&gt;=608.638,I260&lt;=698.981),"Miracema","")&amp;IF(AND(I260&gt;=698.982,I260&lt;=735.6),"Porto Nacional","")&amp;IF(AND(I260&gt;=195.1,I260&lt;=213.603),"ESTREITO","")&amp;IF(AND(I260&gt;=213.604,I260&lt;=218.976),"AGUIARNÓPOLIS","")&amp;IF(AND(I260&gt;=218.977,I260&lt;=253.5),"PALMEIRAS DO TOCANTINS","")&amp;IF(AND(I260&gt;=253.501,I260&lt;=274.15),"DARCINÓPOLIS","")&amp;IF(AND(I260&gt;=274.151,I260&lt;=299.999),"BABAÇULÂNDIA","")&amp;IF(AND(I260&gt;=356.62,I260&lt;=385.4),"ARAGUAÍNA","")&amp;IF(AND(I260&gt;=300.001,I260&lt;=356.619),"BABAÇULÂNDIA","")&amp;IF(AND(I260&gt;=900,I260&lt;=902),"ENG. VLI","")</f>
        <v>IMPERATRIZ</v>
      </c>
      <c r="K260" s="16">
        <v>490</v>
      </c>
      <c r="L260" s="167" t="str">
        <f>IF(K260&lt;&gt;"",VLOOKUP(K260,'Catálogo SAP'!A:F,3,FALSE),"")</f>
        <v>S.VP-01466</v>
      </c>
      <c r="M260" s="162" t="str">
        <f>IF(K260&lt;&gt;"",VLOOKUP(K260,'Catálogo SAP'!A:F,4,FALSE),"")</f>
        <v>Hora Improdutiva Miniescavadeira Hidraulica C/ Operador</v>
      </c>
      <c r="N260" s="168" t="str">
        <f>IF(K260&lt;&gt;"",VLOOKUP(K260,'Catálogo SAP'!A:F,5,FALSE),"")</f>
        <v>H</v>
      </c>
      <c r="O260" s="160">
        <v>2</v>
      </c>
      <c r="P260" s="70">
        <f t="shared" si="97"/>
        <v>0</v>
      </c>
      <c r="Q260" s="163" t="e">
        <f t="shared" si="125"/>
        <v>#VALUE!</v>
      </c>
      <c r="R260" s="44" t="str">
        <f>IF(J260&lt;&gt;"",VLOOKUP(J260,'RESUMO DR'!$B$4:$E$253,4,FALSE),"-")</f>
        <v>T-01</v>
      </c>
      <c r="S260" s="58" t="str">
        <f>IF(J260&lt;&gt;"",VLOOKUP(J260,'RESUMO DR'!$B$4:$E$253,3,FALSE),"-")</f>
        <v>IMPERATRIZ</v>
      </c>
      <c r="T260" s="129"/>
      <c r="U260" s="129"/>
      <c r="V260" s="129"/>
      <c r="W260" s="128"/>
      <c r="X260" s="127"/>
      <c r="Y260" s="127"/>
      <c r="Z260" s="4"/>
    </row>
    <row r="261" spans="1:26" ht="13.95" customHeight="1">
      <c r="A261" s="5"/>
      <c r="B261" s="21">
        <v>45650</v>
      </c>
      <c r="C261" s="21" t="s">
        <v>135</v>
      </c>
      <c r="D261" s="74" t="str">
        <f t="shared" si="31"/>
        <v>ter</v>
      </c>
      <c r="E261" s="169" t="str">
        <f>IF(K261&lt;&gt;"",VLOOKUP(K261,'Catálogo SAP'!$A$1:$F$245,2,FALSE),"-")</f>
        <v>-</v>
      </c>
      <c r="F261" s="16"/>
      <c r="G261" s="16"/>
      <c r="H261" s="22"/>
      <c r="I261" s="133"/>
      <c r="J261" s="162" t="str">
        <f t="shared" si="32"/>
        <v/>
      </c>
      <c r="K261" s="16"/>
      <c r="L261" s="167" t="str">
        <f>IF(K261&lt;&gt;"",VLOOKUP(K261,'Catálogo SAP'!A:F,3,FALSE),"")</f>
        <v/>
      </c>
      <c r="M261" s="162" t="str">
        <f>IF(K261&lt;&gt;"",VLOOKUP(K261,'Catálogo SAP'!A:F,4,FALSE),"")</f>
        <v/>
      </c>
      <c r="N261" s="168" t="str">
        <f>IF(K261&lt;&gt;"",VLOOKUP(K261,'Catálogo SAP'!A:F,5,FALSE),"")</f>
        <v/>
      </c>
      <c r="O261" s="160"/>
      <c r="P261" s="70" t="str">
        <f t="shared" si="97"/>
        <v>-</v>
      </c>
      <c r="Q261" s="163" t="str">
        <f t="shared" si="125"/>
        <v>-</v>
      </c>
      <c r="R261" s="44" t="str">
        <f>IF(J261&lt;&gt;"",VLOOKUP(J261,'RESUMO DR'!$B$4:$E$253,4,FALSE),"-")</f>
        <v>-</v>
      </c>
      <c r="S261" s="58" t="str">
        <f>IF(J261&lt;&gt;"",VLOOKUP(J261,'RESUMO DR'!$B$4:$E$253,3,FALSE),"-")</f>
        <v>-</v>
      </c>
      <c r="T261" s="129"/>
      <c r="U261" s="129"/>
      <c r="V261" s="129"/>
      <c r="W261" s="128"/>
      <c r="X261" s="127"/>
      <c r="Y261" s="127"/>
      <c r="Z261" s="4"/>
    </row>
    <row r="262" spans="1:26" ht="18" customHeight="1">
      <c r="A262" s="5">
        <v>1971</v>
      </c>
      <c r="B262" s="21">
        <v>45650</v>
      </c>
      <c r="C262" s="21" t="s">
        <v>306</v>
      </c>
      <c r="D262" s="74" t="str">
        <f t="shared" si="31"/>
        <v>ter</v>
      </c>
      <c r="E262" s="169">
        <f>IF(K262&lt;&gt;"",VLOOKUP(K262,'Catálogo SAP'!$A$1:$F$245,2,FALSE),"-")</f>
        <v>280</v>
      </c>
      <c r="F262" s="225">
        <v>293</v>
      </c>
      <c r="G262" s="225">
        <v>302</v>
      </c>
      <c r="H262" s="226"/>
      <c r="I262" s="230">
        <v>574</v>
      </c>
      <c r="J262" s="162" t="str">
        <f t="shared" si="32"/>
        <v>Tupirama</v>
      </c>
      <c r="K262" s="16">
        <v>280</v>
      </c>
      <c r="L262" s="167" t="str">
        <f>IF(K262&lt;&gt;"",VLOOKUP(K262,'Catálogo SAP'!A:F,3,FALSE),"")</f>
        <v>S.VP-01453</v>
      </c>
      <c r="M262" s="162" t="str">
        <f>IF(K262&lt;&gt;"",VLOOKUP(K262,'Catálogo SAP'!A:F,4,FALSE),"")</f>
        <v>Hora Produtiva Motoniveladora C/Operador</v>
      </c>
      <c r="N262" s="168" t="str">
        <f>IF(K262&lt;&gt;"",VLOOKUP(K262,'Catálogo SAP'!A:F,5,FALSE),"")</f>
        <v>H</v>
      </c>
      <c r="O262" s="160">
        <v>9</v>
      </c>
      <c r="P262" s="70">
        <f t="shared" ref="P262:P325" si="134">IF(G262="","-",G262-F262)</f>
        <v>9</v>
      </c>
      <c r="Q262" s="163" t="e">
        <f t="shared" si="125"/>
        <v>#VALUE!</v>
      </c>
      <c r="R262" s="44" t="str">
        <f>IF(J262&lt;&gt;"",VLOOKUP(J262,'RESUMO DR'!$B$4:$E$253,4,FALSE),"-")</f>
        <v>T-03</v>
      </c>
      <c r="S262" s="58" t="str">
        <f>IF(J262&lt;&gt;"",VLOOKUP(J262,'RESUMO DR'!$B$4:$E$253,3,FALSE),"-")</f>
        <v>PALMAS</v>
      </c>
      <c r="T262" s="129"/>
      <c r="U262" s="129"/>
      <c r="V262" s="129"/>
      <c r="W262" s="128"/>
      <c r="X262" s="127"/>
      <c r="Y262" s="127"/>
      <c r="Z262" s="4"/>
    </row>
    <row r="263" spans="1:26" ht="13.95" customHeight="1">
      <c r="A263" s="5"/>
      <c r="B263" s="21">
        <v>45650</v>
      </c>
      <c r="C263" s="21" t="s">
        <v>306</v>
      </c>
      <c r="D263" s="74" t="str">
        <f t="shared" si="31"/>
        <v>ter</v>
      </c>
      <c r="E263" s="169" t="str">
        <f>IF(K263&lt;&gt;"",VLOOKUP(K263,'Catálogo SAP'!$A$1:$F$245,2,FALSE),"-")</f>
        <v>-</v>
      </c>
      <c r="F263" s="16"/>
      <c r="G263" s="16"/>
      <c r="H263" s="22"/>
      <c r="I263" s="133"/>
      <c r="J263" s="162" t="str">
        <f t="shared" si="32"/>
        <v/>
      </c>
      <c r="K263" s="16"/>
      <c r="L263" s="167" t="str">
        <f>IF(K263&lt;&gt;"",VLOOKUP(K263,'Catálogo SAP'!A:F,3,FALSE),"")</f>
        <v/>
      </c>
      <c r="M263" s="162" t="str">
        <f>IF(K263&lt;&gt;"",VLOOKUP(K263,'Catálogo SAP'!A:F,4,FALSE),"")</f>
        <v/>
      </c>
      <c r="N263" s="168" t="str">
        <f>IF(K263&lt;&gt;"",VLOOKUP(K263,'Catálogo SAP'!A:F,5,FALSE),"")</f>
        <v/>
      </c>
      <c r="O263" s="160"/>
      <c r="P263" s="70" t="str">
        <f t="shared" si="134"/>
        <v>-</v>
      </c>
      <c r="Q263" s="163" t="str">
        <f t="shared" si="125"/>
        <v>-</v>
      </c>
      <c r="R263" s="44" t="str">
        <f>IF(J263&lt;&gt;"",VLOOKUP(J263,'RESUMO DR'!$B$4:$E$253,4,FALSE),"-")</f>
        <v>-</v>
      </c>
      <c r="S263" s="58" t="str">
        <f>IF(J263&lt;&gt;"",VLOOKUP(J263,'RESUMO DR'!$B$4:$E$253,3,FALSE),"-")</f>
        <v>-</v>
      </c>
      <c r="T263" s="129"/>
      <c r="U263" s="129"/>
      <c r="V263" s="129"/>
      <c r="W263" s="128"/>
      <c r="X263" s="127"/>
      <c r="Y263" s="127"/>
      <c r="Z263" s="4"/>
    </row>
    <row r="264" spans="1:26" ht="18" customHeight="1">
      <c r="A264" s="5"/>
      <c r="B264" s="21">
        <v>45650</v>
      </c>
      <c r="C264" s="21" t="s">
        <v>310</v>
      </c>
      <c r="D264" s="74" t="str">
        <f t="shared" ref="D264:D268" si="135">IF(B264="","-",TEXT(B264,"ddd"))</f>
        <v>ter</v>
      </c>
      <c r="E264" s="169" t="str">
        <f>IF(K264&lt;&gt;"",VLOOKUP(K264,'Catálogo SAP'!$A$1:$F$245,2,FALSE),"-")</f>
        <v>-</v>
      </c>
      <c r="F264" s="225"/>
      <c r="G264" s="225"/>
      <c r="H264" s="226"/>
      <c r="I264" s="230"/>
      <c r="J264" s="162" t="str">
        <f t="shared" si="32"/>
        <v/>
      </c>
      <c r="K264" s="16"/>
      <c r="L264" s="167" t="str">
        <f>IF(K264&lt;&gt;"",VLOOKUP(K264,'Catálogo SAP'!A:F,3,FALSE),"")</f>
        <v/>
      </c>
      <c r="M264" s="162" t="str">
        <f>IF(K264&lt;&gt;"",VLOOKUP(K264,'Catálogo SAP'!A:F,4,FALSE),"")</f>
        <v/>
      </c>
      <c r="N264" s="168" t="str">
        <f>IF(K264&lt;&gt;"",VLOOKUP(K264,'Catálogo SAP'!A:F,5,FALSE),"")</f>
        <v/>
      </c>
      <c r="O264" s="160"/>
      <c r="P264" s="70" t="str">
        <f t="shared" si="134"/>
        <v>-</v>
      </c>
      <c r="Q264" s="163" t="str">
        <f t="shared" ref="Q264:Q268" si="136">IF(K264="","-",N264*O264)</f>
        <v>-</v>
      </c>
      <c r="R264" s="44" t="str">
        <f>IF(J264&lt;&gt;"",VLOOKUP(J264,'RESUMO DR'!$B$4:$E$253,4,FALSE),"-")</f>
        <v>-</v>
      </c>
      <c r="S264" s="58" t="str">
        <f>IF(J264&lt;&gt;"",VLOOKUP(J264,'RESUMO DR'!$B$4:$E$253,3,FALSE),"-")</f>
        <v>-</v>
      </c>
      <c r="T264" s="129"/>
      <c r="U264" s="129"/>
      <c r="V264" s="129"/>
      <c r="W264" s="128"/>
      <c r="X264" s="127"/>
      <c r="Y264" s="127"/>
      <c r="Z264" s="4"/>
    </row>
    <row r="265" spans="1:26" ht="18" customHeight="1">
      <c r="A265" s="5"/>
      <c r="B265" s="21">
        <v>45650</v>
      </c>
      <c r="C265" s="21" t="s">
        <v>310</v>
      </c>
      <c r="D265" s="74" t="str">
        <f t="shared" si="135"/>
        <v>ter</v>
      </c>
      <c r="E265" s="169" t="str">
        <f>IF(K265&lt;&gt;"",VLOOKUP(K265,'Catálogo SAP'!$A$1:$F$245,2,FALSE),"-")</f>
        <v>-</v>
      </c>
      <c r="F265" s="225"/>
      <c r="G265" s="225"/>
      <c r="H265" s="226"/>
      <c r="I265" s="230"/>
      <c r="J265" s="162" t="str">
        <f t="shared" si="32"/>
        <v/>
      </c>
      <c r="K265" s="16"/>
      <c r="L265" s="167" t="str">
        <f>IF(K265&lt;&gt;"",VLOOKUP(K265,'Catálogo SAP'!A:F,3,FALSE),"")</f>
        <v/>
      </c>
      <c r="M265" s="162" t="str">
        <f>IF(K265&lt;&gt;"",VLOOKUP(K265,'Catálogo SAP'!A:F,4,FALSE),"")</f>
        <v/>
      </c>
      <c r="N265" s="168" t="str">
        <f>IF(K265&lt;&gt;"",VLOOKUP(K265,'Catálogo SAP'!A:F,5,FALSE),"")</f>
        <v/>
      </c>
      <c r="O265" s="160"/>
      <c r="P265" s="70" t="str">
        <f t="shared" si="134"/>
        <v>-</v>
      </c>
      <c r="Q265" s="163" t="str">
        <f t="shared" si="136"/>
        <v>-</v>
      </c>
      <c r="R265" s="44" t="str">
        <f>IF(J265&lt;&gt;"",VLOOKUP(J265,'RESUMO DR'!$B$4:$E$253,4,FALSE),"-")</f>
        <v>-</v>
      </c>
      <c r="S265" s="58" t="str">
        <f>IF(J265&lt;&gt;"",VLOOKUP(J265,'RESUMO DR'!$B$4:$E$253,3,FALSE),"-")</f>
        <v>-</v>
      </c>
      <c r="T265" s="129"/>
      <c r="U265" s="129"/>
      <c r="V265" s="129"/>
      <c r="W265" s="128"/>
      <c r="X265" s="127"/>
      <c r="Y265" s="127"/>
      <c r="Z265" s="4"/>
    </row>
    <row r="266" spans="1:26" ht="18" customHeight="1">
      <c r="A266" s="5"/>
      <c r="B266" s="21">
        <v>45650</v>
      </c>
      <c r="C266" s="21" t="s">
        <v>138</v>
      </c>
      <c r="D266" s="74" t="str">
        <f t="shared" si="135"/>
        <v>ter</v>
      </c>
      <c r="E266" s="169" t="str">
        <f>IF(K266&lt;&gt;"",VLOOKUP(K266,'Catálogo SAP'!$A$1:$F$245,2,FALSE),"-")</f>
        <v>-</v>
      </c>
      <c r="F266" s="225"/>
      <c r="G266" s="225"/>
      <c r="H266" s="226"/>
      <c r="I266" s="230"/>
      <c r="J266" s="162" t="str">
        <f t="shared" si="32"/>
        <v/>
      </c>
      <c r="K266" s="16"/>
      <c r="L266" s="167" t="str">
        <f>IF(K266&lt;&gt;"",VLOOKUP(K266,'Catálogo SAP'!A:F,3,FALSE),"")</f>
        <v/>
      </c>
      <c r="M266" s="162" t="str">
        <f>IF(K266&lt;&gt;"",VLOOKUP(K266,'Catálogo SAP'!A:F,4,FALSE),"")</f>
        <v/>
      </c>
      <c r="N266" s="168" t="str">
        <f>IF(K266&lt;&gt;"",VLOOKUP(K266,'Catálogo SAP'!A:F,5,FALSE),"")</f>
        <v/>
      </c>
      <c r="O266" s="160"/>
      <c r="P266" s="70" t="str">
        <f t="shared" si="134"/>
        <v>-</v>
      </c>
      <c r="Q266" s="163" t="str">
        <f t="shared" si="136"/>
        <v>-</v>
      </c>
      <c r="R266" s="44" t="str">
        <f>IF(J266&lt;&gt;"",VLOOKUP(J266,'RESUMO DR'!$B$4:$E$253,4,FALSE),"-")</f>
        <v>-</v>
      </c>
      <c r="S266" s="58" t="str">
        <f>IF(J266&lt;&gt;"",VLOOKUP(J266,'RESUMO DR'!$B$4:$E$253,3,FALSE),"-")</f>
        <v>-</v>
      </c>
      <c r="T266" s="129"/>
      <c r="U266" s="129"/>
      <c r="V266" s="129"/>
      <c r="W266" s="128"/>
      <c r="X266" s="127"/>
      <c r="Y266" s="127"/>
      <c r="Z266" s="4"/>
    </row>
    <row r="267" spans="1:26" ht="18" customHeight="1">
      <c r="A267" s="5"/>
      <c r="B267" s="21">
        <v>45650</v>
      </c>
      <c r="C267" s="21" t="s">
        <v>138</v>
      </c>
      <c r="D267" s="74" t="str">
        <f t="shared" si="135"/>
        <v>ter</v>
      </c>
      <c r="E267" s="169" t="str">
        <f>IF(K267&lt;&gt;"",VLOOKUP(K267,'Catálogo SAP'!$A$1:$F$245,2,FALSE),"-")</f>
        <v>-</v>
      </c>
      <c r="F267" s="225"/>
      <c r="G267" s="225"/>
      <c r="H267" s="226"/>
      <c r="I267" s="230"/>
      <c r="J267" s="162" t="str">
        <f t="shared" si="32"/>
        <v/>
      </c>
      <c r="K267" s="16"/>
      <c r="L267" s="167" t="str">
        <f>IF(K267&lt;&gt;"",VLOOKUP(K267,'Catálogo SAP'!A:F,3,FALSE),"")</f>
        <v/>
      </c>
      <c r="M267" s="162" t="str">
        <f>IF(K267&lt;&gt;"",VLOOKUP(K267,'Catálogo SAP'!A:F,4,FALSE),"")</f>
        <v/>
      </c>
      <c r="N267" s="168" t="str">
        <f>IF(K267&lt;&gt;"",VLOOKUP(K267,'Catálogo SAP'!A:F,5,FALSE),"")</f>
        <v/>
      </c>
      <c r="O267" s="160"/>
      <c r="P267" s="70" t="str">
        <f t="shared" si="134"/>
        <v>-</v>
      </c>
      <c r="Q267" s="163" t="str">
        <f t="shared" si="136"/>
        <v>-</v>
      </c>
      <c r="R267" s="44" t="str">
        <f>IF(J267&lt;&gt;"",VLOOKUP(J267,'RESUMO DR'!$B$4:$E$253,4,FALSE),"-")</f>
        <v>-</v>
      </c>
      <c r="S267" s="58" t="str">
        <f>IF(J267&lt;&gt;"",VLOOKUP(J267,'RESUMO DR'!$B$4:$E$253,3,FALSE),"-")</f>
        <v>-</v>
      </c>
      <c r="T267" s="129"/>
      <c r="U267" s="129"/>
      <c r="V267" s="129"/>
      <c r="W267" s="128"/>
      <c r="X267" s="127"/>
      <c r="Y267" s="127"/>
      <c r="Z267" s="4"/>
    </row>
    <row r="268" spans="1:26" ht="13.8">
      <c r="A268" s="5"/>
      <c r="B268" s="21">
        <v>45650</v>
      </c>
      <c r="C268" s="21" t="s">
        <v>139</v>
      </c>
      <c r="D268" s="74" t="str">
        <f t="shared" si="135"/>
        <v>ter</v>
      </c>
      <c r="E268" s="169" t="str">
        <f>IF(K268&lt;&gt;"",VLOOKUP(K268,'Catálogo SAP'!$A$1:$F$245,2,FALSE),"-")</f>
        <v>-</v>
      </c>
      <c r="F268" s="225"/>
      <c r="G268" s="225"/>
      <c r="H268" s="226"/>
      <c r="I268" s="230"/>
      <c r="J268" s="162" t="str">
        <f t="shared" si="32"/>
        <v/>
      </c>
      <c r="K268" s="16"/>
      <c r="L268" s="167" t="str">
        <f>IF(K268&lt;&gt;"",VLOOKUP(K268,'Catálogo SAP'!A:F,3,FALSE),"")</f>
        <v/>
      </c>
      <c r="M268" s="162" t="str">
        <f>IF(K268&lt;&gt;"",VLOOKUP(K268,'Catálogo SAP'!A:F,4,FALSE),"")</f>
        <v/>
      </c>
      <c r="N268" s="168" t="str">
        <f>IF(K268&lt;&gt;"",VLOOKUP(K268,'Catálogo SAP'!A:F,5,FALSE),"")</f>
        <v/>
      </c>
      <c r="O268" s="160"/>
      <c r="P268" s="70" t="str">
        <f t="shared" si="134"/>
        <v>-</v>
      </c>
      <c r="Q268" s="163" t="str">
        <f t="shared" si="136"/>
        <v>-</v>
      </c>
      <c r="R268" s="44" t="str">
        <f>IF(J268&lt;&gt;"",VLOOKUP(J268,'RESUMO DR'!$B$4:$E$253,4,FALSE),"-")</f>
        <v>-</v>
      </c>
      <c r="S268" s="58" t="str">
        <f>IF(J268&lt;&gt;"",VLOOKUP(J268,'RESUMO DR'!$B$4:$E$253,3,FALSE),"-")</f>
        <v>-</v>
      </c>
      <c r="T268" s="129"/>
      <c r="U268" s="129"/>
      <c r="V268" s="129"/>
      <c r="W268" s="128"/>
      <c r="X268" s="127"/>
      <c r="Y268" s="127"/>
      <c r="Z268" s="4"/>
    </row>
    <row r="269" spans="1:26" ht="13.8">
      <c r="A269" s="5"/>
      <c r="B269" s="21">
        <v>45650</v>
      </c>
      <c r="C269" s="21" t="s">
        <v>139</v>
      </c>
      <c r="D269" s="74" t="str">
        <f t="shared" ref="D269" si="137">IF(B269="","-",TEXT(B269,"ddd"))</f>
        <v>ter</v>
      </c>
      <c r="E269" s="169" t="str">
        <f>IF(K269&lt;&gt;"",VLOOKUP(K269,'Catálogo SAP'!$A$1:$F$245,2,FALSE),"-")</f>
        <v>-</v>
      </c>
      <c r="F269" s="225"/>
      <c r="G269" s="225"/>
      <c r="H269" s="226"/>
      <c r="I269" s="230"/>
      <c r="J269" s="162" t="str">
        <f t="shared" si="32"/>
        <v/>
      </c>
      <c r="K269" s="225"/>
      <c r="L269" s="167" t="str">
        <f>IF(K269&lt;&gt;"",VLOOKUP(K269,'Catálogo SAP'!A:F,3,FALSE),"")</f>
        <v/>
      </c>
      <c r="M269" s="162" t="str">
        <f>IF(K269&lt;&gt;"",VLOOKUP(K269,'Catálogo SAP'!A:F,4,FALSE),"")</f>
        <v/>
      </c>
      <c r="N269" s="168" t="str">
        <f>IF(K269&lt;&gt;"",VLOOKUP(K269,'Catálogo SAP'!A:F,5,FALSE),"")</f>
        <v/>
      </c>
      <c r="O269" s="231"/>
      <c r="P269" s="70" t="str">
        <f t="shared" si="134"/>
        <v>-</v>
      </c>
      <c r="Q269" s="163" t="str">
        <f t="shared" ref="Q269:Q270" si="138">IF(K269="","-",N269*O269)</f>
        <v>-</v>
      </c>
      <c r="R269" s="44" t="str">
        <f>IF(J269&lt;&gt;"",VLOOKUP(J269,'RESUMO DR'!$B$4:$E$253,4,FALSE),"-")</f>
        <v>-</v>
      </c>
      <c r="S269" s="58" t="str">
        <f>IF(J269&lt;&gt;"",VLOOKUP(J269,'RESUMO DR'!$B$4:$E$253,3,FALSE),"-")</f>
        <v>-</v>
      </c>
      <c r="T269" s="129"/>
      <c r="U269" s="129"/>
      <c r="V269" s="129"/>
      <c r="W269" s="128"/>
      <c r="X269" s="127"/>
      <c r="Y269" s="127"/>
      <c r="Z269" s="4"/>
    </row>
    <row r="270" spans="1:26" ht="13.8">
      <c r="A270" s="5"/>
      <c r="B270" s="21">
        <v>45650</v>
      </c>
      <c r="C270" s="21" t="s">
        <v>139</v>
      </c>
      <c r="D270" s="74" t="str">
        <f t="shared" ref="D270" si="139">IF(B270="","-",TEXT(B270,"ddd"))</f>
        <v>ter</v>
      </c>
      <c r="E270" s="169" t="str">
        <f>IF(K270&lt;&gt;"",VLOOKUP(K270,'Catálogo SAP'!$A$1:$F$245,2,FALSE),"-")</f>
        <v>-</v>
      </c>
      <c r="F270" s="225"/>
      <c r="G270" s="225"/>
      <c r="H270" s="226"/>
      <c r="I270" s="230"/>
      <c r="J270" s="162" t="str">
        <f t="shared" si="32"/>
        <v/>
      </c>
      <c r="K270" s="225"/>
      <c r="L270" s="167" t="str">
        <f>IF(K270&lt;&gt;"",VLOOKUP(K270,'Catálogo SAP'!A:F,3,FALSE),"")</f>
        <v/>
      </c>
      <c r="M270" s="162" t="str">
        <f>IF(K270&lt;&gt;"",VLOOKUP(K270,'Catálogo SAP'!A:F,4,FALSE),"")</f>
        <v/>
      </c>
      <c r="N270" s="168" t="str">
        <f>IF(K270&lt;&gt;"",VLOOKUP(K270,'Catálogo SAP'!A:F,5,FALSE),"")</f>
        <v/>
      </c>
      <c r="O270" s="231"/>
      <c r="P270" s="70" t="str">
        <f t="shared" si="134"/>
        <v>-</v>
      </c>
      <c r="Q270" s="163" t="str">
        <f t="shared" si="138"/>
        <v>-</v>
      </c>
      <c r="R270" s="44" t="str">
        <f>IF(J270&lt;&gt;"",VLOOKUP(J270,'RESUMO DR'!$B$4:$E$253,4,FALSE),"-")</f>
        <v>-</v>
      </c>
      <c r="S270" s="58" t="str">
        <f>IF(J270&lt;&gt;"",VLOOKUP(J270,'RESUMO DR'!$B$4:$E$253,3,FALSE),"-")</f>
        <v>-</v>
      </c>
      <c r="T270" s="129"/>
      <c r="U270" s="129"/>
      <c r="V270" s="129"/>
      <c r="W270" s="128"/>
      <c r="X270" s="127"/>
      <c r="Y270" s="127"/>
      <c r="Z270" s="4"/>
    </row>
    <row r="271" spans="1:26" ht="13.8">
      <c r="A271" s="5">
        <v>1962</v>
      </c>
      <c r="B271" s="21">
        <v>45650</v>
      </c>
      <c r="C271" s="222" t="s">
        <v>314</v>
      </c>
      <c r="D271" s="74" t="str">
        <f t="shared" ref="D271:D273" si="140">IF(B271="","-",TEXT(B271,"ddd"))</f>
        <v>ter</v>
      </c>
      <c r="E271" s="169">
        <f>IF(K271&lt;&gt;"",VLOOKUP(K271,'Catálogo SAP'!$A$1:$F$245,2,FALSE),"-")</f>
        <v>200</v>
      </c>
      <c r="F271" s="225">
        <v>65016</v>
      </c>
      <c r="G271" s="225">
        <v>65325</v>
      </c>
      <c r="H271" s="226"/>
      <c r="I271" s="230">
        <v>54</v>
      </c>
      <c r="J271" s="162" t="str">
        <f t="shared" si="32"/>
        <v>JOÃO LISBOA</v>
      </c>
      <c r="K271" s="225">
        <v>200</v>
      </c>
      <c r="L271" s="167" t="str">
        <f>IF(K271&lt;&gt;"",VLOOKUP(K271,'Catálogo SAP'!A:F,3,FALSE),"")</f>
        <v>S.VP-01445</v>
      </c>
      <c r="M271" s="162" t="str">
        <f>IF(K271&lt;&gt;"",VLOOKUP(K271,'Catálogo SAP'!A:F,4,FALSE),"")</f>
        <v>Km Rodado Caminhão Basculante - C/Motorista</v>
      </c>
      <c r="N271" s="168" t="str">
        <f>IF(K271&lt;&gt;"",VLOOKUP(K271,'Catálogo SAP'!A:F,5,FALSE),"")</f>
        <v>KM</v>
      </c>
      <c r="O271" s="231">
        <v>309</v>
      </c>
      <c r="P271" s="70">
        <f t="shared" si="134"/>
        <v>309</v>
      </c>
      <c r="Q271" s="163" t="e">
        <f t="shared" ref="Q271:Q273" si="141">IF(K271="","-",N271*O271)</f>
        <v>#VALUE!</v>
      </c>
      <c r="R271" s="44" t="str">
        <f>IF(J271&lt;&gt;"",VLOOKUP(J271,'RESUMO DR'!$B$4:$E$253,4,FALSE),"-")</f>
        <v>T-01</v>
      </c>
      <c r="S271" s="58" t="str">
        <f>IF(J271&lt;&gt;"",VLOOKUP(J271,'RESUMO DR'!$B$4:$E$253,3,FALSE),"-")</f>
        <v>IMPERATRIZ</v>
      </c>
      <c r="T271" s="129"/>
      <c r="U271" s="129"/>
      <c r="V271" s="129"/>
      <c r="W271" s="128"/>
      <c r="X271" s="127"/>
      <c r="Y271" s="127"/>
      <c r="Z271" s="4"/>
    </row>
    <row r="272" spans="1:26" ht="13.8">
      <c r="A272" s="5"/>
      <c r="B272" s="222"/>
      <c r="C272" s="222"/>
      <c r="D272" s="74" t="str">
        <f t="shared" si="140"/>
        <v>-</v>
      </c>
      <c r="E272" s="169" t="str">
        <f>IF(K272&lt;&gt;"",VLOOKUP(K272,'Catálogo SAP'!$A$1:$F$245,2,FALSE),"-")</f>
        <v>-</v>
      </c>
      <c r="F272" s="225"/>
      <c r="G272" s="225"/>
      <c r="H272" s="226"/>
      <c r="I272" s="230"/>
      <c r="J272" s="162" t="str">
        <f t="shared" si="32"/>
        <v/>
      </c>
      <c r="K272" s="225"/>
      <c r="L272" s="167" t="str">
        <f>IF(K272&lt;&gt;"",VLOOKUP(K272,'Catálogo SAP'!A:F,3,FALSE),"")</f>
        <v/>
      </c>
      <c r="M272" s="162" t="str">
        <f>IF(K272&lt;&gt;"",VLOOKUP(K272,'Catálogo SAP'!A:F,4,FALSE),"")</f>
        <v/>
      </c>
      <c r="N272" s="168" t="str">
        <f>IF(K272&lt;&gt;"",VLOOKUP(K272,'Catálogo SAP'!A:F,5,FALSE),"")</f>
        <v/>
      </c>
      <c r="O272" s="231"/>
      <c r="P272" s="70" t="str">
        <f t="shared" si="134"/>
        <v>-</v>
      </c>
      <c r="Q272" s="163" t="str">
        <f t="shared" si="141"/>
        <v>-</v>
      </c>
      <c r="R272" s="44" t="str">
        <f>IF(J272&lt;&gt;"",VLOOKUP(J272,'RESUMO DR'!$B$4:$E$253,4,FALSE),"-")</f>
        <v>-</v>
      </c>
      <c r="S272" s="58" t="str">
        <f>IF(J272&lt;&gt;"",VLOOKUP(J272,'RESUMO DR'!$B$4:$E$253,3,FALSE),"-")</f>
        <v>-</v>
      </c>
      <c r="T272" s="129"/>
      <c r="U272" s="129"/>
      <c r="V272" s="129"/>
      <c r="W272" s="128"/>
      <c r="X272" s="127"/>
      <c r="Y272" s="127"/>
      <c r="Z272" s="4"/>
    </row>
    <row r="273" spans="1:26" ht="13.8">
      <c r="A273" s="5"/>
      <c r="B273" s="222"/>
      <c r="C273" s="222"/>
      <c r="D273" s="74" t="str">
        <f t="shared" si="140"/>
        <v>-</v>
      </c>
      <c r="E273" s="169" t="str">
        <f>IF(K273&lt;&gt;"",VLOOKUP(K273,'Catálogo SAP'!$A$1:$F$245,2,FALSE),"-")</f>
        <v>-</v>
      </c>
      <c r="F273" s="225"/>
      <c r="G273" s="225"/>
      <c r="H273" s="226"/>
      <c r="I273" s="230"/>
      <c r="J273" s="162" t="str">
        <f t="shared" si="32"/>
        <v/>
      </c>
      <c r="K273" s="225"/>
      <c r="L273" s="167" t="str">
        <f>IF(K273&lt;&gt;"",VLOOKUP(K273,'Catálogo SAP'!A:F,3,FALSE),"")</f>
        <v/>
      </c>
      <c r="M273" s="162" t="str">
        <f>IF(K273&lt;&gt;"",VLOOKUP(K273,'Catálogo SAP'!A:F,4,FALSE),"")</f>
        <v/>
      </c>
      <c r="N273" s="168" t="str">
        <f>IF(K273&lt;&gt;"",VLOOKUP(K273,'Catálogo SAP'!A:F,5,FALSE),"")</f>
        <v/>
      </c>
      <c r="O273" s="231"/>
      <c r="P273" s="70" t="str">
        <f t="shared" si="134"/>
        <v>-</v>
      </c>
      <c r="Q273" s="163" t="str">
        <f t="shared" si="141"/>
        <v>-</v>
      </c>
      <c r="R273" s="44" t="str">
        <f>IF(J273&lt;&gt;"",VLOOKUP(J273,'RESUMO DR'!$B$4:$E$253,4,FALSE),"-")</f>
        <v>-</v>
      </c>
      <c r="S273" s="58" t="str">
        <f>IF(J273&lt;&gt;"",VLOOKUP(J273,'RESUMO DR'!$B$4:$E$253,3,FALSE),"-")</f>
        <v>-</v>
      </c>
      <c r="T273" s="129"/>
      <c r="U273" s="129"/>
      <c r="V273" s="129"/>
      <c r="W273" s="128"/>
      <c r="X273" s="127"/>
      <c r="Y273" s="127"/>
      <c r="Z273" s="4"/>
    </row>
    <row r="274" spans="1:26" ht="18" customHeight="1">
      <c r="A274" s="5">
        <v>1561</v>
      </c>
      <c r="B274" s="21">
        <v>45652</v>
      </c>
      <c r="C274" s="21" t="s">
        <v>121</v>
      </c>
      <c r="D274" s="74" t="str">
        <f t="shared" ref="D274:D345" si="142">IF(B274="","-",TEXT(B274,"ddd"))</f>
        <v>qui</v>
      </c>
      <c r="E274" s="169">
        <f>IF(K274&lt;&gt;"",VLOOKUP(K274,'Catálogo SAP'!$A$1:$F$245,2,FALSE),"-")</f>
        <v>120</v>
      </c>
      <c r="F274" s="16">
        <v>8692</v>
      </c>
      <c r="G274" s="16">
        <v>8698</v>
      </c>
      <c r="H274" s="22"/>
      <c r="I274" s="133">
        <v>300</v>
      </c>
      <c r="J274" s="162" t="str">
        <f t="shared" ref="J274" si="143">IF(AND(I274&gt;=0.001,I274&lt;=16),"AÇAILÂNDIA","")&amp;IF(AND(I274&gt;=16.001,I274&lt;=44),"S.F. BREJÃO","")&amp;IF(AND(I274&gt;=44.001,I274&lt;=78),"JOÃO LISBOA","")&amp;IF(AND(I274&gt;=78.001,I274&lt;=96.397),"IMPERATRIZ","")&amp;IF(AND(I274&gt;=96.398,I274&lt;=122.82),"EDSON LOBÃO","")&amp;IF(AND(I274&gt;=122.821,I274&lt;=152.303),"RIBAMAR FIQUENE","")&amp;IF(AND(I274&gt;=152.304,I274&lt;=172.403),"CAMPESTRE","")&amp;IF(AND(I274&gt;=172.404,I274&lt;=195),"PORTO FRANCO","")&amp;IF(AND(I274&gt;=300,I274&lt;=300),"SAO LUIS","")&amp;IF(AND(I274&gt;=385.4,I274&lt;=465.4),"Palmeirante","")&amp;IF(AND(I274&gt;=465.401,I274&lt;=520.455),"Tupiratins","")&amp;IF(AND(I274&gt;=520.456,I274&lt;=536.741),"Guaraí","")&amp;IF(AND(I274&gt;=536.742,I274&lt;=580.293),"Tupirama","")&amp;IF(AND(I274&gt;=580.294,I274&lt;=608.637),"Rio dos Bois","")&amp;IF(AND(I274&gt;=608.638,I274&lt;=698.981),"Miracema","")&amp;IF(AND(I274&gt;=698.982,I274&lt;=735.6),"Porto Nacional","")&amp;IF(AND(I274&gt;=195.1,I274&lt;=213.603),"ESTREITO","")&amp;IF(AND(I274&gt;=213.604,I274&lt;=218.976),"AGUIARNÓPOLIS","")&amp;IF(AND(I274&gt;=218.977,I274&lt;=253.5),"PALMEIRAS DO TOCANTINS","")&amp;IF(AND(I274&gt;=253.501,I274&lt;=274.15),"DARCINÓPOLIS","")&amp;IF(AND(I274&gt;=274.151,I274&lt;=299.999),"BABAÇULÂNDIA","")&amp;IF(AND(I274&gt;=356.62,I274&lt;=385.4),"ARAGUAÍNA","")&amp;IF(AND(I274&gt;=300.001,I274&lt;=356.619),"BABAÇULÂNDIA","")&amp;IF(AND(I274&gt;=900,I274&lt;=902),"ENG. VLI","")</f>
        <v>SAO LUIS</v>
      </c>
      <c r="K274" s="16">
        <v>120</v>
      </c>
      <c r="L274" s="167" t="str">
        <f>IF(K274&lt;&gt;"",VLOOKUP(K274,'Catálogo SAP'!A:F,3,FALSE),"")</f>
        <v>S.VP-01437</v>
      </c>
      <c r="M274" s="162" t="str">
        <f>IF(K274&lt;&gt;"",VLOOKUP(K274,'Catálogo SAP'!A:F,4,FALSE),"")</f>
        <v>Hr Produtiva Retroescavadeira C/Operador</v>
      </c>
      <c r="N274" s="168" t="str">
        <f>IF(K274&lt;&gt;"",VLOOKUP(K274,'Catálogo SAP'!A:F,5,FALSE),"")</f>
        <v>H</v>
      </c>
      <c r="O274" s="160">
        <v>6</v>
      </c>
      <c r="P274" s="70">
        <f t="shared" si="134"/>
        <v>6</v>
      </c>
      <c r="Q274" s="163" t="e">
        <f t="shared" si="125"/>
        <v>#VALUE!</v>
      </c>
      <c r="R274" s="44" t="str">
        <f>IF(J274&lt;&gt;"",VLOOKUP(J274,'RESUMO DR'!$B$4:$E$253,4,FALSE),"-")</f>
        <v>T-02</v>
      </c>
      <c r="S274" s="58" t="str">
        <f>IF(J274&lt;&gt;"",VLOOKUP(J274,'RESUMO DR'!$B$4:$E$253,3,FALSE),"-")</f>
        <v>ARAGUAINA</v>
      </c>
      <c r="T274" s="129"/>
      <c r="U274" s="129"/>
      <c r="V274" s="129"/>
      <c r="W274" s="128"/>
      <c r="X274" s="127"/>
      <c r="Y274" s="127"/>
      <c r="Z274" s="4"/>
    </row>
    <row r="275" spans="1:26" ht="18" customHeight="1">
      <c r="A275" s="5">
        <v>1561</v>
      </c>
      <c r="B275" s="21">
        <v>45652</v>
      </c>
      <c r="C275" s="21" t="s">
        <v>121</v>
      </c>
      <c r="D275" s="74" t="str">
        <f t="shared" si="142"/>
        <v>qui</v>
      </c>
      <c r="E275" s="169">
        <f>IF(K275&lt;&gt;"",VLOOKUP(K275,'Catálogo SAP'!$A$1:$F$245,2,FALSE),"-")</f>
        <v>130</v>
      </c>
      <c r="F275" s="16">
        <v>8698</v>
      </c>
      <c r="G275" s="16">
        <v>8698</v>
      </c>
      <c r="H275" s="22"/>
      <c r="I275" s="133">
        <v>300</v>
      </c>
      <c r="J275" s="162" t="str">
        <f t="shared" si="32"/>
        <v>SAO LUIS</v>
      </c>
      <c r="K275" s="16">
        <v>130</v>
      </c>
      <c r="L275" s="167" t="str">
        <f>IF(K275&lt;&gt;"",VLOOKUP(K275,'Catálogo SAP'!A:F,3,FALSE),"")</f>
        <v>S.VP-01438</v>
      </c>
      <c r="M275" s="162" t="str">
        <f>IF(K275&lt;&gt;"",VLOOKUP(K275,'Catálogo SAP'!A:F,4,FALSE),"")</f>
        <v>Hr Improdutiva Retroescavadeira C/Operador</v>
      </c>
      <c r="N275" s="168" t="str">
        <f>IF(K275&lt;&gt;"",VLOOKUP(K275,'Catálogo SAP'!A:F,5,FALSE),"")</f>
        <v>H</v>
      </c>
      <c r="O275" s="160">
        <v>3</v>
      </c>
      <c r="P275" s="70">
        <f t="shared" si="134"/>
        <v>0</v>
      </c>
      <c r="Q275" s="163" t="e">
        <f t="shared" si="125"/>
        <v>#VALUE!</v>
      </c>
      <c r="R275" s="44" t="str">
        <f>IF(J275&lt;&gt;"",VLOOKUP(J275,'RESUMO DR'!$B$4:$E$253,4,FALSE),"-")</f>
        <v>T-02</v>
      </c>
      <c r="S275" s="58" t="str">
        <f>IF(J275&lt;&gt;"",VLOOKUP(J275,'RESUMO DR'!$B$4:$E$253,3,FALSE),"-")</f>
        <v>ARAGUAINA</v>
      </c>
      <c r="T275" s="129"/>
      <c r="U275" s="129"/>
      <c r="V275" s="129"/>
      <c r="W275" s="128"/>
      <c r="X275" s="127"/>
      <c r="Y275" s="127"/>
      <c r="Z275" s="4"/>
    </row>
    <row r="276" spans="1:26" ht="18" customHeight="1">
      <c r="A276" s="5">
        <v>1979</v>
      </c>
      <c r="B276" s="21">
        <v>45652</v>
      </c>
      <c r="C276" s="21" t="s">
        <v>122</v>
      </c>
      <c r="D276" s="74" t="str">
        <f t="shared" si="142"/>
        <v>qui</v>
      </c>
      <c r="E276" s="169">
        <f>IF(K276&lt;&gt;"",VLOOKUP(K276,'Catálogo SAP'!$A$1:$F$245,2,FALSE),"-")</f>
        <v>120</v>
      </c>
      <c r="F276" s="225">
        <v>3814</v>
      </c>
      <c r="G276" s="225">
        <v>3823</v>
      </c>
      <c r="H276" s="226"/>
      <c r="I276" s="230">
        <v>373</v>
      </c>
      <c r="J276" s="162" t="str">
        <f t="shared" ref="J276" si="144">IF(AND(I276&gt;=0.001,I276&lt;=16),"AÇAILÂNDIA","")&amp;IF(AND(I276&gt;=16.001,I276&lt;=44),"S.F. BREJÃO","")&amp;IF(AND(I276&gt;=44.001,I276&lt;=78),"JOÃO LISBOA","")&amp;IF(AND(I276&gt;=78.001,I276&lt;=96.397),"IMPERATRIZ","")&amp;IF(AND(I276&gt;=96.398,I276&lt;=122.82),"EDSON LOBÃO","")&amp;IF(AND(I276&gt;=122.821,I276&lt;=152.303),"RIBAMAR FIQUENE","")&amp;IF(AND(I276&gt;=152.304,I276&lt;=172.403),"CAMPESTRE","")&amp;IF(AND(I276&gt;=172.404,I276&lt;=195),"PORTO FRANCO","")&amp;IF(AND(I276&gt;=300,I276&lt;=300),"SAO LUIS","")&amp;IF(AND(I276&gt;=385.4,I276&lt;=465.4),"Palmeirante","")&amp;IF(AND(I276&gt;=465.401,I276&lt;=520.455),"Tupiratins","")&amp;IF(AND(I276&gt;=520.456,I276&lt;=536.741),"Guaraí","")&amp;IF(AND(I276&gt;=536.742,I276&lt;=580.293),"Tupirama","")&amp;IF(AND(I276&gt;=580.294,I276&lt;=608.637),"Rio dos Bois","")&amp;IF(AND(I276&gt;=608.638,I276&lt;=698.981),"Miracema","")&amp;IF(AND(I276&gt;=698.982,I276&lt;=735.6),"Porto Nacional","")&amp;IF(AND(I276&gt;=195.1,I276&lt;=213.603),"ESTREITO","")&amp;IF(AND(I276&gt;=213.604,I276&lt;=218.976),"AGUIARNÓPOLIS","")&amp;IF(AND(I276&gt;=218.977,I276&lt;=253.5),"PALMEIRAS DO TOCANTINS","")&amp;IF(AND(I276&gt;=253.501,I276&lt;=274.15),"DARCINÓPOLIS","")&amp;IF(AND(I276&gt;=274.151,I276&lt;=299.999),"BABAÇULÂNDIA","")&amp;IF(AND(I276&gt;=356.62,I276&lt;=385.4),"ARAGUAÍNA","")&amp;IF(AND(I276&gt;=300.001,I276&lt;=356.619),"BABAÇULÂNDIA","")&amp;IF(AND(I276&gt;=900,I276&lt;=902),"ENG. VLI","")</f>
        <v>ARAGUAÍNA</v>
      </c>
      <c r="K276" s="16">
        <v>120</v>
      </c>
      <c r="L276" s="167" t="str">
        <f>IF(K276&lt;&gt;"",VLOOKUP(K276,'Catálogo SAP'!A:F,3,FALSE),"")</f>
        <v>S.VP-01437</v>
      </c>
      <c r="M276" s="162" t="str">
        <f>IF(K276&lt;&gt;"",VLOOKUP(K276,'Catálogo SAP'!A:F,4,FALSE),"")</f>
        <v>Hr Produtiva Retroescavadeira C/Operador</v>
      </c>
      <c r="N276" s="168" t="str">
        <f>IF(K276&lt;&gt;"",VLOOKUP(K276,'Catálogo SAP'!A:F,5,FALSE),"")</f>
        <v>H</v>
      </c>
      <c r="O276" s="160">
        <v>9</v>
      </c>
      <c r="P276" s="70">
        <f t="shared" si="134"/>
        <v>9</v>
      </c>
      <c r="Q276" s="163" t="e">
        <f t="shared" si="125"/>
        <v>#VALUE!</v>
      </c>
      <c r="R276" s="44" t="str">
        <f>IF(J276&lt;&gt;"",VLOOKUP(J276,'RESUMO DR'!$B$4:$E$253,4,FALSE),"-")</f>
        <v>T-02</v>
      </c>
      <c r="S276" s="58" t="str">
        <f>IF(J276&lt;&gt;"",VLOOKUP(J276,'RESUMO DR'!$B$4:$E$253,3,FALSE),"-")</f>
        <v>ARAGUAINA</v>
      </c>
      <c r="T276" s="129"/>
      <c r="U276" s="129"/>
      <c r="V276" s="129"/>
      <c r="W276" s="128"/>
      <c r="X276" s="127"/>
      <c r="Y276" s="127"/>
      <c r="Z276" s="4"/>
    </row>
    <row r="277" spans="1:26" ht="18" customHeight="1">
      <c r="A277" s="5"/>
      <c r="B277" s="21">
        <v>45652</v>
      </c>
      <c r="C277" s="21" t="s">
        <v>123</v>
      </c>
      <c r="D277" s="74" t="str">
        <f t="shared" si="142"/>
        <v>qui</v>
      </c>
      <c r="E277" s="169" t="str">
        <f>IF(K277&lt;&gt;"",VLOOKUP(K277,'Catálogo SAP'!$A$1:$F$245,2,FALSE),"-")</f>
        <v>-</v>
      </c>
      <c r="F277" s="225"/>
      <c r="G277" s="225"/>
      <c r="H277" s="226"/>
      <c r="I277" s="230"/>
      <c r="J277" s="162" t="str">
        <f t="shared" si="32"/>
        <v/>
      </c>
      <c r="K277" s="16"/>
      <c r="L277" s="167" t="str">
        <f>IF(K277&lt;&gt;"",VLOOKUP(K277,'Catálogo SAP'!A:F,3,FALSE),"")</f>
        <v/>
      </c>
      <c r="M277" s="162" t="str">
        <f>IF(K277&lt;&gt;"",VLOOKUP(K277,'Catálogo SAP'!A:F,4,FALSE),"")</f>
        <v/>
      </c>
      <c r="N277" s="168" t="str">
        <f>IF(K277&lt;&gt;"",VLOOKUP(K277,'Catálogo SAP'!A:F,5,FALSE),"")</f>
        <v/>
      </c>
      <c r="O277" s="160"/>
      <c r="P277" s="70" t="str">
        <f t="shared" si="134"/>
        <v>-</v>
      </c>
      <c r="Q277" s="163" t="str">
        <f t="shared" si="125"/>
        <v>-</v>
      </c>
      <c r="R277" s="44" t="str">
        <f>IF(J277&lt;&gt;"",VLOOKUP(J277,'RESUMO DR'!$B$4:$E$253,4,FALSE),"-")</f>
        <v>-</v>
      </c>
      <c r="S277" s="58" t="str">
        <f>IF(J277&lt;&gt;"",VLOOKUP(J277,'RESUMO DR'!$B$4:$E$253,3,FALSE),"-")</f>
        <v>-</v>
      </c>
      <c r="T277" s="129"/>
      <c r="U277" s="129"/>
      <c r="V277" s="129"/>
      <c r="W277" s="128"/>
      <c r="X277" s="127"/>
      <c r="Y277" s="127"/>
      <c r="Z277" s="4"/>
    </row>
    <row r="278" spans="1:26" ht="18" customHeight="1">
      <c r="A278" s="5">
        <v>1973</v>
      </c>
      <c r="B278" s="21">
        <v>45652</v>
      </c>
      <c r="C278" s="21" t="s">
        <v>124</v>
      </c>
      <c r="D278" s="74" t="str">
        <f t="shared" si="142"/>
        <v>qui</v>
      </c>
      <c r="E278" s="169">
        <f>IF(K278&lt;&gt;"",VLOOKUP(K278,'Catálogo SAP'!$A$1:$F$245,2,FALSE),"-")</f>
        <v>400</v>
      </c>
      <c r="F278" s="225">
        <v>418529</v>
      </c>
      <c r="G278" s="225">
        <v>418654</v>
      </c>
      <c r="H278" s="226"/>
      <c r="I278" s="230">
        <v>147</v>
      </c>
      <c r="J278" s="162" t="str">
        <f t="shared" ref="J278" si="145">IF(AND(I278&gt;=0.001,I278&lt;=16),"AÇAILÂNDIA","")&amp;IF(AND(I278&gt;=16.001,I278&lt;=44),"S.F. BREJÃO","")&amp;IF(AND(I278&gt;=44.001,I278&lt;=78),"JOÃO LISBOA","")&amp;IF(AND(I278&gt;=78.001,I278&lt;=96.397),"IMPERATRIZ","")&amp;IF(AND(I278&gt;=96.398,I278&lt;=122.82),"EDSON LOBÃO","")&amp;IF(AND(I278&gt;=122.821,I278&lt;=152.303),"RIBAMAR FIQUENE","")&amp;IF(AND(I278&gt;=152.304,I278&lt;=172.403),"CAMPESTRE","")&amp;IF(AND(I278&gt;=172.404,I278&lt;=195),"PORTO FRANCO","")&amp;IF(AND(I278&gt;=300,I278&lt;=300),"SAO LUIS","")&amp;IF(AND(I278&gt;=385.4,I278&lt;=465.4),"Palmeirante","")&amp;IF(AND(I278&gt;=465.401,I278&lt;=520.455),"Tupiratins","")&amp;IF(AND(I278&gt;=520.456,I278&lt;=536.741),"Guaraí","")&amp;IF(AND(I278&gt;=536.742,I278&lt;=580.293),"Tupirama","")&amp;IF(AND(I278&gt;=580.294,I278&lt;=608.637),"Rio dos Bois","")&amp;IF(AND(I278&gt;=608.638,I278&lt;=698.981),"Miracema","")&amp;IF(AND(I278&gt;=698.982,I278&lt;=735.6),"Porto Nacional","")&amp;IF(AND(I278&gt;=195.1,I278&lt;=213.603),"ESTREITO","")&amp;IF(AND(I278&gt;=213.604,I278&lt;=218.976),"AGUIARNÓPOLIS","")&amp;IF(AND(I278&gt;=218.977,I278&lt;=253.5),"PALMEIRAS DO TOCANTINS","")&amp;IF(AND(I278&gt;=253.501,I278&lt;=274.15),"DARCINÓPOLIS","")&amp;IF(AND(I278&gt;=274.151,I278&lt;=299.999),"BABAÇULÂNDIA","")&amp;IF(AND(I278&gt;=356.62,I278&lt;=385.4),"ARAGUAÍNA","")&amp;IF(AND(I278&gt;=300.001,I278&lt;=356.619),"BABAÇULÂNDIA","")&amp;IF(AND(I278&gt;=900,I278&lt;=902),"ENG. VLI","")</f>
        <v>RIBAMAR FIQUENE</v>
      </c>
      <c r="K278" s="16">
        <v>400</v>
      </c>
      <c r="L278" s="167" t="str">
        <f>IF(K278&lt;&gt;"",VLOOKUP(K278,'Catálogo SAP'!A:F,3,FALSE),"")</f>
        <v>S.VP-01461</v>
      </c>
      <c r="M278" s="162" t="str">
        <f>IF(K278&lt;&gt;"",VLOOKUP(K278,'Catálogo SAP'!A:F,4,FALSE),"")</f>
        <v>Km Rodado Carreta Prancha - C/ Motorista</v>
      </c>
      <c r="N278" s="168" t="str">
        <f>IF(K278&lt;&gt;"",VLOOKUP(K278,'Catálogo SAP'!A:F,5,FALSE),"")</f>
        <v>KM</v>
      </c>
      <c r="O278" s="160">
        <v>125</v>
      </c>
      <c r="P278" s="70">
        <f t="shared" si="134"/>
        <v>125</v>
      </c>
      <c r="Q278" s="163" t="e">
        <f t="shared" si="125"/>
        <v>#VALUE!</v>
      </c>
      <c r="R278" s="44" t="str">
        <f>IF(J278&lt;&gt;"",VLOOKUP(J278,'RESUMO DR'!$B$4:$E$253,4,FALSE),"-")</f>
        <v>T-01</v>
      </c>
      <c r="S278" s="58" t="str">
        <f>IF(J278&lt;&gt;"",VLOOKUP(J278,'RESUMO DR'!$B$4:$E$253,3,FALSE),"-")</f>
        <v>IMPERATRIZ</v>
      </c>
      <c r="T278" s="129"/>
      <c r="U278" s="129"/>
      <c r="V278" s="129"/>
      <c r="W278" s="128"/>
      <c r="X278" s="127"/>
      <c r="Y278" s="127"/>
      <c r="Z278" s="4"/>
    </row>
    <row r="279" spans="1:26" ht="18" customHeight="1">
      <c r="A279" s="5"/>
      <c r="B279" s="21">
        <v>45652</v>
      </c>
      <c r="C279" s="21" t="s">
        <v>124</v>
      </c>
      <c r="D279" s="74" t="str">
        <f t="shared" si="142"/>
        <v>qui</v>
      </c>
      <c r="E279" s="169" t="str">
        <f>IF(K279&lt;&gt;"",VLOOKUP(K279,'Catálogo SAP'!$A$1:$F$245,2,FALSE),"-")</f>
        <v>-</v>
      </c>
      <c r="F279" s="225"/>
      <c r="G279" s="225"/>
      <c r="H279" s="226"/>
      <c r="I279" s="230"/>
      <c r="J279" s="162" t="str">
        <f t="shared" si="32"/>
        <v/>
      </c>
      <c r="K279" s="16"/>
      <c r="L279" s="167" t="str">
        <f>IF(K279&lt;&gt;"",VLOOKUP(K279,'Catálogo SAP'!A:F,3,FALSE),"")</f>
        <v/>
      </c>
      <c r="M279" s="162" t="str">
        <f>IF(K279&lt;&gt;"",VLOOKUP(K279,'Catálogo SAP'!A:F,4,FALSE),"")</f>
        <v/>
      </c>
      <c r="N279" s="168" t="str">
        <f>IF(K279&lt;&gt;"",VLOOKUP(K279,'Catálogo SAP'!A:F,5,FALSE),"")</f>
        <v/>
      </c>
      <c r="O279" s="160"/>
      <c r="P279" s="70" t="str">
        <f t="shared" si="134"/>
        <v>-</v>
      </c>
      <c r="Q279" s="163" t="str">
        <f t="shared" si="125"/>
        <v>-</v>
      </c>
      <c r="R279" s="44" t="str">
        <f>IF(J279&lt;&gt;"",VLOOKUP(J279,'RESUMO DR'!$B$4:$E$253,4,FALSE),"-")</f>
        <v>-</v>
      </c>
      <c r="S279" s="58" t="str">
        <f>IF(J279&lt;&gt;"",VLOOKUP(J279,'RESUMO DR'!$B$4:$E$253,3,FALSE),"-")</f>
        <v>-</v>
      </c>
      <c r="T279" s="129"/>
      <c r="U279" s="129"/>
      <c r="V279" s="129"/>
      <c r="W279" s="128"/>
      <c r="X279" s="127"/>
      <c r="Y279" s="127"/>
      <c r="Z279" s="4"/>
    </row>
    <row r="280" spans="1:26" ht="18" customHeight="1">
      <c r="A280" s="5">
        <v>1978</v>
      </c>
      <c r="B280" s="21">
        <v>45652</v>
      </c>
      <c r="C280" s="21" t="s">
        <v>312</v>
      </c>
      <c r="D280" s="74" t="str">
        <f t="shared" si="142"/>
        <v>qui</v>
      </c>
      <c r="E280" s="169">
        <f>IF(K280&lt;&gt;"",VLOOKUP(K280,'Catálogo SAP'!$A$1:$F$245,2,FALSE),"-")</f>
        <v>200</v>
      </c>
      <c r="F280" s="225">
        <v>71745</v>
      </c>
      <c r="G280" s="225">
        <v>72030</v>
      </c>
      <c r="H280" s="226"/>
      <c r="I280" s="230">
        <v>360</v>
      </c>
      <c r="J280" s="162" t="str">
        <f t="shared" ref="J280" si="146">IF(AND(I280&gt;=0.001,I280&lt;=16),"AÇAILÂNDIA","")&amp;IF(AND(I280&gt;=16.001,I280&lt;=44),"S.F. BREJÃO","")&amp;IF(AND(I280&gt;=44.001,I280&lt;=78),"JOÃO LISBOA","")&amp;IF(AND(I280&gt;=78.001,I280&lt;=96.397),"IMPERATRIZ","")&amp;IF(AND(I280&gt;=96.398,I280&lt;=122.82),"EDSON LOBÃO","")&amp;IF(AND(I280&gt;=122.821,I280&lt;=152.303),"RIBAMAR FIQUENE","")&amp;IF(AND(I280&gt;=152.304,I280&lt;=172.403),"CAMPESTRE","")&amp;IF(AND(I280&gt;=172.404,I280&lt;=195),"PORTO FRANCO","")&amp;IF(AND(I280&gt;=300,I280&lt;=300),"SAO LUIS","")&amp;IF(AND(I280&gt;=385.4,I280&lt;=465.4),"Palmeirante","")&amp;IF(AND(I280&gt;=465.401,I280&lt;=520.455),"Tupiratins","")&amp;IF(AND(I280&gt;=520.456,I280&lt;=536.741),"Guaraí","")&amp;IF(AND(I280&gt;=536.742,I280&lt;=580.293),"Tupirama","")&amp;IF(AND(I280&gt;=580.294,I280&lt;=608.637),"Rio dos Bois","")&amp;IF(AND(I280&gt;=608.638,I280&lt;=698.981),"Miracema","")&amp;IF(AND(I280&gt;=698.982,I280&lt;=735.6),"Porto Nacional","")&amp;IF(AND(I280&gt;=195.1,I280&lt;=213.603),"ESTREITO","")&amp;IF(AND(I280&gt;=213.604,I280&lt;=218.976),"AGUIARNÓPOLIS","")&amp;IF(AND(I280&gt;=218.977,I280&lt;=253.5),"PALMEIRAS DO TOCANTINS","")&amp;IF(AND(I280&gt;=253.501,I280&lt;=274.15),"DARCINÓPOLIS","")&amp;IF(AND(I280&gt;=274.151,I280&lt;=299.999),"BABAÇULÂNDIA","")&amp;IF(AND(I280&gt;=356.62,I280&lt;=385.4),"ARAGUAÍNA","")&amp;IF(AND(I280&gt;=300.001,I280&lt;=356.619),"BABAÇULÂNDIA","")&amp;IF(AND(I280&gt;=900,I280&lt;=902),"ENG. VLI","")</f>
        <v>ARAGUAÍNA</v>
      </c>
      <c r="K280" s="16">
        <v>200</v>
      </c>
      <c r="L280" s="167" t="str">
        <f>IF(K280&lt;&gt;"",VLOOKUP(K280,'Catálogo SAP'!A:F,3,FALSE),"")</f>
        <v>S.VP-01445</v>
      </c>
      <c r="M280" s="162" t="str">
        <f>IF(K280&lt;&gt;"",VLOOKUP(K280,'Catálogo SAP'!A:F,4,FALSE),"")</f>
        <v>Km Rodado Caminhão Basculante - C/Motorista</v>
      </c>
      <c r="N280" s="168" t="str">
        <f>IF(K280&lt;&gt;"",VLOOKUP(K280,'Catálogo SAP'!A:F,5,FALSE),"")</f>
        <v>KM</v>
      </c>
      <c r="O280" s="160">
        <v>285</v>
      </c>
      <c r="P280" s="70">
        <f t="shared" si="134"/>
        <v>285</v>
      </c>
      <c r="Q280" s="163" t="e">
        <f t="shared" si="125"/>
        <v>#VALUE!</v>
      </c>
      <c r="R280" s="44" t="str">
        <f>IF(J280&lt;&gt;"",VLOOKUP(J280,'RESUMO DR'!$B$4:$E$253,4,FALSE),"-")</f>
        <v>T-02</v>
      </c>
      <c r="S280" s="58" t="str">
        <f>IF(J280&lt;&gt;"",VLOOKUP(J280,'RESUMO DR'!$B$4:$E$253,3,FALSE),"-")</f>
        <v>ARAGUAINA</v>
      </c>
      <c r="T280" s="129"/>
      <c r="U280" s="129"/>
      <c r="V280" s="129"/>
      <c r="W280" s="128"/>
      <c r="X280" s="127"/>
      <c r="Y280" s="127"/>
      <c r="Z280" s="4"/>
    </row>
    <row r="281" spans="1:26" ht="18" customHeight="1">
      <c r="A281" s="5">
        <v>1982</v>
      </c>
      <c r="B281" s="21">
        <v>45652</v>
      </c>
      <c r="C281" s="21" t="s">
        <v>313</v>
      </c>
      <c r="D281" s="74" t="str">
        <f t="shared" si="142"/>
        <v>qui</v>
      </c>
      <c r="E281" s="169">
        <f>IF(K281&lt;&gt;"",VLOOKUP(K281,'Catálogo SAP'!$A$1:$F$245,2,FALSE),"-")</f>
        <v>210</v>
      </c>
      <c r="F281" s="225">
        <v>61630</v>
      </c>
      <c r="G281" s="225">
        <v>61630</v>
      </c>
      <c r="H281" s="226"/>
      <c r="I281" s="230">
        <v>91</v>
      </c>
      <c r="J281" s="162" t="str">
        <f t="shared" si="32"/>
        <v>IMPERATRIZ</v>
      </c>
      <c r="K281" s="16">
        <v>210</v>
      </c>
      <c r="L281" s="167" t="str">
        <f>IF(K281&lt;&gt;"",VLOOKUP(K281,'Catálogo SAP'!A:F,3,FALSE),"")</f>
        <v>S.VP-01446</v>
      </c>
      <c r="M281" s="162" t="str">
        <f>IF(K281&lt;&gt;"",VLOOKUP(K281,'Catálogo SAP'!A:F,4,FALSE),"")</f>
        <v>Hora Improdutiva Basculante - C/Motorista</v>
      </c>
      <c r="N281" s="168" t="str">
        <f>IF(K281&lt;&gt;"",VLOOKUP(K281,'Catálogo SAP'!A:F,5,FALSE),"")</f>
        <v>H</v>
      </c>
      <c r="O281" s="160">
        <v>9</v>
      </c>
      <c r="P281" s="70">
        <f t="shared" si="134"/>
        <v>0</v>
      </c>
      <c r="Q281" s="163" t="e">
        <f t="shared" si="125"/>
        <v>#VALUE!</v>
      </c>
      <c r="R281" s="44" t="str">
        <f>IF(J281&lt;&gt;"",VLOOKUP(J281,'RESUMO DR'!$B$4:$E$253,4,FALSE),"-")</f>
        <v>T-01</v>
      </c>
      <c r="S281" s="58" t="str">
        <f>IF(J281&lt;&gt;"",VLOOKUP(J281,'RESUMO DR'!$B$4:$E$253,3,FALSE),"-")</f>
        <v>IMPERATRIZ</v>
      </c>
      <c r="T281" s="129"/>
      <c r="U281" s="129"/>
      <c r="V281" s="129"/>
      <c r="W281" s="128"/>
      <c r="X281" s="127"/>
      <c r="Y281" s="127"/>
      <c r="Z281" s="4"/>
    </row>
    <row r="282" spans="1:26" ht="18" customHeight="1">
      <c r="A282" s="5">
        <v>1977</v>
      </c>
      <c r="B282" s="21">
        <v>45652</v>
      </c>
      <c r="C282" s="21" t="s">
        <v>127</v>
      </c>
      <c r="D282" s="74" t="str">
        <f t="shared" si="142"/>
        <v>qui</v>
      </c>
      <c r="E282" s="169">
        <f>IF(K282&lt;&gt;"",VLOOKUP(K282,'Catálogo SAP'!$A$1:$F$245,2,FALSE),"-")</f>
        <v>200</v>
      </c>
      <c r="F282" s="225">
        <v>49350</v>
      </c>
      <c r="G282" s="225">
        <v>49370</v>
      </c>
      <c r="H282" s="226"/>
      <c r="I282" s="230">
        <v>442</v>
      </c>
      <c r="J282" s="162" t="str">
        <f t="shared" ref="J282:J288" si="147">IF(AND(I282&gt;=0.001,I282&lt;=16),"AÇAILÂNDIA","")&amp;IF(AND(I282&gt;=16.001,I282&lt;=44),"S.F. BREJÃO","")&amp;IF(AND(I282&gt;=44.001,I282&lt;=78),"JOÃO LISBOA","")&amp;IF(AND(I282&gt;=78.001,I282&lt;=96.397),"IMPERATRIZ","")&amp;IF(AND(I282&gt;=96.398,I282&lt;=122.82),"EDSON LOBÃO","")&amp;IF(AND(I282&gt;=122.821,I282&lt;=152.303),"RIBAMAR FIQUENE","")&amp;IF(AND(I282&gt;=152.304,I282&lt;=172.403),"CAMPESTRE","")&amp;IF(AND(I282&gt;=172.404,I282&lt;=195),"PORTO FRANCO","")&amp;IF(AND(I282&gt;=300,I282&lt;=300),"SAO LUIS","")&amp;IF(AND(I282&gt;=385.4,I282&lt;=465.4),"Palmeirante","")&amp;IF(AND(I282&gt;=465.401,I282&lt;=520.455),"Tupiratins","")&amp;IF(AND(I282&gt;=520.456,I282&lt;=536.741),"Guaraí","")&amp;IF(AND(I282&gt;=536.742,I282&lt;=580.293),"Tupirama","")&amp;IF(AND(I282&gt;=580.294,I282&lt;=608.637),"Rio dos Bois","")&amp;IF(AND(I282&gt;=608.638,I282&lt;=698.981),"Miracema","")&amp;IF(AND(I282&gt;=698.982,I282&lt;=735.6),"Porto Nacional","")&amp;IF(AND(I282&gt;=195.1,I282&lt;=213.603),"ESTREITO","")&amp;IF(AND(I282&gt;=213.604,I282&lt;=218.976),"AGUIARNÓPOLIS","")&amp;IF(AND(I282&gt;=218.977,I282&lt;=253.5),"PALMEIRAS DO TOCANTINS","")&amp;IF(AND(I282&gt;=253.501,I282&lt;=274.15),"DARCINÓPOLIS","")&amp;IF(AND(I282&gt;=274.151,I282&lt;=299.999),"BABAÇULÂNDIA","")&amp;IF(AND(I282&gt;=356.62,I282&lt;=385.4),"ARAGUAÍNA","")&amp;IF(AND(I282&gt;=300.001,I282&lt;=356.619),"BABAÇULÂNDIA","")&amp;IF(AND(I282&gt;=900,I282&lt;=902),"ENG. VLI","")</f>
        <v>Palmeirante</v>
      </c>
      <c r="K282" s="16">
        <v>200</v>
      </c>
      <c r="L282" s="167" t="str">
        <f>IF(K282&lt;&gt;"",VLOOKUP(K282,'Catálogo SAP'!A:F,3,FALSE),"")</f>
        <v>S.VP-01445</v>
      </c>
      <c r="M282" s="162" t="str">
        <f>IF(K282&lt;&gt;"",VLOOKUP(K282,'Catálogo SAP'!A:F,4,FALSE),"")</f>
        <v>Km Rodado Caminhão Basculante - C/Motorista</v>
      </c>
      <c r="N282" s="168" t="str">
        <f>IF(K282&lt;&gt;"",VLOOKUP(K282,'Catálogo SAP'!A:F,5,FALSE),"")</f>
        <v>KM</v>
      </c>
      <c r="O282" s="160">
        <v>20</v>
      </c>
      <c r="P282" s="70">
        <f t="shared" si="134"/>
        <v>20</v>
      </c>
      <c r="Q282" s="163" t="e">
        <f t="shared" si="125"/>
        <v>#VALUE!</v>
      </c>
      <c r="R282" s="44" t="str">
        <f>IF(J282&lt;&gt;"",VLOOKUP(J282,'RESUMO DR'!$B$4:$E$253,4,FALSE),"-")</f>
        <v>T-02</v>
      </c>
      <c r="S282" s="58" t="str">
        <f>IF(J282&lt;&gt;"",VLOOKUP(J282,'RESUMO DR'!$B$4:$E$253,3,FALSE),"-")</f>
        <v>ARAGUAINA</v>
      </c>
      <c r="T282" s="129"/>
      <c r="U282" s="129"/>
      <c r="V282" s="129"/>
      <c r="W282" s="128"/>
      <c r="X282" s="127"/>
      <c r="Y282" s="127"/>
      <c r="Z282" s="4"/>
    </row>
    <row r="283" spans="1:26" ht="18" customHeight="1">
      <c r="A283" s="5">
        <v>1982</v>
      </c>
      <c r="B283" s="21">
        <v>45652</v>
      </c>
      <c r="C283" s="21" t="s">
        <v>314</v>
      </c>
      <c r="D283" s="74" t="str">
        <f t="shared" si="142"/>
        <v>qui</v>
      </c>
      <c r="E283" s="169">
        <f>IF(K283&lt;&gt;"",VLOOKUP(K283,'Catálogo SAP'!$A$1:$F$245,2,FALSE),"-")</f>
        <v>210</v>
      </c>
      <c r="F283" s="225">
        <v>65325</v>
      </c>
      <c r="G283" s="225">
        <v>65325</v>
      </c>
      <c r="H283" s="226"/>
      <c r="I283" s="230">
        <v>91</v>
      </c>
      <c r="J283" s="162" t="str">
        <f t="shared" si="147"/>
        <v>IMPERATRIZ</v>
      </c>
      <c r="K283" s="16">
        <v>210</v>
      </c>
      <c r="L283" s="167" t="str">
        <f>IF(K283&lt;&gt;"",VLOOKUP(K283,'Catálogo SAP'!A:F,3,FALSE),"")</f>
        <v>S.VP-01446</v>
      </c>
      <c r="M283" s="162" t="str">
        <f>IF(K283&lt;&gt;"",VLOOKUP(K283,'Catálogo SAP'!A:F,4,FALSE),"")</f>
        <v>Hora Improdutiva Basculante - C/Motorista</v>
      </c>
      <c r="N283" s="168" t="str">
        <f>IF(K283&lt;&gt;"",VLOOKUP(K283,'Catálogo SAP'!A:F,5,FALSE),"")</f>
        <v>H</v>
      </c>
      <c r="O283" s="160">
        <v>9</v>
      </c>
      <c r="P283" s="70">
        <f t="shared" si="134"/>
        <v>0</v>
      </c>
      <c r="Q283" s="163" t="e">
        <f t="shared" si="125"/>
        <v>#VALUE!</v>
      </c>
      <c r="R283" s="44" t="str">
        <f>IF(J283&lt;&gt;"",VLOOKUP(J283,'RESUMO DR'!$B$4:$E$253,4,FALSE),"-")</f>
        <v>T-01</v>
      </c>
      <c r="S283" s="58" t="str">
        <f>IF(J283&lt;&gt;"",VLOOKUP(J283,'RESUMO DR'!$B$4:$E$253,3,FALSE),"-")</f>
        <v>IMPERATRIZ</v>
      </c>
      <c r="T283" s="129"/>
      <c r="U283" s="129"/>
      <c r="V283" s="129"/>
      <c r="W283" s="128"/>
      <c r="X283" s="127"/>
      <c r="Y283" s="127"/>
      <c r="Z283" s="4"/>
    </row>
    <row r="284" spans="1:26" ht="18" customHeight="1">
      <c r="A284" s="5">
        <v>1982</v>
      </c>
      <c r="B284" s="21">
        <v>45652</v>
      </c>
      <c r="C284" s="21" t="s">
        <v>307</v>
      </c>
      <c r="D284" s="74" t="str">
        <f t="shared" si="142"/>
        <v>qui</v>
      </c>
      <c r="E284" s="169">
        <f>IF(K284&lt;&gt;"",VLOOKUP(K284,'Catálogo SAP'!$A$1:$F$245,2,FALSE),"-")</f>
        <v>210</v>
      </c>
      <c r="F284" s="225">
        <v>65677</v>
      </c>
      <c r="G284" s="225">
        <v>65677</v>
      </c>
      <c r="H284" s="226"/>
      <c r="I284" s="230">
        <v>91</v>
      </c>
      <c r="J284" s="162" t="str">
        <f t="shared" si="147"/>
        <v>IMPERATRIZ</v>
      </c>
      <c r="K284" s="16">
        <v>210</v>
      </c>
      <c r="L284" s="167" t="str">
        <f>IF(K284&lt;&gt;"",VLOOKUP(K284,'Catálogo SAP'!A:F,3,FALSE),"")</f>
        <v>S.VP-01446</v>
      </c>
      <c r="M284" s="162" t="str">
        <f>IF(K284&lt;&gt;"",VLOOKUP(K284,'Catálogo SAP'!A:F,4,FALSE),"")</f>
        <v>Hora Improdutiva Basculante - C/Motorista</v>
      </c>
      <c r="N284" s="168" t="str">
        <f>IF(K284&lt;&gt;"",VLOOKUP(K284,'Catálogo SAP'!A:F,5,FALSE),"")</f>
        <v>H</v>
      </c>
      <c r="O284" s="160">
        <v>9</v>
      </c>
      <c r="P284" s="70">
        <f t="shared" si="134"/>
        <v>0</v>
      </c>
      <c r="Q284" s="163" t="e">
        <f t="shared" si="125"/>
        <v>#VALUE!</v>
      </c>
      <c r="R284" s="44" t="str">
        <f>IF(J284&lt;&gt;"",VLOOKUP(J284,'RESUMO DR'!$B$4:$E$253,4,FALSE),"-")</f>
        <v>T-01</v>
      </c>
      <c r="S284" s="58" t="str">
        <f>IF(J284&lt;&gt;"",VLOOKUP(J284,'RESUMO DR'!$B$4:$E$253,3,FALSE),"-")</f>
        <v>IMPERATRIZ</v>
      </c>
      <c r="T284" s="129"/>
      <c r="U284" s="129"/>
      <c r="V284" s="129"/>
      <c r="W284" s="128"/>
      <c r="X284" s="127"/>
      <c r="Y284" s="127"/>
      <c r="Z284" s="4"/>
    </row>
    <row r="285" spans="1:26" ht="18" customHeight="1">
      <c r="A285" s="5"/>
      <c r="B285" s="21">
        <v>45652</v>
      </c>
      <c r="C285" s="21" t="s">
        <v>129</v>
      </c>
      <c r="D285" s="74" t="str">
        <f t="shared" si="142"/>
        <v>qui</v>
      </c>
      <c r="E285" s="169" t="str">
        <f>IF(K285&lt;&gt;"",VLOOKUP(K285,'Catálogo SAP'!$A$1:$F$245,2,FALSE),"-")</f>
        <v>-</v>
      </c>
      <c r="F285" s="225"/>
      <c r="G285" s="225"/>
      <c r="H285" s="226"/>
      <c r="I285" s="230"/>
      <c r="J285" s="162" t="str">
        <f t="shared" si="147"/>
        <v/>
      </c>
      <c r="K285" s="16"/>
      <c r="L285" s="167" t="str">
        <f>IF(K285&lt;&gt;"",VLOOKUP(K285,'Catálogo SAP'!A:F,3,FALSE),"")</f>
        <v/>
      </c>
      <c r="M285" s="162" t="str">
        <f>IF(K285&lt;&gt;"",VLOOKUP(K285,'Catálogo SAP'!A:F,4,FALSE),"")</f>
        <v/>
      </c>
      <c r="N285" s="168" t="str">
        <f>IF(K285&lt;&gt;"",VLOOKUP(K285,'Catálogo SAP'!A:F,5,FALSE),"")</f>
        <v/>
      </c>
      <c r="O285" s="160"/>
      <c r="P285" s="70" t="str">
        <f t="shared" si="134"/>
        <v>-</v>
      </c>
      <c r="Q285" s="163" t="str">
        <f t="shared" si="125"/>
        <v>-</v>
      </c>
      <c r="R285" s="44" t="str">
        <f>IF(J285&lt;&gt;"",VLOOKUP(J285,'RESUMO DR'!$B$4:$E$253,4,FALSE),"-")</f>
        <v>-</v>
      </c>
      <c r="S285" s="58" t="str">
        <f>IF(J285&lt;&gt;"",VLOOKUP(J285,'RESUMO DR'!$B$4:$E$253,3,FALSE),"-")</f>
        <v>-</v>
      </c>
      <c r="T285" s="129"/>
      <c r="U285" s="129"/>
      <c r="V285" s="129"/>
      <c r="W285" s="128"/>
      <c r="X285" s="127"/>
      <c r="Y285" s="127"/>
      <c r="Z285" s="4"/>
    </row>
    <row r="286" spans="1:26" ht="18" customHeight="1">
      <c r="A286" s="5">
        <v>1973</v>
      </c>
      <c r="B286" s="21">
        <v>45652</v>
      </c>
      <c r="C286" s="21" t="s">
        <v>298</v>
      </c>
      <c r="D286" s="74" t="str">
        <f t="shared" ref="D286:D287" si="148">IF(B286="","-",TEXT(B286,"ddd"))</f>
        <v>qui</v>
      </c>
      <c r="E286" s="169">
        <f>IF(K286&lt;&gt;"",VLOOKUP(K286,'Catálogo SAP'!$A$1:$F$245,2,FALSE),"-")</f>
        <v>170</v>
      </c>
      <c r="F286" s="225">
        <v>548</v>
      </c>
      <c r="G286" s="225">
        <v>548</v>
      </c>
      <c r="H286" s="226"/>
      <c r="I286" s="230">
        <v>147</v>
      </c>
      <c r="J286" s="162" t="str">
        <f t="shared" si="147"/>
        <v>RIBAMAR FIQUENE</v>
      </c>
      <c r="K286" s="16">
        <v>170</v>
      </c>
      <c r="L286" s="167" t="str">
        <f>IF(K286&lt;&gt;"",VLOOKUP(K286,'Catálogo SAP'!A:F,3,FALSE),"")</f>
        <v>S.VP-01442</v>
      </c>
      <c r="M286" s="162" t="str">
        <f>IF(K286&lt;&gt;"",VLOOKUP(K286,'Catálogo SAP'!A:F,4,FALSE),"")</f>
        <v>Hora Improdutiva Pa Carregadeira C/Operador</v>
      </c>
      <c r="N286" s="168" t="str">
        <f>IF(K286&lt;&gt;"",VLOOKUP(K286,'Catálogo SAP'!A:F,5,FALSE),"")</f>
        <v>H</v>
      </c>
      <c r="O286" s="160">
        <v>9</v>
      </c>
      <c r="P286" s="70">
        <f t="shared" si="134"/>
        <v>0</v>
      </c>
      <c r="Q286" s="163" t="e">
        <f t="shared" si="125"/>
        <v>#VALUE!</v>
      </c>
      <c r="R286" s="44" t="str">
        <f>IF(J286&lt;&gt;"",VLOOKUP(J286,'RESUMO DR'!$B$4:$E$253,4,FALSE),"-")</f>
        <v>T-01</v>
      </c>
      <c r="S286" s="58" t="str">
        <f>IF(J286&lt;&gt;"",VLOOKUP(J286,'RESUMO DR'!$B$4:$E$253,3,FALSE),"-")</f>
        <v>IMPERATRIZ</v>
      </c>
      <c r="T286" s="129"/>
      <c r="U286" s="129"/>
      <c r="V286" s="129"/>
      <c r="W286" s="128"/>
      <c r="X286" s="127"/>
      <c r="Y286" s="127"/>
      <c r="Z286" s="4"/>
    </row>
    <row r="287" spans="1:26" ht="18" customHeight="1">
      <c r="A287" s="5"/>
      <c r="B287" s="21">
        <v>45652</v>
      </c>
      <c r="C287" s="21" t="s">
        <v>298</v>
      </c>
      <c r="D287" s="74" t="str">
        <f t="shared" si="148"/>
        <v>qui</v>
      </c>
      <c r="E287" s="169" t="str">
        <f>IF(K287&lt;&gt;"",VLOOKUP(K287,'Catálogo SAP'!$A$1:$F$245,2,FALSE),"-")</f>
        <v>-</v>
      </c>
      <c r="F287" s="225"/>
      <c r="G287" s="225"/>
      <c r="H287" s="226"/>
      <c r="I287" s="230"/>
      <c r="J287" s="162" t="str">
        <f t="shared" si="147"/>
        <v/>
      </c>
      <c r="K287" s="16"/>
      <c r="L287" s="167" t="str">
        <f>IF(K287&lt;&gt;"",VLOOKUP(K287,'Catálogo SAP'!A:F,3,FALSE),"")</f>
        <v/>
      </c>
      <c r="M287" s="162" t="str">
        <f>IF(K287&lt;&gt;"",VLOOKUP(K287,'Catálogo SAP'!A:F,4,FALSE),"")</f>
        <v/>
      </c>
      <c r="N287" s="168" t="str">
        <f>IF(K287&lt;&gt;"",VLOOKUP(K287,'Catálogo SAP'!A:F,5,FALSE),"")</f>
        <v/>
      </c>
      <c r="O287" s="160"/>
      <c r="P287" s="70" t="str">
        <f t="shared" si="134"/>
        <v>-</v>
      </c>
      <c r="Q287" s="163" t="str">
        <f t="shared" si="125"/>
        <v>-</v>
      </c>
      <c r="R287" s="44" t="str">
        <f>IF(J287&lt;&gt;"",VLOOKUP(J287,'RESUMO DR'!$B$4:$E$253,4,FALSE),"-")</f>
        <v>-</v>
      </c>
      <c r="S287" s="58" t="str">
        <f>IF(J287&lt;&gt;"",VLOOKUP(J287,'RESUMO DR'!$B$4:$E$253,3,FALSE),"-")</f>
        <v>-</v>
      </c>
      <c r="T287" s="129"/>
      <c r="U287" s="129"/>
      <c r="V287" s="129"/>
      <c r="W287" s="128"/>
      <c r="X287" s="127"/>
      <c r="Y287" s="127"/>
      <c r="Z287" s="4"/>
    </row>
    <row r="288" spans="1:26" ht="18" customHeight="1">
      <c r="A288" s="5">
        <v>1974</v>
      </c>
      <c r="B288" s="21">
        <v>45652</v>
      </c>
      <c r="C288" s="21" t="s">
        <v>131</v>
      </c>
      <c r="D288" s="74" t="str">
        <f t="shared" si="142"/>
        <v>qui</v>
      </c>
      <c r="E288" s="169">
        <f>IF(K288&lt;&gt;"",VLOOKUP(K288,'Catálogo SAP'!$A$1:$F$245,2,FALSE),"-")</f>
        <v>520</v>
      </c>
      <c r="F288" s="225">
        <v>10572</v>
      </c>
      <c r="G288" s="225">
        <v>10577</v>
      </c>
      <c r="H288" s="226"/>
      <c r="I288" s="230">
        <v>195</v>
      </c>
      <c r="J288" s="162" t="str">
        <f t="shared" si="147"/>
        <v>PORTO FRANCO</v>
      </c>
      <c r="K288" s="16">
        <v>520</v>
      </c>
      <c r="L288" s="167" t="str">
        <f>IF(K288&lt;&gt;"",VLOOKUP(K288,'Catálogo SAP'!A:F,3,FALSE),"")</f>
        <v>S.VP-01469</v>
      </c>
      <c r="M288" s="162" t="str">
        <f>IF(K288&lt;&gt;"",VLOOKUP(K288,'Catálogo SAP'!A:F,4,FALSE),"")</f>
        <v>Hora Produtiva Escavadeira Hidraulica</v>
      </c>
      <c r="N288" s="168" t="str">
        <f>IF(K288&lt;&gt;"",VLOOKUP(K288,'Catálogo SAP'!A:F,5,FALSE),"")</f>
        <v>H</v>
      </c>
      <c r="O288" s="160">
        <v>5</v>
      </c>
      <c r="P288" s="70">
        <f t="shared" si="134"/>
        <v>5</v>
      </c>
      <c r="Q288" s="163" t="e">
        <f t="shared" si="125"/>
        <v>#VALUE!</v>
      </c>
      <c r="R288" s="44" t="str">
        <f>IF(J288&lt;&gt;"",VLOOKUP(J288,'RESUMO DR'!$B$4:$E$253,4,FALSE),"-")</f>
        <v>T-01</v>
      </c>
      <c r="S288" s="58" t="str">
        <f>IF(J288&lt;&gt;"",VLOOKUP(J288,'RESUMO DR'!$B$4:$E$253,3,FALSE),"-")</f>
        <v>IMPERATRIZ</v>
      </c>
      <c r="T288" s="129"/>
      <c r="U288" s="129"/>
      <c r="V288" s="129"/>
      <c r="W288" s="128"/>
      <c r="X288" s="127"/>
      <c r="Y288" s="127"/>
      <c r="Z288" s="4"/>
    </row>
    <row r="289" spans="1:27" ht="18" customHeight="1">
      <c r="A289" s="5">
        <v>1974</v>
      </c>
      <c r="B289" s="21">
        <v>45652</v>
      </c>
      <c r="C289" s="21" t="s">
        <v>131</v>
      </c>
      <c r="D289" s="74" t="str">
        <f t="shared" si="142"/>
        <v>qui</v>
      </c>
      <c r="E289" s="169">
        <f>IF(K289&lt;&gt;"",VLOOKUP(K289,'Catálogo SAP'!$A$1:$F$245,2,FALSE),"-")</f>
        <v>530</v>
      </c>
      <c r="F289" s="225">
        <v>10577</v>
      </c>
      <c r="G289" s="225">
        <v>10577</v>
      </c>
      <c r="H289" s="226"/>
      <c r="I289" s="230">
        <v>195</v>
      </c>
      <c r="J289" s="162" t="str">
        <f t="shared" ref="J289" si="149">IF(AND(I289&gt;=0.001,I289&lt;=16),"AÇAILÂNDIA","")&amp;IF(AND(I289&gt;=16.001,I289&lt;=44),"S.F. BREJÃO","")&amp;IF(AND(I289&gt;=44.001,I289&lt;=78),"JOÃO LISBOA","")&amp;IF(AND(I289&gt;=78.001,I289&lt;=96.397),"IMPERATRIZ","")&amp;IF(AND(I289&gt;=96.398,I289&lt;=122.82),"EDSON LOBÃO","")&amp;IF(AND(I289&gt;=122.821,I289&lt;=152.303),"RIBAMAR FIQUENE","")&amp;IF(AND(I289&gt;=152.304,I289&lt;=172.403),"CAMPESTRE","")&amp;IF(AND(I289&gt;=172.404,I289&lt;=195),"PORTO FRANCO","")&amp;IF(AND(I289&gt;=300,I289&lt;=300),"SAO LUIS","")&amp;IF(AND(I289&gt;=385.4,I289&lt;=465.4),"Palmeirante","")&amp;IF(AND(I289&gt;=465.401,I289&lt;=520.455),"Tupiratins","")&amp;IF(AND(I289&gt;=520.456,I289&lt;=536.741),"Guaraí","")&amp;IF(AND(I289&gt;=536.742,I289&lt;=580.293),"Tupirama","")&amp;IF(AND(I289&gt;=580.294,I289&lt;=608.637),"Rio dos Bois","")&amp;IF(AND(I289&gt;=608.638,I289&lt;=698.981),"Miracema","")&amp;IF(AND(I289&gt;=698.982,I289&lt;=735.6),"Porto Nacional","")&amp;IF(AND(I289&gt;=195.1,I289&lt;=213.603),"ESTREITO","")&amp;IF(AND(I289&gt;=213.604,I289&lt;=218.976),"AGUIARNÓPOLIS","")&amp;IF(AND(I289&gt;=218.977,I289&lt;=253.5),"PALMEIRAS DO TOCANTINS","")&amp;IF(AND(I289&gt;=253.501,I289&lt;=274.15),"DARCINÓPOLIS","")&amp;IF(AND(I289&gt;=274.151,I289&lt;=299.999),"BABAÇULÂNDIA","")&amp;IF(AND(I289&gt;=356.62,I289&lt;=385.4),"ARAGUAÍNA","")&amp;IF(AND(I289&gt;=300.001,I289&lt;=356.619),"BABAÇULÂNDIA","")&amp;IF(AND(I289&gt;=900,I289&lt;=902),"ENG. VLI","")</f>
        <v>PORTO FRANCO</v>
      </c>
      <c r="K289" s="16">
        <v>530</v>
      </c>
      <c r="L289" s="167" t="str">
        <f>IF(K289&lt;&gt;"",VLOOKUP(K289,'Catálogo SAP'!A:F,3,FALSE),"")</f>
        <v>S.VP-01470</v>
      </c>
      <c r="M289" s="162" t="str">
        <f>IF(K289&lt;&gt;"",VLOOKUP(K289,'Catálogo SAP'!A:F,4,FALSE),"")</f>
        <v>Hora Improdutiva Escavadeira Hidraulica</v>
      </c>
      <c r="N289" s="168" t="str">
        <f>IF(K289&lt;&gt;"",VLOOKUP(K289,'Catálogo SAP'!A:F,5,FALSE),"")</f>
        <v>H</v>
      </c>
      <c r="O289" s="160">
        <v>4</v>
      </c>
      <c r="P289" s="70">
        <f t="shared" si="134"/>
        <v>0</v>
      </c>
      <c r="Q289" s="163" t="e">
        <f t="shared" si="125"/>
        <v>#VALUE!</v>
      </c>
      <c r="R289" s="44" t="str">
        <f>IF(J289&lt;&gt;"",VLOOKUP(J289,'RESUMO DR'!$B$4:$E$253,4,FALSE),"-")</f>
        <v>T-01</v>
      </c>
      <c r="S289" s="58" t="str">
        <f>IF(J289&lt;&gt;"",VLOOKUP(J289,'RESUMO DR'!$B$4:$E$253,3,FALSE),"-")</f>
        <v>IMPERATRIZ</v>
      </c>
      <c r="T289" s="129"/>
      <c r="U289" s="129"/>
      <c r="V289" s="129"/>
      <c r="W289" s="128"/>
      <c r="X289" s="127"/>
      <c r="Y289" s="127"/>
      <c r="Z289" s="4"/>
    </row>
    <row r="290" spans="1:27" ht="18" customHeight="1">
      <c r="A290" s="5">
        <v>1977</v>
      </c>
      <c r="B290" s="21">
        <v>45652</v>
      </c>
      <c r="C290" s="21" t="s">
        <v>311</v>
      </c>
      <c r="D290" s="74" t="str">
        <f t="shared" si="142"/>
        <v>qui</v>
      </c>
      <c r="E290" s="169">
        <f>IF(K290&lt;&gt;"",VLOOKUP(K290,'Catálogo SAP'!$A$1:$F$245,2,FALSE),"-")</f>
        <v>120</v>
      </c>
      <c r="F290" s="225">
        <v>1146</v>
      </c>
      <c r="G290" s="225">
        <v>1150</v>
      </c>
      <c r="H290" s="226"/>
      <c r="I290" s="230">
        <v>442</v>
      </c>
      <c r="J290" s="162" t="str">
        <f t="shared" si="32"/>
        <v>Palmeirante</v>
      </c>
      <c r="K290" s="16">
        <v>120</v>
      </c>
      <c r="L290" s="167" t="str">
        <f>IF(K290&lt;&gt;"",VLOOKUP(K290,'Catálogo SAP'!A:F,3,FALSE),"")</f>
        <v>S.VP-01437</v>
      </c>
      <c r="M290" s="162" t="str">
        <f>IF(K290&lt;&gt;"",VLOOKUP(K290,'Catálogo SAP'!A:F,4,FALSE),"")</f>
        <v>Hr Produtiva Retroescavadeira C/Operador</v>
      </c>
      <c r="N290" s="168" t="str">
        <f>IF(K290&lt;&gt;"",VLOOKUP(K290,'Catálogo SAP'!A:F,5,FALSE),"")</f>
        <v>H</v>
      </c>
      <c r="O290" s="160">
        <v>4</v>
      </c>
      <c r="P290" s="70">
        <f t="shared" si="134"/>
        <v>4</v>
      </c>
      <c r="Q290" s="163" t="e">
        <f t="shared" si="125"/>
        <v>#VALUE!</v>
      </c>
      <c r="R290" s="44" t="str">
        <f>IF(J290&lt;&gt;"",VLOOKUP(J290,'RESUMO DR'!$B$4:$E$253,4,FALSE),"-")</f>
        <v>T-02</v>
      </c>
      <c r="S290" s="58" t="str">
        <f>IF(J290&lt;&gt;"",VLOOKUP(J290,'RESUMO DR'!$B$4:$E$253,3,FALSE),"-")</f>
        <v>ARAGUAINA</v>
      </c>
      <c r="T290" s="129"/>
      <c r="U290" s="129"/>
      <c r="V290" s="129"/>
      <c r="W290" s="128"/>
      <c r="X290" s="127"/>
      <c r="Y290" s="127"/>
      <c r="Z290" s="4"/>
    </row>
    <row r="291" spans="1:27" ht="18" customHeight="1">
      <c r="A291" s="5"/>
      <c r="B291" s="21">
        <v>45652</v>
      </c>
      <c r="C291" s="21" t="s">
        <v>311</v>
      </c>
      <c r="D291" s="74" t="str">
        <f t="shared" si="142"/>
        <v>qui</v>
      </c>
      <c r="E291" s="169" t="str">
        <f>IF(K291&lt;&gt;"",VLOOKUP(K291,'Catálogo SAP'!$A$1:$F$245,2,FALSE),"-")</f>
        <v>-</v>
      </c>
      <c r="F291" s="225"/>
      <c r="G291" s="225"/>
      <c r="H291" s="226"/>
      <c r="I291" s="230"/>
      <c r="J291" s="162" t="str">
        <f t="shared" ref="J291:J293" si="150">IF(AND(I291&gt;=0.001,I291&lt;=16),"AÇAILÂNDIA","")&amp;IF(AND(I291&gt;=16.001,I291&lt;=44),"S.F. BREJÃO","")&amp;IF(AND(I291&gt;=44.001,I291&lt;=78),"JOÃO LISBOA","")&amp;IF(AND(I291&gt;=78.001,I291&lt;=96.397),"IMPERATRIZ","")&amp;IF(AND(I291&gt;=96.398,I291&lt;=122.82),"EDSON LOBÃO","")&amp;IF(AND(I291&gt;=122.821,I291&lt;=152.303),"RIBAMAR FIQUENE","")&amp;IF(AND(I291&gt;=152.304,I291&lt;=172.403),"CAMPESTRE","")&amp;IF(AND(I291&gt;=172.404,I291&lt;=195),"PORTO FRANCO","")&amp;IF(AND(I291&gt;=300,I291&lt;=300),"SAO LUIS","")&amp;IF(AND(I291&gt;=385.4,I291&lt;=465.4),"Palmeirante","")&amp;IF(AND(I291&gt;=465.401,I291&lt;=520.455),"Tupiratins","")&amp;IF(AND(I291&gt;=520.456,I291&lt;=536.741),"Guaraí","")&amp;IF(AND(I291&gt;=536.742,I291&lt;=580.293),"Tupirama","")&amp;IF(AND(I291&gt;=580.294,I291&lt;=608.637),"Rio dos Bois","")&amp;IF(AND(I291&gt;=608.638,I291&lt;=698.981),"Miracema","")&amp;IF(AND(I291&gt;=698.982,I291&lt;=735.6),"Porto Nacional","")&amp;IF(AND(I291&gt;=195.1,I291&lt;=213.603),"ESTREITO","")&amp;IF(AND(I291&gt;=213.604,I291&lt;=218.976),"AGUIARNÓPOLIS","")&amp;IF(AND(I291&gt;=218.977,I291&lt;=253.5),"PALMEIRAS DO TOCANTINS","")&amp;IF(AND(I291&gt;=253.501,I291&lt;=274.15),"DARCINÓPOLIS","")&amp;IF(AND(I291&gt;=274.151,I291&lt;=299.999),"BABAÇULÂNDIA","")&amp;IF(AND(I291&gt;=356.62,I291&lt;=385.4),"ARAGUAÍNA","")&amp;IF(AND(I291&gt;=300.001,I291&lt;=356.619),"BABAÇULÂNDIA","")&amp;IF(AND(I291&gt;=900,I291&lt;=902),"ENG. VLI","")</f>
        <v/>
      </c>
      <c r="K291" s="16"/>
      <c r="L291" s="167" t="str">
        <f>IF(K291&lt;&gt;"",VLOOKUP(K291,'Catálogo SAP'!A:F,3,FALSE),"")</f>
        <v/>
      </c>
      <c r="M291" s="162" t="str">
        <f>IF(K291&lt;&gt;"",VLOOKUP(K291,'Catálogo SAP'!A:F,4,FALSE),"")</f>
        <v/>
      </c>
      <c r="N291" s="168" t="str">
        <f>IF(K291&lt;&gt;"",VLOOKUP(K291,'Catálogo SAP'!A:F,5,FALSE),"")</f>
        <v/>
      </c>
      <c r="O291" s="160"/>
      <c r="P291" s="70" t="str">
        <f t="shared" si="134"/>
        <v>-</v>
      </c>
      <c r="Q291" s="163" t="str">
        <f t="shared" si="125"/>
        <v>-</v>
      </c>
      <c r="R291" s="44" t="str">
        <f>IF(J291&lt;&gt;"",VLOOKUP(J291,'RESUMO DR'!$B$4:$E$253,4,FALSE),"-")</f>
        <v>-</v>
      </c>
      <c r="S291" s="58" t="str">
        <f>IF(J291&lt;&gt;"",VLOOKUP(J291,'RESUMO DR'!$B$4:$E$253,3,FALSE),"-")</f>
        <v>-</v>
      </c>
      <c r="T291" s="129"/>
      <c r="U291" s="129"/>
      <c r="V291" s="129"/>
      <c r="W291" s="128"/>
      <c r="X291" s="127"/>
      <c r="Y291" s="127"/>
      <c r="Z291" s="4"/>
    </row>
    <row r="292" spans="1:27" ht="18" customHeight="1">
      <c r="A292" s="5">
        <v>1977</v>
      </c>
      <c r="B292" s="21">
        <v>45652</v>
      </c>
      <c r="C292" s="21" t="s">
        <v>305</v>
      </c>
      <c r="D292" s="74" t="str">
        <f t="shared" si="142"/>
        <v>qui</v>
      </c>
      <c r="E292" s="169">
        <f>IF(K292&lt;&gt;"",VLOOKUP(K292,'Catálogo SAP'!$A$1:$F$245,2,FALSE),"-")</f>
        <v>280</v>
      </c>
      <c r="F292" s="225">
        <v>195</v>
      </c>
      <c r="G292" s="225">
        <v>199</v>
      </c>
      <c r="H292" s="226"/>
      <c r="I292" s="230">
        <v>442</v>
      </c>
      <c r="J292" s="162" t="str">
        <f t="shared" si="150"/>
        <v>Palmeirante</v>
      </c>
      <c r="K292" s="16">
        <v>280</v>
      </c>
      <c r="L292" s="167" t="str">
        <f>IF(K292&lt;&gt;"",VLOOKUP(K292,'Catálogo SAP'!A:F,3,FALSE),"")</f>
        <v>S.VP-01453</v>
      </c>
      <c r="M292" s="162" t="str">
        <f>IF(K292&lt;&gt;"",VLOOKUP(K292,'Catálogo SAP'!A:F,4,FALSE),"")</f>
        <v>Hora Produtiva Motoniveladora C/Operador</v>
      </c>
      <c r="N292" s="168" t="str">
        <f>IF(K292&lt;&gt;"",VLOOKUP(K292,'Catálogo SAP'!A:F,5,FALSE),"")</f>
        <v>H</v>
      </c>
      <c r="O292" s="160">
        <v>4</v>
      </c>
      <c r="P292" s="70">
        <f t="shared" si="134"/>
        <v>4</v>
      </c>
      <c r="Q292" s="163" t="e">
        <f t="shared" si="125"/>
        <v>#VALUE!</v>
      </c>
      <c r="R292" s="44" t="str">
        <f>IF(J292&lt;&gt;"",VLOOKUP(J292,'RESUMO DR'!$B$4:$E$253,4,FALSE),"-")</f>
        <v>T-02</v>
      </c>
      <c r="S292" s="58" t="str">
        <f>IF(J292&lt;&gt;"",VLOOKUP(J292,'RESUMO DR'!$B$4:$E$253,3,FALSE),"-")</f>
        <v>ARAGUAINA</v>
      </c>
      <c r="T292" s="129"/>
      <c r="U292" s="129"/>
      <c r="V292" s="129"/>
      <c r="W292" s="128"/>
      <c r="X292" s="127"/>
      <c r="Y292" s="127"/>
      <c r="Z292" s="4"/>
    </row>
    <row r="293" spans="1:27" ht="18" customHeight="1">
      <c r="A293" s="5"/>
      <c r="B293" s="21">
        <v>45652</v>
      </c>
      <c r="C293" s="21" t="s">
        <v>305</v>
      </c>
      <c r="D293" s="74" t="str">
        <f t="shared" si="142"/>
        <v>qui</v>
      </c>
      <c r="E293" s="169" t="str">
        <f>IF(K293&lt;&gt;"",VLOOKUP(K293,'Catálogo SAP'!$A$1:$F$245,2,FALSE),"-")</f>
        <v>-</v>
      </c>
      <c r="F293" s="225"/>
      <c r="G293" s="225"/>
      <c r="H293" s="226"/>
      <c r="I293" s="230"/>
      <c r="J293" s="162" t="str">
        <f t="shared" si="150"/>
        <v/>
      </c>
      <c r="K293" s="16"/>
      <c r="L293" s="167" t="str">
        <f>IF(K293&lt;&gt;"",VLOOKUP(K293,'Catálogo SAP'!A:F,3,FALSE),"")</f>
        <v/>
      </c>
      <c r="M293" s="162" t="str">
        <f>IF(K293&lt;&gt;"",VLOOKUP(K293,'Catálogo SAP'!A:F,4,FALSE),"")</f>
        <v/>
      </c>
      <c r="N293" s="168" t="str">
        <f>IF(K293&lt;&gt;"",VLOOKUP(K293,'Catálogo SAP'!A:F,5,FALSE),"")</f>
        <v/>
      </c>
      <c r="O293" s="160"/>
      <c r="P293" s="70" t="str">
        <f t="shared" si="134"/>
        <v>-</v>
      </c>
      <c r="Q293" s="163" t="str">
        <f t="shared" si="125"/>
        <v>-</v>
      </c>
      <c r="R293" s="44" t="str">
        <f>IF(J293&lt;&gt;"",VLOOKUP(J293,'RESUMO DR'!$B$4:$E$253,4,FALSE),"-")</f>
        <v>-</v>
      </c>
      <c r="S293" s="58" t="str">
        <f>IF(J293&lt;&gt;"",VLOOKUP(J293,'RESUMO DR'!$B$4:$E$253,3,FALSE),"-")</f>
        <v>-</v>
      </c>
      <c r="T293" s="129"/>
      <c r="U293" s="129"/>
      <c r="V293" s="129"/>
      <c r="W293" s="128"/>
      <c r="X293" s="127"/>
      <c r="Y293" s="127"/>
      <c r="Z293" s="4"/>
    </row>
    <row r="294" spans="1:27" ht="18" customHeight="1">
      <c r="A294" s="5">
        <v>1981</v>
      </c>
      <c r="B294" s="21">
        <v>45652</v>
      </c>
      <c r="C294" s="21" t="s">
        <v>300</v>
      </c>
      <c r="D294" s="74" t="str">
        <f t="shared" si="142"/>
        <v>qui</v>
      </c>
      <c r="E294" s="169">
        <f>IF(K294&lt;&gt;"",VLOOKUP(K294,'Catálogo SAP'!$A$1:$F$245,2,FALSE),"-")</f>
        <v>170</v>
      </c>
      <c r="F294" s="225">
        <v>137</v>
      </c>
      <c r="G294" s="225">
        <v>137</v>
      </c>
      <c r="H294" s="226"/>
      <c r="I294" s="230">
        <v>563</v>
      </c>
      <c r="J294" s="162" t="str">
        <f t="shared" si="32"/>
        <v>Tupirama</v>
      </c>
      <c r="K294" s="16">
        <v>170</v>
      </c>
      <c r="L294" s="167" t="str">
        <f>IF(K294&lt;&gt;"",VLOOKUP(K294,'Catálogo SAP'!A:F,3,FALSE),"")</f>
        <v>S.VP-01442</v>
      </c>
      <c r="M294" s="162" t="str">
        <f>IF(K294&lt;&gt;"",VLOOKUP(K294,'Catálogo SAP'!A:F,4,FALSE),"")</f>
        <v>Hora Improdutiva Pa Carregadeira C/Operador</v>
      </c>
      <c r="N294" s="168" t="str">
        <f>IF(K294&lt;&gt;"",VLOOKUP(K294,'Catálogo SAP'!A:F,5,FALSE),"")</f>
        <v>H</v>
      </c>
      <c r="O294" s="160">
        <v>9</v>
      </c>
      <c r="P294" s="70">
        <f t="shared" si="134"/>
        <v>0</v>
      </c>
      <c r="Q294" s="163" t="e">
        <f t="shared" si="125"/>
        <v>#VALUE!</v>
      </c>
      <c r="R294" s="44" t="str">
        <f>IF(J294&lt;&gt;"",VLOOKUP(J294,'RESUMO DR'!$B$4:$E$253,4,FALSE),"-")</f>
        <v>T-03</v>
      </c>
      <c r="S294" s="58" t="str">
        <f>IF(J294&lt;&gt;"",VLOOKUP(J294,'RESUMO DR'!$B$4:$E$253,3,FALSE),"-")</f>
        <v>PALMAS</v>
      </c>
      <c r="T294" s="129"/>
      <c r="U294" s="129"/>
      <c r="V294" s="129"/>
      <c r="W294" s="128"/>
      <c r="X294" s="127"/>
      <c r="Y294" s="127"/>
      <c r="Z294" s="4"/>
    </row>
    <row r="295" spans="1:27" ht="18" customHeight="1">
      <c r="A295" s="5"/>
      <c r="B295" s="21">
        <v>45652</v>
      </c>
      <c r="C295" s="21" t="s">
        <v>300</v>
      </c>
      <c r="D295" s="74" t="str">
        <f t="shared" si="142"/>
        <v>qui</v>
      </c>
      <c r="E295" s="169" t="str">
        <f>IF(K295&lt;&gt;"",VLOOKUP(K295,'Catálogo SAP'!$A$1:$F$245,2,FALSE),"-")</f>
        <v>-</v>
      </c>
      <c r="F295" s="225"/>
      <c r="G295" s="225"/>
      <c r="H295" s="226"/>
      <c r="I295" s="230"/>
      <c r="J295" s="162" t="str">
        <f t="shared" si="32"/>
        <v/>
      </c>
      <c r="K295" s="16"/>
      <c r="L295" s="167" t="str">
        <f>IF(K295&lt;&gt;"",VLOOKUP(K295,'Catálogo SAP'!A:F,3,FALSE),"")</f>
        <v/>
      </c>
      <c r="M295" s="162" t="str">
        <f>IF(K295&lt;&gt;"",VLOOKUP(K295,'Catálogo SAP'!A:F,4,FALSE),"")</f>
        <v/>
      </c>
      <c r="N295" s="168" t="str">
        <f>IF(K295&lt;&gt;"",VLOOKUP(K295,'Catálogo SAP'!A:F,5,FALSE),"")</f>
        <v/>
      </c>
      <c r="O295" s="160"/>
      <c r="P295" s="70" t="str">
        <f t="shared" si="134"/>
        <v>-</v>
      </c>
      <c r="Q295" s="163" t="str">
        <f t="shared" si="125"/>
        <v>-</v>
      </c>
      <c r="R295" s="44" t="str">
        <f>IF(J295&lt;&gt;"",VLOOKUP(J295,'RESUMO DR'!$B$4:$E$253,4,FALSE),"-")</f>
        <v>-</v>
      </c>
      <c r="S295" s="58" t="str">
        <f>IF(J295&lt;&gt;"",VLOOKUP(J295,'RESUMO DR'!$B$4:$E$253,3,FALSE),"-")</f>
        <v>-</v>
      </c>
      <c r="T295" s="129"/>
      <c r="U295" s="129"/>
      <c r="V295" s="129"/>
      <c r="W295" s="128"/>
      <c r="X295" s="127"/>
      <c r="Y295" s="127"/>
      <c r="Z295" s="4"/>
    </row>
    <row r="296" spans="1:27" ht="18" customHeight="1">
      <c r="A296" s="5"/>
      <c r="B296" s="21">
        <v>45652</v>
      </c>
      <c r="C296" s="21" t="s">
        <v>134</v>
      </c>
      <c r="D296" s="74" t="str">
        <f t="shared" si="142"/>
        <v>qui</v>
      </c>
      <c r="E296" s="169" t="str">
        <f>IF(K296&lt;&gt;"",VLOOKUP(K296,'Catálogo SAP'!$A$1:$F$245,2,FALSE),"-")</f>
        <v>-</v>
      </c>
      <c r="F296" s="225"/>
      <c r="G296" s="225"/>
      <c r="H296" s="226"/>
      <c r="I296" s="230"/>
      <c r="J296" s="162" t="str">
        <f t="shared" si="32"/>
        <v/>
      </c>
      <c r="K296" s="16"/>
      <c r="L296" s="167" t="str">
        <f>IF(K296&lt;&gt;"",VLOOKUP(K296,'Catálogo SAP'!A:F,3,FALSE),"")</f>
        <v/>
      </c>
      <c r="M296" s="162" t="str">
        <f>IF(K296&lt;&gt;"",VLOOKUP(K296,'Catálogo SAP'!A:F,4,FALSE),"")</f>
        <v/>
      </c>
      <c r="N296" s="168" t="str">
        <f>IF(K296&lt;&gt;"",VLOOKUP(K296,'Catálogo SAP'!A:F,5,FALSE),"")</f>
        <v/>
      </c>
      <c r="O296" s="160"/>
      <c r="P296" s="70" t="str">
        <f t="shared" si="134"/>
        <v>-</v>
      </c>
      <c r="Q296" s="163" t="str">
        <f t="shared" si="125"/>
        <v>-</v>
      </c>
      <c r="R296" s="44" t="str">
        <f>IF(J296&lt;&gt;"",VLOOKUP(J296,'RESUMO DR'!$B$4:$E$253,4,FALSE),"-")</f>
        <v>-</v>
      </c>
      <c r="S296" s="58" t="str">
        <f>IF(J296&lt;&gt;"",VLOOKUP(J296,'RESUMO DR'!$B$4:$E$253,3,FALSE),"-")</f>
        <v>-</v>
      </c>
      <c r="T296" s="129"/>
      <c r="U296" s="129"/>
      <c r="V296" s="129"/>
      <c r="W296" s="128"/>
      <c r="X296" s="127"/>
      <c r="Y296" s="127"/>
      <c r="Z296" s="4"/>
    </row>
    <row r="297" spans="1:27" ht="18" customHeight="1">
      <c r="A297" s="5">
        <v>1982</v>
      </c>
      <c r="B297" s="21">
        <v>45652</v>
      </c>
      <c r="C297" s="21" t="s">
        <v>134</v>
      </c>
      <c r="D297" s="74" t="str">
        <f t="shared" si="142"/>
        <v>qui</v>
      </c>
      <c r="E297" s="169">
        <f>IF(K297&lt;&gt;"",VLOOKUP(K297,'Catálogo SAP'!$A$1:$F$245,2,FALSE),"-")</f>
        <v>490</v>
      </c>
      <c r="F297" s="225">
        <v>3399</v>
      </c>
      <c r="G297" s="225">
        <v>3399</v>
      </c>
      <c r="H297" s="226"/>
      <c r="I297" s="230">
        <v>91</v>
      </c>
      <c r="J297" s="162" t="str">
        <f t="shared" ref="J297:J298" si="151">IF(AND(I297&gt;=0.001,I297&lt;=16),"AÇAILÂNDIA","")&amp;IF(AND(I297&gt;=16.001,I297&lt;=44),"S.F. BREJÃO","")&amp;IF(AND(I297&gt;=44.001,I297&lt;=78),"JOÃO LISBOA","")&amp;IF(AND(I297&gt;=78.001,I297&lt;=96.397),"IMPERATRIZ","")&amp;IF(AND(I297&gt;=96.398,I297&lt;=122.82),"EDSON LOBÃO","")&amp;IF(AND(I297&gt;=122.821,I297&lt;=152.303),"RIBAMAR FIQUENE","")&amp;IF(AND(I297&gt;=152.304,I297&lt;=172.403),"CAMPESTRE","")&amp;IF(AND(I297&gt;=172.404,I297&lt;=195),"PORTO FRANCO","")&amp;IF(AND(I297&gt;=300,I297&lt;=300),"SAO LUIS","")&amp;IF(AND(I297&gt;=385.4,I297&lt;=465.4),"Palmeirante","")&amp;IF(AND(I297&gt;=465.401,I297&lt;=520.455),"Tupiratins","")&amp;IF(AND(I297&gt;=520.456,I297&lt;=536.741),"Guaraí","")&amp;IF(AND(I297&gt;=536.742,I297&lt;=580.293),"Tupirama","")&amp;IF(AND(I297&gt;=580.294,I297&lt;=608.637),"Rio dos Bois","")&amp;IF(AND(I297&gt;=608.638,I297&lt;=698.981),"Miracema","")&amp;IF(AND(I297&gt;=698.982,I297&lt;=735.6),"Porto Nacional","")&amp;IF(AND(I297&gt;=195.1,I297&lt;=213.603),"ESTREITO","")&amp;IF(AND(I297&gt;=213.604,I297&lt;=218.976),"AGUIARNÓPOLIS","")&amp;IF(AND(I297&gt;=218.977,I297&lt;=253.5),"PALMEIRAS DO TOCANTINS","")&amp;IF(AND(I297&gt;=253.501,I297&lt;=274.15),"DARCINÓPOLIS","")&amp;IF(AND(I297&gt;=274.151,I297&lt;=299.999),"BABAÇULÂNDIA","")&amp;IF(AND(I297&gt;=356.62,I297&lt;=385.4),"ARAGUAÍNA","")&amp;IF(AND(I297&gt;=300.001,I297&lt;=356.619),"BABAÇULÂNDIA","")&amp;IF(AND(I297&gt;=900,I297&lt;=902),"ENG. VLI","")</f>
        <v>IMPERATRIZ</v>
      </c>
      <c r="K297" s="16">
        <v>490</v>
      </c>
      <c r="L297" s="167" t="str">
        <f>IF(K297&lt;&gt;"",VLOOKUP(K297,'Catálogo SAP'!A:F,3,FALSE),"")</f>
        <v>S.VP-01466</v>
      </c>
      <c r="M297" s="162" t="str">
        <f>IF(K297&lt;&gt;"",VLOOKUP(K297,'Catálogo SAP'!A:F,4,FALSE),"")</f>
        <v>Hora Improdutiva Miniescavadeira Hidraulica C/ Operador</v>
      </c>
      <c r="N297" s="168" t="str">
        <f>IF(K297&lt;&gt;"",VLOOKUP(K297,'Catálogo SAP'!A:F,5,FALSE),"")</f>
        <v>H</v>
      </c>
      <c r="O297" s="160">
        <v>9</v>
      </c>
      <c r="P297" s="70">
        <f t="shared" si="134"/>
        <v>0</v>
      </c>
      <c r="Q297" s="163" t="e">
        <f t="shared" si="125"/>
        <v>#VALUE!</v>
      </c>
      <c r="R297" s="44" t="str">
        <f>IF(J297&lt;&gt;"",VLOOKUP(J297,'RESUMO DR'!$B$4:$E$253,4,FALSE),"-")</f>
        <v>T-01</v>
      </c>
      <c r="S297" s="58" t="str">
        <f>IF(J297&lt;&gt;"",VLOOKUP(J297,'RESUMO DR'!$B$4:$E$253,3,FALSE),"-")</f>
        <v>IMPERATRIZ</v>
      </c>
      <c r="T297" s="129"/>
      <c r="U297" s="129"/>
      <c r="V297" s="129"/>
      <c r="W297" s="128"/>
      <c r="X297" s="127"/>
      <c r="Y297" s="127"/>
      <c r="Z297" s="38">
        <v>60000</v>
      </c>
      <c r="AA297" s="38"/>
    </row>
    <row r="298" spans="1:27" ht="18" customHeight="1">
      <c r="A298" s="5">
        <v>1973</v>
      </c>
      <c r="B298" s="21">
        <v>45652</v>
      </c>
      <c r="C298" s="21" t="s">
        <v>315</v>
      </c>
      <c r="D298" s="74" t="str">
        <f t="shared" si="142"/>
        <v>qui</v>
      </c>
      <c r="E298" s="169">
        <f>IF(K298&lt;&gt;"",VLOOKUP(K298,'Catálogo SAP'!$A$1:$F$245,2,FALSE),"-")</f>
        <v>170</v>
      </c>
      <c r="F298" s="225">
        <v>1380</v>
      </c>
      <c r="G298" s="225">
        <v>1380</v>
      </c>
      <c r="H298" s="226"/>
      <c r="I298" s="230">
        <v>152</v>
      </c>
      <c r="J298" s="162" t="str">
        <f t="shared" si="151"/>
        <v>RIBAMAR FIQUENE</v>
      </c>
      <c r="K298" s="16">
        <v>170</v>
      </c>
      <c r="L298" s="167" t="str">
        <f>IF(K298&lt;&gt;"",VLOOKUP(K298,'Catálogo SAP'!A:F,3,FALSE),"")</f>
        <v>S.VP-01442</v>
      </c>
      <c r="M298" s="162" t="str">
        <f>IF(K298&lt;&gt;"",VLOOKUP(K298,'Catálogo SAP'!A:F,4,FALSE),"")</f>
        <v>Hora Improdutiva Pa Carregadeira C/Operador</v>
      </c>
      <c r="N298" s="168" t="str">
        <f>IF(K298&lt;&gt;"",VLOOKUP(K298,'Catálogo SAP'!A:F,5,FALSE),"")</f>
        <v>H</v>
      </c>
      <c r="O298" s="160">
        <v>9</v>
      </c>
      <c r="P298" s="70">
        <f t="shared" si="134"/>
        <v>0</v>
      </c>
      <c r="Q298" s="163" t="e">
        <f t="shared" si="125"/>
        <v>#VALUE!</v>
      </c>
      <c r="R298" s="44" t="str">
        <f>IF(J298&lt;&gt;"",VLOOKUP(J298,'RESUMO DR'!$B$4:$E$253,4,FALSE),"-")</f>
        <v>T-01</v>
      </c>
      <c r="S298" s="58" t="str">
        <f>IF(J298&lt;&gt;"",VLOOKUP(J298,'RESUMO DR'!$B$4:$E$253,3,FALSE),"-")</f>
        <v>IMPERATRIZ</v>
      </c>
      <c r="T298" s="129"/>
      <c r="U298" s="129"/>
      <c r="V298" s="129"/>
      <c r="W298" s="128"/>
      <c r="X298" s="127"/>
      <c r="Y298" s="127"/>
      <c r="Z298" s="4"/>
    </row>
    <row r="299" spans="1:27" ht="18" customHeight="1">
      <c r="A299" s="5"/>
      <c r="B299" s="21">
        <v>45652</v>
      </c>
      <c r="C299" s="21" t="s">
        <v>136</v>
      </c>
      <c r="D299" s="74" t="str">
        <f t="shared" si="142"/>
        <v>qui</v>
      </c>
      <c r="E299" s="169" t="str">
        <f>IF(K299&lt;&gt;"",VLOOKUP(K299,'Catálogo SAP'!$A$1:$F$245,2,FALSE),"-")</f>
        <v>-</v>
      </c>
      <c r="F299" s="225"/>
      <c r="G299" s="225"/>
      <c r="H299" s="226"/>
      <c r="I299" s="230"/>
      <c r="J299" s="162" t="str">
        <f t="shared" si="32"/>
        <v/>
      </c>
      <c r="K299" s="16"/>
      <c r="L299" s="167" t="str">
        <f>IF(K299&lt;&gt;"",VLOOKUP(K299,'Catálogo SAP'!A:F,3,FALSE),"")</f>
        <v/>
      </c>
      <c r="M299" s="162" t="str">
        <f>IF(K299&lt;&gt;"",VLOOKUP(K299,'Catálogo SAP'!A:F,4,FALSE),"")</f>
        <v/>
      </c>
      <c r="N299" s="168" t="str">
        <f>IF(K299&lt;&gt;"",VLOOKUP(K299,'Catálogo SAP'!A:F,5,FALSE),"")</f>
        <v/>
      </c>
      <c r="O299" s="160"/>
      <c r="P299" s="70" t="str">
        <f t="shared" si="134"/>
        <v>-</v>
      </c>
      <c r="Q299" s="163" t="str">
        <f t="shared" si="125"/>
        <v>-</v>
      </c>
      <c r="R299" s="44" t="str">
        <f>IF(J299&lt;&gt;"",VLOOKUP(J299,'RESUMO DR'!$B$4:$E$253,4,FALSE),"-")</f>
        <v>-</v>
      </c>
      <c r="S299" s="58" t="str">
        <f>IF(J299&lt;&gt;"",VLOOKUP(J299,'RESUMO DR'!$B$4:$E$253,3,FALSE),"-")</f>
        <v>-</v>
      </c>
      <c r="T299" s="129"/>
      <c r="U299" s="129"/>
      <c r="V299" s="129"/>
      <c r="W299" s="128"/>
      <c r="X299" s="127"/>
      <c r="Y299" s="127"/>
      <c r="Z299" s="4"/>
    </row>
    <row r="300" spans="1:27" ht="18" customHeight="1">
      <c r="A300" s="5"/>
      <c r="B300" s="21">
        <v>45652</v>
      </c>
      <c r="C300" s="21" t="s">
        <v>136</v>
      </c>
      <c r="D300" s="74" t="str">
        <f t="shared" si="142"/>
        <v>qui</v>
      </c>
      <c r="E300" s="169" t="str">
        <f>IF(K300&lt;&gt;"",VLOOKUP(K300,'Catálogo SAP'!$A$1:$F$245,2,FALSE),"-")</f>
        <v>-</v>
      </c>
      <c r="F300" s="16"/>
      <c r="G300" s="16"/>
      <c r="H300" s="22"/>
      <c r="I300" s="133"/>
      <c r="J300" s="162" t="str">
        <f t="shared" ref="J300" si="152">IF(AND(I300&gt;=0.001,I300&lt;=16),"AÇAILÂNDIA","")&amp;IF(AND(I300&gt;=16.001,I300&lt;=44),"S.F. BREJÃO","")&amp;IF(AND(I300&gt;=44.001,I300&lt;=78),"JOÃO LISBOA","")&amp;IF(AND(I300&gt;=78.001,I300&lt;=96.397),"IMPERATRIZ","")&amp;IF(AND(I300&gt;=96.398,I300&lt;=122.82),"EDSON LOBÃO","")&amp;IF(AND(I300&gt;=122.821,I300&lt;=152.303),"RIBAMAR FIQUENE","")&amp;IF(AND(I300&gt;=152.304,I300&lt;=172.403),"CAMPESTRE","")&amp;IF(AND(I300&gt;=172.404,I300&lt;=195),"PORTO FRANCO","")&amp;IF(AND(I300&gt;=300,I300&lt;=300),"SAO LUIS","")&amp;IF(AND(I300&gt;=385.4,I300&lt;=465.4),"Palmeirante","")&amp;IF(AND(I300&gt;=465.401,I300&lt;=520.455),"Tupiratins","")&amp;IF(AND(I300&gt;=520.456,I300&lt;=536.741),"Guaraí","")&amp;IF(AND(I300&gt;=536.742,I300&lt;=580.293),"Tupirama","")&amp;IF(AND(I300&gt;=580.294,I300&lt;=608.637),"Rio dos Bois","")&amp;IF(AND(I300&gt;=608.638,I300&lt;=698.981),"Miracema","")&amp;IF(AND(I300&gt;=698.982,I300&lt;=735.6),"Porto Nacional","")&amp;IF(AND(I300&gt;=195.1,I300&lt;=213.603),"ESTREITO","")&amp;IF(AND(I300&gt;=213.604,I300&lt;=218.976),"AGUIARNÓPOLIS","")&amp;IF(AND(I300&gt;=218.977,I300&lt;=253.5),"PALMEIRAS DO TOCANTINS","")&amp;IF(AND(I300&gt;=253.501,I300&lt;=274.15),"DARCINÓPOLIS","")&amp;IF(AND(I300&gt;=274.151,I300&lt;=299.999),"BABAÇULÂNDIA","")&amp;IF(AND(I300&gt;=356.62,I300&lt;=385.4),"ARAGUAÍNA","")&amp;IF(AND(I300&gt;=300.001,I300&lt;=356.619),"BABAÇULÂNDIA","")&amp;IF(AND(I300&gt;=900,I300&lt;=902),"ENG. VLI","")</f>
        <v/>
      </c>
      <c r="K300" s="16"/>
      <c r="L300" s="167" t="str">
        <f>IF(K300&lt;&gt;"",VLOOKUP(K300,'Catálogo SAP'!A:F,3,FALSE),"")</f>
        <v/>
      </c>
      <c r="M300" s="162" t="str">
        <f>IF(K300&lt;&gt;"",VLOOKUP(K300,'Catálogo SAP'!A:F,4,FALSE),"")</f>
        <v/>
      </c>
      <c r="N300" s="168" t="str">
        <f>IF(K300&lt;&gt;"",VLOOKUP(K300,'Catálogo SAP'!A:F,5,FALSE),"")</f>
        <v/>
      </c>
      <c r="O300" s="160"/>
      <c r="P300" s="70" t="str">
        <f t="shared" si="134"/>
        <v>-</v>
      </c>
      <c r="Q300" s="163" t="str">
        <f t="shared" si="125"/>
        <v>-</v>
      </c>
      <c r="R300" s="44" t="str">
        <f>IF(J300&lt;&gt;"",VLOOKUP(J300,'RESUMO DR'!$B$4:$E$253,4,FALSE),"-")</f>
        <v>-</v>
      </c>
      <c r="S300" s="58" t="str">
        <f>IF(J300&lt;&gt;"",VLOOKUP(J300,'RESUMO DR'!$B$4:$E$253,3,FALSE),"-")</f>
        <v>-</v>
      </c>
      <c r="T300" s="129"/>
      <c r="U300" s="129"/>
      <c r="V300" s="129"/>
      <c r="W300" s="128"/>
      <c r="X300" s="127"/>
      <c r="Y300" s="127"/>
      <c r="Z300" s="4"/>
    </row>
    <row r="301" spans="1:27" ht="18" customHeight="1">
      <c r="A301" s="5">
        <v>1980</v>
      </c>
      <c r="B301" s="21">
        <v>45652</v>
      </c>
      <c r="C301" s="21" t="s">
        <v>310</v>
      </c>
      <c r="D301" s="74" t="str">
        <f t="shared" si="142"/>
        <v>qui</v>
      </c>
      <c r="E301" s="169">
        <f>IF(K301&lt;&gt;"",VLOOKUP(K301,'Catálogo SAP'!$A$1:$F$245,2,FALSE),"-")</f>
        <v>120</v>
      </c>
      <c r="F301" s="225">
        <v>126</v>
      </c>
      <c r="G301" s="225">
        <v>132</v>
      </c>
      <c r="H301" s="226"/>
      <c r="I301" s="230">
        <v>453</v>
      </c>
      <c r="J301" s="162" t="str">
        <f t="shared" si="32"/>
        <v>Palmeirante</v>
      </c>
      <c r="K301" s="16">
        <v>120</v>
      </c>
      <c r="L301" s="167" t="str">
        <f>IF(K301&lt;&gt;"",VLOOKUP(K301,'Catálogo SAP'!A:F,3,FALSE),"")</f>
        <v>S.VP-01437</v>
      </c>
      <c r="M301" s="162" t="str">
        <f>IF(K301&lt;&gt;"",VLOOKUP(K301,'Catálogo SAP'!A:F,4,FALSE),"")</f>
        <v>Hr Produtiva Retroescavadeira C/Operador</v>
      </c>
      <c r="N301" s="168" t="str">
        <f>IF(K301&lt;&gt;"",VLOOKUP(K301,'Catálogo SAP'!A:F,5,FALSE),"")</f>
        <v>H</v>
      </c>
      <c r="O301" s="160">
        <v>6</v>
      </c>
      <c r="P301" s="70">
        <f t="shared" si="134"/>
        <v>6</v>
      </c>
      <c r="Q301" s="163" t="e">
        <f t="shared" si="125"/>
        <v>#VALUE!</v>
      </c>
      <c r="R301" s="44" t="s">
        <v>192</v>
      </c>
      <c r="S301" s="58" t="s">
        <v>193</v>
      </c>
      <c r="T301" s="129"/>
      <c r="U301" s="129"/>
      <c r="V301" s="129"/>
      <c r="W301" s="128"/>
      <c r="X301" s="127"/>
      <c r="Y301" s="127"/>
      <c r="Z301" s="4"/>
    </row>
    <row r="302" spans="1:27" ht="18" customHeight="1">
      <c r="A302" s="5">
        <v>1980</v>
      </c>
      <c r="B302" s="21">
        <v>45652</v>
      </c>
      <c r="C302" s="21" t="s">
        <v>310</v>
      </c>
      <c r="D302" s="74" t="str">
        <f t="shared" si="142"/>
        <v>qui</v>
      </c>
      <c r="E302" s="169">
        <f>IF(K302&lt;&gt;"",VLOOKUP(K302,'Catálogo SAP'!$A$1:$F$245,2,FALSE),"-")</f>
        <v>130</v>
      </c>
      <c r="F302" s="225">
        <v>132</v>
      </c>
      <c r="G302" s="225">
        <v>132</v>
      </c>
      <c r="H302" s="226"/>
      <c r="I302" s="230">
        <v>453</v>
      </c>
      <c r="J302" s="162" t="str">
        <f t="shared" ref="J302:J304" si="153">IF(AND(I302&gt;=0.001,I302&lt;=16),"AÇAILÂNDIA","")&amp;IF(AND(I302&gt;=16.001,I302&lt;=44),"S.F. BREJÃO","")&amp;IF(AND(I302&gt;=44.001,I302&lt;=78),"JOÃO LISBOA","")&amp;IF(AND(I302&gt;=78.001,I302&lt;=96.397),"IMPERATRIZ","")&amp;IF(AND(I302&gt;=96.398,I302&lt;=122.82),"EDSON LOBÃO","")&amp;IF(AND(I302&gt;=122.821,I302&lt;=152.303),"RIBAMAR FIQUENE","")&amp;IF(AND(I302&gt;=152.304,I302&lt;=172.403),"CAMPESTRE","")&amp;IF(AND(I302&gt;=172.404,I302&lt;=195),"PORTO FRANCO","")&amp;IF(AND(I302&gt;=300,I302&lt;=300),"SAO LUIS","")&amp;IF(AND(I302&gt;=385.4,I302&lt;=465.4),"Palmeirante","")&amp;IF(AND(I302&gt;=465.401,I302&lt;=520.455),"Tupiratins","")&amp;IF(AND(I302&gt;=520.456,I302&lt;=536.741),"Guaraí","")&amp;IF(AND(I302&gt;=536.742,I302&lt;=580.293),"Tupirama","")&amp;IF(AND(I302&gt;=580.294,I302&lt;=608.637),"Rio dos Bois","")&amp;IF(AND(I302&gt;=608.638,I302&lt;=698.981),"Miracema","")&amp;IF(AND(I302&gt;=698.982,I302&lt;=735.6),"Porto Nacional","")&amp;IF(AND(I302&gt;=195.1,I302&lt;=213.603),"ESTREITO","")&amp;IF(AND(I302&gt;=213.604,I302&lt;=218.976),"AGUIARNÓPOLIS","")&amp;IF(AND(I302&gt;=218.977,I302&lt;=253.5),"PALMEIRAS DO TOCANTINS","")&amp;IF(AND(I302&gt;=253.501,I302&lt;=274.15),"DARCINÓPOLIS","")&amp;IF(AND(I302&gt;=274.151,I302&lt;=299.999),"BABAÇULÂNDIA","")&amp;IF(AND(I302&gt;=356.62,I302&lt;=385.4),"ARAGUAÍNA","")&amp;IF(AND(I302&gt;=300.001,I302&lt;=356.619),"BABAÇULÂNDIA","")&amp;IF(AND(I302&gt;=900,I302&lt;=902),"ENG. VLI","")</f>
        <v>Palmeirante</v>
      </c>
      <c r="K302" s="16">
        <v>130</v>
      </c>
      <c r="L302" s="167" t="str">
        <f>IF(K302&lt;&gt;"",VLOOKUP(K302,'Catálogo SAP'!A:F,3,FALSE),"")</f>
        <v>S.VP-01438</v>
      </c>
      <c r="M302" s="162" t="str">
        <f>IF(K302&lt;&gt;"",VLOOKUP(K302,'Catálogo SAP'!A:F,4,FALSE),"")</f>
        <v>Hr Improdutiva Retroescavadeira C/Operador</v>
      </c>
      <c r="N302" s="168" t="str">
        <f>IF(K302&lt;&gt;"",VLOOKUP(K302,'Catálogo SAP'!A:F,5,FALSE),"")</f>
        <v>H</v>
      </c>
      <c r="O302" s="160">
        <v>3</v>
      </c>
      <c r="P302" s="70">
        <f t="shared" si="134"/>
        <v>0</v>
      </c>
      <c r="Q302" s="163" t="e">
        <f t="shared" si="125"/>
        <v>#VALUE!</v>
      </c>
      <c r="R302" s="44" t="s">
        <v>192</v>
      </c>
      <c r="S302" s="58" t="s">
        <v>193</v>
      </c>
      <c r="T302" s="129"/>
      <c r="U302" s="129"/>
      <c r="V302" s="129"/>
      <c r="W302" s="128"/>
      <c r="X302" s="127"/>
      <c r="Y302" s="127"/>
      <c r="Z302" s="4"/>
    </row>
    <row r="303" spans="1:27" ht="18" customHeight="1">
      <c r="A303" s="5">
        <v>1982</v>
      </c>
      <c r="B303" s="21">
        <v>45652</v>
      </c>
      <c r="C303" s="21" t="s">
        <v>308</v>
      </c>
      <c r="D303" s="74" t="str">
        <f t="shared" si="142"/>
        <v>qui</v>
      </c>
      <c r="E303" s="169">
        <f>IF(K303&lt;&gt;"",VLOOKUP(K303,'Catálogo SAP'!$A$1:$F$245,2,FALSE),"-")</f>
        <v>210</v>
      </c>
      <c r="F303" s="225">
        <v>65612</v>
      </c>
      <c r="G303" s="225">
        <v>65612</v>
      </c>
      <c r="H303" s="226"/>
      <c r="I303" s="230">
        <v>91</v>
      </c>
      <c r="J303" s="162" t="str">
        <f t="shared" si="153"/>
        <v>IMPERATRIZ</v>
      </c>
      <c r="K303" s="16">
        <v>210</v>
      </c>
      <c r="L303" s="167" t="str">
        <f>IF(K303&lt;&gt;"",VLOOKUP(K303,'Catálogo SAP'!A:F,3,FALSE),"")</f>
        <v>S.VP-01446</v>
      </c>
      <c r="M303" s="162" t="str">
        <f>IF(K303&lt;&gt;"",VLOOKUP(K303,'Catálogo SAP'!A:F,4,FALSE),"")</f>
        <v>Hora Improdutiva Basculante - C/Motorista</v>
      </c>
      <c r="N303" s="168" t="str">
        <f>IF(K303&lt;&gt;"",VLOOKUP(K303,'Catálogo SAP'!A:F,5,FALSE),"")</f>
        <v>H</v>
      </c>
      <c r="O303" s="160">
        <v>9</v>
      </c>
      <c r="P303" s="70">
        <f t="shared" si="134"/>
        <v>0</v>
      </c>
      <c r="Q303" s="163" t="e">
        <f t="shared" si="125"/>
        <v>#VALUE!</v>
      </c>
      <c r="R303" s="44" t="str">
        <f>IF(J303&lt;&gt;"",VLOOKUP(J303,'RESUMO DR'!$B$4:$E$253,4,FALSE),"-")</f>
        <v>T-01</v>
      </c>
      <c r="S303" s="58" t="str">
        <f>IF(J303&lt;&gt;"",VLOOKUP(J303,'RESUMO DR'!$B$4:$E$253,3,FALSE),"-")</f>
        <v>IMPERATRIZ</v>
      </c>
      <c r="T303" s="129"/>
      <c r="U303" s="129"/>
      <c r="V303" s="129"/>
      <c r="W303" s="128"/>
      <c r="X303" s="127"/>
      <c r="Y303" s="127"/>
      <c r="Z303" s="4"/>
    </row>
    <row r="304" spans="1:27" ht="18" customHeight="1">
      <c r="A304" s="5"/>
      <c r="B304" s="21">
        <v>45652</v>
      </c>
      <c r="C304" s="21" t="s">
        <v>138</v>
      </c>
      <c r="D304" s="74" t="str">
        <f t="shared" si="142"/>
        <v>qui</v>
      </c>
      <c r="E304" s="169" t="str">
        <f>IF(K304&lt;&gt;"",VLOOKUP(K304,'Catálogo SAP'!$A$1:$F$245,2,FALSE),"-")</f>
        <v>-</v>
      </c>
      <c r="F304" s="225"/>
      <c r="G304" s="225"/>
      <c r="H304" s="226"/>
      <c r="I304" s="230"/>
      <c r="J304" s="162" t="str">
        <f t="shared" si="153"/>
        <v/>
      </c>
      <c r="K304" s="16"/>
      <c r="L304" s="167" t="str">
        <f>IF(K304&lt;&gt;"",VLOOKUP(K304,'Catálogo SAP'!A:F,3,FALSE),"")</f>
        <v/>
      </c>
      <c r="M304" s="162" t="str">
        <f>IF(K304&lt;&gt;"",VLOOKUP(K304,'Catálogo SAP'!A:F,4,FALSE),"")</f>
        <v/>
      </c>
      <c r="N304" s="168" t="str">
        <f>IF(K304&lt;&gt;"",VLOOKUP(K304,'Catálogo SAP'!A:F,5,FALSE),"")</f>
        <v/>
      </c>
      <c r="O304" s="160"/>
      <c r="P304" s="70" t="str">
        <f t="shared" si="134"/>
        <v>-</v>
      </c>
      <c r="Q304" s="163" t="str">
        <f t="shared" si="125"/>
        <v>-</v>
      </c>
      <c r="R304" s="44" t="str">
        <f>IF(J304&lt;&gt;"",VLOOKUP(J304,'RESUMO DR'!$B$4:$E$253,4,FALSE),"-")</f>
        <v>-</v>
      </c>
      <c r="S304" s="58" t="str">
        <f>IF(J304&lt;&gt;"",VLOOKUP(J304,'RESUMO DR'!$B$4:$E$253,3,FALSE),"-")</f>
        <v>-</v>
      </c>
      <c r="T304" s="129"/>
      <c r="U304" s="129"/>
      <c r="V304" s="129"/>
      <c r="W304" s="128"/>
      <c r="X304" s="127"/>
      <c r="Y304" s="127"/>
      <c r="Z304" s="4"/>
    </row>
    <row r="305" spans="1:26" ht="18" customHeight="1">
      <c r="A305" s="5"/>
      <c r="B305" s="21">
        <v>45652</v>
      </c>
      <c r="C305" s="21" t="s">
        <v>139</v>
      </c>
      <c r="D305" s="74" t="str">
        <f t="shared" ref="D305" si="154">IF(B305="","-",TEXT(B305,"ddd"))</f>
        <v>qui</v>
      </c>
      <c r="E305" s="169" t="str">
        <f>IF(K305&lt;&gt;"",VLOOKUP(K305,'Catálogo SAP'!$A$1:$F$245,2,FALSE),"-")</f>
        <v>-</v>
      </c>
      <c r="F305" s="225"/>
      <c r="G305" s="225"/>
      <c r="H305" s="226"/>
      <c r="I305" s="230"/>
      <c r="J305" s="162" t="str">
        <f t="shared" ref="J305" si="155">IF(AND(I305&gt;=0.001,I305&lt;=16),"AÇAILÂNDIA","")&amp;IF(AND(I305&gt;=16.001,I305&lt;=44),"S.F. BREJÃO","")&amp;IF(AND(I305&gt;=44.001,I305&lt;=78),"JOÃO LISBOA","")&amp;IF(AND(I305&gt;=78.001,I305&lt;=96.397),"IMPERATRIZ","")&amp;IF(AND(I305&gt;=96.398,I305&lt;=122.82),"EDSON LOBÃO","")&amp;IF(AND(I305&gt;=122.821,I305&lt;=152.303),"RIBAMAR FIQUENE","")&amp;IF(AND(I305&gt;=152.304,I305&lt;=172.403),"CAMPESTRE","")&amp;IF(AND(I305&gt;=172.404,I305&lt;=195),"PORTO FRANCO","")&amp;IF(AND(I305&gt;=300,I305&lt;=300),"SAO LUIS","")&amp;IF(AND(I305&gt;=385.4,I305&lt;=465.4),"Palmeirante","")&amp;IF(AND(I305&gt;=465.401,I305&lt;=520.455),"Tupiratins","")&amp;IF(AND(I305&gt;=520.456,I305&lt;=536.741),"Guaraí","")&amp;IF(AND(I305&gt;=536.742,I305&lt;=580.293),"Tupirama","")&amp;IF(AND(I305&gt;=580.294,I305&lt;=608.637),"Rio dos Bois","")&amp;IF(AND(I305&gt;=608.638,I305&lt;=698.981),"Miracema","")&amp;IF(AND(I305&gt;=698.982,I305&lt;=735.6),"Porto Nacional","")&amp;IF(AND(I305&gt;=195.1,I305&lt;=213.603),"ESTREITO","")&amp;IF(AND(I305&gt;=213.604,I305&lt;=218.976),"AGUIARNÓPOLIS","")&amp;IF(AND(I305&gt;=218.977,I305&lt;=253.5),"PALMEIRAS DO TOCANTINS","")&amp;IF(AND(I305&gt;=253.501,I305&lt;=274.15),"DARCINÓPOLIS","")&amp;IF(AND(I305&gt;=274.151,I305&lt;=299.999),"BABAÇULÂNDIA","")&amp;IF(AND(I305&gt;=356.62,I305&lt;=385.4),"ARAGUAÍNA","")&amp;IF(AND(I305&gt;=300.001,I305&lt;=356.619),"BABAÇULÂNDIA","")&amp;IF(AND(I305&gt;=900,I305&lt;=902),"ENG. VLI","")</f>
        <v/>
      </c>
      <c r="K305" s="16"/>
      <c r="L305" s="167" t="str">
        <f>IF(K305&lt;&gt;"",VLOOKUP(K305,'Catálogo SAP'!A:F,3,FALSE),"")</f>
        <v/>
      </c>
      <c r="M305" s="162" t="str">
        <f>IF(K305&lt;&gt;"",VLOOKUP(K305,'Catálogo SAP'!A:F,4,FALSE),"")</f>
        <v/>
      </c>
      <c r="N305" s="168" t="str">
        <f>IF(K305&lt;&gt;"",VLOOKUP(K305,'Catálogo SAP'!A:F,5,FALSE),"")</f>
        <v/>
      </c>
      <c r="O305" s="160"/>
      <c r="P305" s="70" t="str">
        <f t="shared" si="134"/>
        <v>-</v>
      </c>
      <c r="Q305" s="163" t="str">
        <f t="shared" ref="Q305" si="156">IF(K305="","-",N305*O305)</f>
        <v>-</v>
      </c>
      <c r="R305" s="44" t="str">
        <f>IF(J305&lt;&gt;"",VLOOKUP(J305,'RESUMO DR'!$B$4:$E$253,4,FALSE),"-")</f>
        <v>-</v>
      </c>
      <c r="S305" s="58" t="str">
        <f>IF(J305&lt;&gt;"",VLOOKUP(J305,'RESUMO DR'!$B$4:$E$253,3,FALSE),"-")</f>
        <v>-</v>
      </c>
      <c r="T305" s="129"/>
      <c r="U305" s="129"/>
      <c r="V305" s="129"/>
      <c r="W305" s="128"/>
      <c r="X305" s="127"/>
      <c r="Y305" s="127"/>
      <c r="Z305" s="4"/>
    </row>
    <row r="306" spans="1:26" ht="18" customHeight="1">
      <c r="A306" s="5"/>
      <c r="B306" s="21">
        <v>45652</v>
      </c>
      <c r="C306" s="21" t="s">
        <v>139</v>
      </c>
      <c r="D306" s="74" t="str">
        <f t="shared" si="142"/>
        <v>qui</v>
      </c>
      <c r="E306" s="169" t="str">
        <f>IF(K306&lt;&gt;"",VLOOKUP(K306,'Catálogo SAP'!$A$1:$F$245,2,FALSE),"-")</f>
        <v>-</v>
      </c>
      <c r="F306" s="225"/>
      <c r="G306" s="225"/>
      <c r="H306" s="226"/>
      <c r="I306" s="230"/>
      <c r="J306" s="162" t="str">
        <f t="shared" si="32"/>
        <v/>
      </c>
      <c r="K306" s="16"/>
      <c r="L306" s="167" t="str">
        <f>IF(K306&lt;&gt;"",VLOOKUP(K306,'Catálogo SAP'!A:F,3,FALSE),"")</f>
        <v/>
      </c>
      <c r="M306" s="162" t="str">
        <f>IF(K306&lt;&gt;"",VLOOKUP(K306,'Catálogo SAP'!A:F,4,FALSE),"")</f>
        <v/>
      </c>
      <c r="N306" s="168" t="str">
        <f>IF(K306&lt;&gt;"",VLOOKUP(K306,'Catálogo SAP'!A:F,5,FALSE),"")</f>
        <v/>
      </c>
      <c r="O306" s="160"/>
      <c r="P306" s="70" t="str">
        <f t="shared" si="134"/>
        <v>-</v>
      </c>
      <c r="Q306" s="163" t="str">
        <f t="shared" si="125"/>
        <v>-</v>
      </c>
      <c r="R306" s="44" t="str">
        <f>IF(J306&lt;&gt;"",VLOOKUP(J306,'RESUMO DR'!$B$4:$E$253,4,FALSE),"-")</f>
        <v>-</v>
      </c>
      <c r="S306" s="58" t="str">
        <f>IF(J306&lt;&gt;"",VLOOKUP(J306,'RESUMO DR'!$B$4:$E$253,3,FALSE),"-")</f>
        <v>-</v>
      </c>
      <c r="T306" s="129"/>
      <c r="U306" s="129"/>
      <c r="V306" s="129"/>
      <c r="W306" s="128"/>
      <c r="X306" s="127"/>
      <c r="Y306" s="127"/>
      <c r="Z306" s="4"/>
    </row>
    <row r="307" spans="1:26" ht="18" customHeight="1">
      <c r="A307" s="5"/>
      <c r="B307" s="222"/>
      <c r="C307" s="222"/>
      <c r="D307" s="223"/>
      <c r="E307" s="224"/>
      <c r="F307" s="225"/>
      <c r="G307" s="225"/>
      <c r="H307" s="226"/>
      <c r="I307" s="230"/>
      <c r="J307" s="228"/>
      <c r="K307" s="225"/>
      <c r="L307" s="167" t="str">
        <f>IF(K307&lt;&gt;"",VLOOKUP(K307,'Catálogo SAP'!A:F,3,FALSE),"")</f>
        <v/>
      </c>
      <c r="M307" s="162" t="str">
        <f>IF(K307&lt;&gt;"",VLOOKUP(K307,'Catálogo SAP'!A:F,4,FALSE),"")</f>
        <v/>
      </c>
      <c r="N307" s="168" t="str">
        <f>IF(K307&lt;&gt;"",VLOOKUP(K307,'Catálogo SAP'!A:F,5,FALSE),"")</f>
        <v/>
      </c>
      <c r="O307" s="231"/>
      <c r="P307" s="70" t="str">
        <f t="shared" si="134"/>
        <v>-</v>
      </c>
      <c r="Q307" s="229"/>
      <c r="R307" s="44" t="str">
        <f>IF(J307&lt;&gt;"",VLOOKUP(J307,'RESUMO DR'!$B$4:$E$253,4,FALSE),"-")</f>
        <v>-</v>
      </c>
      <c r="S307" s="58" t="str">
        <f>IF(J307&lt;&gt;"",VLOOKUP(J307,'RESUMO DR'!$B$4:$E$253,3,FALSE),"-")</f>
        <v>-</v>
      </c>
      <c r="T307" s="129"/>
      <c r="U307" s="129"/>
      <c r="V307" s="129"/>
      <c r="W307" s="128"/>
      <c r="X307" s="127"/>
      <c r="Y307" s="127"/>
      <c r="Z307" s="4"/>
    </row>
    <row r="308" spans="1:26" ht="18" customHeight="1">
      <c r="A308" s="5">
        <v>1560</v>
      </c>
      <c r="B308" s="21">
        <v>45653</v>
      </c>
      <c r="C308" s="21" t="s">
        <v>121</v>
      </c>
      <c r="D308" s="74" t="str">
        <f t="shared" si="142"/>
        <v>sex</v>
      </c>
      <c r="E308" s="169">
        <f>IF(K308&lt;&gt;"",VLOOKUP(K308,'Catálogo SAP'!$A$1:$F$245,2,FALSE),"-")</f>
        <v>120</v>
      </c>
      <c r="F308" s="225">
        <v>8698</v>
      </c>
      <c r="G308" s="225">
        <v>8704</v>
      </c>
      <c r="H308" s="226"/>
      <c r="I308" s="230">
        <v>300</v>
      </c>
      <c r="J308" s="162" t="str">
        <f t="shared" ref="J308:J310" si="157">IF(AND(I308&gt;=0.001,I308&lt;=16),"AÇAILÂNDIA","")&amp;IF(AND(I308&gt;=16.001,I308&lt;=44),"S.F. BREJÃO","")&amp;IF(AND(I308&gt;=44.001,I308&lt;=78),"JOÃO LISBOA","")&amp;IF(AND(I308&gt;=78.001,I308&lt;=96.397),"IMPERATRIZ","")&amp;IF(AND(I308&gt;=96.398,I308&lt;=122.82),"EDSON LOBÃO","")&amp;IF(AND(I308&gt;=122.821,I308&lt;=152.303),"RIBAMAR FIQUENE","")&amp;IF(AND(I308&gt;=152.304,I308&lt;=172.403),"CAMPESTRE","")&amp;IF(AND(I308&gt;=172.404,I308&lt;=195),"PORTO FRANCO","")&amp;IF(AND(I308&gt;=300,I308&lt;=300),"SAO LUIS","")&amp;IF(AND(I308&gt;=385.4,I308&lt;=465.4),"Palmeirante","")&amp;IF(AND(I308&gt;=465.401,I308&lt;=520.455),"Tupiratins","")&amp;IF(AND(I308&gt;=520.456,I308&lt;=536.741),"Guaraí","")&amp;IF(AND(I308&gt;=536.742,I308&lt;=580.293),"Tupirama","")&amp;IF(AND(I308&gt;=580.294,I308&lt;=608.637),"Rio dos Bois","")&amp;IF(AND(I308&gt;=608.638,I308&lt;=698.981),"Miracema","")&amp;IF(AND(I308&gt;=698.982,I308&lt;=735.6),"Porto Nacional","")&amp;IF(AND(I308&gt;=195.1,I308&lt;=213.603),"ESTREITO","")&amp;IF(AND(I308&gt;=213.604,I308&lt;=218.976),"AGUIARNÓPOLIS","")&amp;IF(AND(I308&gt;=218.977,I308&lt;=253.5),"PALMEIRAS DO TOCANTINS","")&amp;IF(AND(I308&gt;=253.501,I308&lt;=274.15),"DARCINÓPOLIS","")&amp;IF(AND(I308&gt;=274.151,I308&lt;=299.999),"BABAÇULÂNDIA","")&amp;IF(AND(I308&gt;=356.62,I308&lt;=385.4),"ARAGUAÍNA","")&amp;IF(AND(I308&gt;=300.001,I308&lt;=356.619),"BABAÇULÂNDIA","")&amp;IF(AND(I308&gt;=900,I308&lt;=902),"ENG. VLI","")</f>
        <v>SAO LUIS</v>
      </c>
      <c r="K308" s="16">
        <v>120</v>
      </c>
      <c r="L308" s="167" t="str">
        <f>IF(K308&lt;&gt;"",VLOOKUP(K308,'Catálogo SAP'!A:F,3,FALSE),"")</f>
        <v>S.VP-01437</v>
      </c>
      <c r="M308" s="162" t="str">
        <f>IF(K308&lt;&gt;"",VLOOKUP(K308,'Catálogo SAP'!A:F,4,FALSE),"")</f>
        <v>Hr Produtiva Retroescavadeira C/Operador</v>
      </c>
      <c r="N308" s="168" t="str">
        <f>IF(K308&lt;&gt;"",VLOOKUP(K308,'Catálogo SAP'!A:F,5,FALSE),"")</f>
        <v>H</v>
      </c>
      <c r="O308" s="160">
        <v>6</v>
      </c>
      <c r="P308" s="70">
        <f t="shared" si="134"/>
        <v>6</v>
      </c>
      <c r="Q308" s="163" t="e">
        <f t="shared" si="125"/>
        <v>#VALUE!</v>
      </c>
      <c r="R308" s="44" t="str">
        <f>IF(J308&lt;&gt;"",VLOOKUP(J308,'RESUMO DR'!$B$4:$E$253,4,FALSE),"-")</f>
        <v>T-02</v>
      </c>
      <c r="S308" s="58" t="str">
        <f>IF(J308&lt;&gt;"",VLOOKUP(J308,'RESUMO DR'!$B$4:$E$253,3,FALSE),"-")</f>
        <v>ARAGUAINA</v>
      </c>
      <c r="T308" s="129"/>
      <c r="U308" s="129"/>
      <c r="V308" s="129"/>
      <c r="W308" s="128"/>
      <c r="X308" s="127"/>
      <c r="Y308" s="127"/>
      <c r="Z308" s="4"/>
    </row>
    <row r="309" spans="1:26" ht="18" customHeight="1">
      <c r="A309" s="5">
        <v>1560</v>
      </c>
      <c r="B309" s="21">
        <v>45653</v>
      </c>
      <c r="C309" s="21" t="s">
        <v>121</v>
      </c>
      <c r="D309" s="74" t="str">
        <f t="shared" si="142"/>
        <v>sex</v>
      </c>
      <c r="E309" s="169">
        <f>IF(K309&lt;&gt;"",VLOOKUP(K309,'Catálogo SAP'!$A$1:$F$245,2,FALSE),"-")</f>
        <v>130</v>
      </c>
      <c r="F309" s="225">
        <v>8704</v>
      </c>
      <c r="G309" s="225">
        <v>8704</v>
      </c>
      <c r="H309" s="226"/>
      <c r="I309" s="230">
        <v>300</v>
      </c>
      <c r="J309" s="162" t="str">
        <f t="shared" si="157"/>
        <v>SAO LUIS</v>
      </c>
      <c r="K309" s="16">
        <v>130</v>
      </c>
      <c r="L309" s="167" t="str">
        <f>IF(K309&lt;&gt;"",VLOOKUP(K309,'Catálogo SAP'!A:F,3,FALSE),"")</f>
        <v>S.VP-01438</v>
      </c>
      <c r="M309" s="162" t="str">
        <f>IF(K309&lt;&gt;"",VLOOKUP(K309,'Catálogo SAP'!A:F,4,FALSE),"")</f>
        <v>Hr Improdutiva Retroescavadeira C/Operador</v>
      </c>
      <c r="N309" s="168" t="str">
        <f>IF(K309&lt;&gt;"",VLOOKUP(K309,'Catálogo SAP'!A:F,5,FALSE),"")</f>
        <v>H</v>
      </c>
      <c r="O309" s="160">
        <v>2</v>
      </c>
      <c r="P309" s="70">
        <f t="shared" si="134"/>
        <v>0</v>
      </c>
      <c r="Q309" s="163" t="e">
        <f t="shared" si="125"/>
        <v>#VALUE!</v>
      </c>
      <c r="R309" s="44" t="str">
        <f>IF(J309&lt;&gt;"",VLOOKUP(J309,'RESUMO DR'!$B$4:$E$253,4,FALSE),"-")</f>
        <v>T-02</v>
      </c>
      <c r="S309" s="58" t="str">
        <f>IF(J309&lt;&gt;"",VLOOKUP(J309,'RESUMO DR'!$B$4:$E$253,3,FALSE),"-")</f>
        <v>ARAGUAINA</v>
      </c>
      <c r="T309" s="129"/>
      <c r="U309" s="129"/>
      <c r="V309" s="129"/>
      <c r="W309" s="128"/>
      <c r="X309" s="127"/>
      <c r="Y309" s="127"/>
      <c r="Z309" s="4"/>
    </row>
    <row r="310" spans="1:26" ht="18" customHeight="1">
      <c r="A310" s="5">
        <v>1985</v>
      </c>
      <c r="B310" s="21">
        <v>45653</v>
      </c>
      <c r="C310" s="21" t="s">
        <v>122</v>
      </c>
      <c r="D310" s="74" t="str">
        <f t="shared" si="142"/>
        <v>sex</v>
      </c>
      <c r="E310" s="169">
        <f>IF(K310&lt;&gt;"",VLOOKUP(K310,'Catálogo SAP'!$A$1:$F$245,2,FALSE),"-")</f>
        <v>120</v>
      </c>
      <c r="F310" s="225">
        <v>3823</v>
      </c>
      <c r="G310" s="225">
        <v>3831</v>
      </c>
      <c r="H310" s="226"/>
      <c r="I310" s="230">
        <v>373</v>
      </c>
      <c r="J310" s="162" t="str">
        <f t="shared" si="157"/>
        <v>ARAGUAÍNA</v>
      </c>
      <c r="K310" s="16">
        <v>120</v>
      </c>
      <c r="L310" s="167" t="str">
        <f>IF(K310&lt;&gt;"",VLOOKUP(K310,'Catálogo SAP'!A:F,3,FALSE),"")</f>
        <v>S.VP-01437</v>
      </c>
      <c r="M310" s="162" t="str">
        <f>IF(K310&lt;&gt;"",VLOOKUP(K310,'Catálogo SAP'!A:F,4,FALSE),"")</f>
        <v>Hr Produtiva Retroescavadeira C/Operador</v>
      </c>
      <c r="N310" s="168" t="str">
        <f>IF(K310&lt;&gt;"",VLOOKUP(K310,'Catálogo SAP'!A:F,5,FALSE),"")</f>
        <v>H</v>
      </c>
      <c r="O310" s="160">
        <v>8</v>
      </c>
      <c r="P310" s="70">
        <f t="shared" si="134"/>
        <v>8</v>
      </c>
      <c r="Q310" s="163" t="e">
        <f t="shared" si="125"/>
        <v>#VALUE!</v>
      </c>
      <c r="R310" s="44" t="str">
        <f>IF(J310&lt;&gt;"",VLOOKUP(J310,'RESUMO DR'!$B$4:$E$253,4,FALSE),"-")</f>
        <v>T-02</v>
      </c>
      <c r="S310" s="58" t="str">
        <f>IF(J310&lt;&gt;"",VLOOKUP(J310,'RESUMO DR'!$B$4:$E$253,3,FALSE),"-")</f>
        <v>ARAGUAINA</v>
      </c>
      <c r="T310" s="129"/>
      <c r="U310" s="129"/>
      <c r="V310" s="129"/>
      <c r="W310" s="128"/>
      <c r="X310" s="127"/>
      <c r="Y310" s="127"/>
      <c r="Z310" s="4"/>
    </row>
    <row r="311" spans="1:26" ht="18" customHeight="1">
      <c r="A311" s="5">
        <v>1986</v>
      </c>
      <c r="B311" s="21">
        <v>45653</v>
      </c>
      <c r="C311" s="21" t="s">
        <v>123</v>
      </c>
      <c r="D311" s="74" t="str">
        <f t="shared" si="142"/>
        <v>sex</v>
      </c>
      <c r="E311" s="169">
        <f>IF(K311&lt;&gt;"",VLOOKUP(K311,'Catálogo SAP'!$A$1:$F$245,2,FALSE),"-")</f>
        <v>130</v>
      </c>
      <c r="F311" s="225">
        <v>5846</v>
      </c>
      <c r="G311" s="225">
        <v>5846</v>
      </c>
      <c r="H311" s="226"/>
      <c r="I311" s="230">
        <v>574</v>
      </c>
      <c r="J311" s="162" t="str">
        <f t="shared" si="32"/>
        <v>Tupirama</v>
      </c>
      <c r="K311" s="16">
        <v>130</v>
      </c>
      <c r="L311" s="167" t="str">
        <f>IF(K311&lt;&gt;"",VLOOKUP(K311,'Catálogo SAP'!A:F,3,FALSE),"")</f>
        <v>S.VP-01438</v>
      </c>
      <c r="M311" s="162" t="str">
        <f>IF(K311&lt;&gt;"",VLOOKUP(K311,'Catálogo SAP'!A:F,4,FALSE),"")</f>
        <v>Hr Improdutiva Retroescavadeira C/Operador</v>
      </c>
      <c r="N311" s="168" t="str">
        <f>IF(K311&lt;&gt;"",VLOOKUP(K311,'Catálogo SAP'!A:F,5,FALSE),"")</f>
        <v>H</v>
      </c>
      <c r="O311" s="160">
        <v>8</v>
      </c>
      <c r="P311" s="70">
        <f t="shared" si="134"/>
        <v>0</v>
      </c>
      <c r="Q311" s="163" t="e">
        <f t="shared" si="125"/>
        <v>#VALUE!</v>
      </c>
      <c r="R311" s="44" t="str">
        <f>IF(J311&lt;&gt;"",VLOOKUP(J311,'RESUMO DR'!$B$4:$E$253,4,FALSE),"-")</f>
        <v>T-03</v>
      </c>
      <c r="S311" s="58" t="str">
        <f>IF(J311&lt;&gt;"",VLOOKUP(J311,'RESUMO DR'!$B$4:$E$253,3,FALSE),"-")</f>
        <v>PALMAS</v>
      </c>
      <c r="T311" s="129"/>
      <c r="U311" s="129"/>
      <c r="V311" s="129"/>
      <c r="W311" s="128"/>
      <c r="X311" s="127"/>
      <c r="Y311" s="127"/>
      <c r="Z311" s="4"/>
    </row>
    <row r="312" spans="1:26" ht="18" customHeight="1">
      <c r="A312" s="5"/>
      <c r="B312" s="21">
        <v>45653</v>
      </c>
      <c r="C312" s="21" t="s">
        <v>124</v>
      </c>
      <c r="D312" s="74" t="str">
        <f t="shared" si="142"/>
        <v>sex</v>
      </c>
      <c r="E312" s="169" t="str">
        <f>IF(K312&lt;&gt;"",VLOOKUP(K312,'Catálogo SAP'!$A$1:$F$245,2,FALSE),"-")</f>
        <v>-</v>
      </c>
      <c r="F312" s="225"/>
      <c r="G312" s="225"/>
      <c r="H312" s="226"/>
      <c r="I312" s="230"/>
      <c r="J312" s="162" t="str">
        <f t="shared" ref="J312" si="158">IF(AND(I312&gt;=0.001,I312&lt;=16),"AÇAILÂNDIA","")&amp;IF(AND(I312&gt;=16.001,I312&lt;=44),"S.F. BREJÃO","")&amp;IF(AND(I312&gt;=44.001,I312&lt;=78),"JOÃO LISBOA","")&amp;IF(AND(I312&gt;=78.001,I312&lt;=96.397),"IMPERATRIZ","")&amp;IF(AND(I312&gt;=96.398,I312&lt;=122.82),"EDSON LOBÃO","")&amp;IF(AND(I312&gt;=122.821,I312&lt;=152.303),"RIBAMAR FIQUENE","")&amp;IF(AND(I312&gt;=152.304,I312&lt;=172.403),"CAMPESTRE","")&amp;IF(AND(I312&gt;=172.404,I312&lt;=195),"PORTO FRANCO","")&amp;IF(AND(I312&gt;=300,I312&lt;=300),"SAO LUIS","")&amp;IF(AND(I312&gt;=385.4,I312&lt;=465.4),"Palmeirante","")&amp;IF(AND(I312&gt;=465.401,I312&lt;=520.455),"Tupiratins","")&amp;IF(AND(I312&gt;=520.456,I312&lt;=536.741),"Guaraí","")&amp;IF(AND(I312&gt;=536.742,I312&lt;=580.293),"Tupirama","")&amp;IF(AND(I312&gt;=580.294,I312&lt;=608.637),"Rio dos Bois","")&amp;IF(AND(I312&gt;=608.638,I312&lt;=698.981),"Miracema","")&amp;IF(AND(I312&gt;=698.982,I312&lt;=735.6),"Porto Nacional","")&amp;IF(AND(I312&gt;=195.1,I312&lt;=213.603),"ESTREITO","")&amp;IF(AND(I312&gt;=213.604,I312&lt;=218.976),"AGUIARNÓPOLIS","")&amp;IF(AND(I312&gt;=218.977,I312&lt;=253.5),"PALMEIRAS DO TOCANTINS","")&amp;IF(AND(I312&gt;=253.501,I312&lt;=274.15),"DARCINÓPOLIS","")&amp;IF(AND(I312&gt;=274.151,I312&lt;=299.999),"BABAÇULÂNDIA","")&amp;IF(AND(I312&gt;=356.62,I312&lt;=385.4),"ARAGUAÍNA","")&amp;IF(AND(I312&gt;=300.001,I312&lt;=356.619),"BABAÇULÂNDIA","")&amp;IF(AND(I312&gt;=900,I312&lt;=902),"ENG. VLI","")</f>
        <v/>
      </c>
      <c r="K312" s="16"/>
      <c r="L312" s="167" t="str">
        <f>IF(K312&lt;&gt;"",VLOOKUP(K312,'Catálogo SAP'!A:F,3,FALSE),"")</f>
        <v/>
      </c>
      <c r="M312" s="162" t="str">
        <f>IF(K312&lt;&gt;"",VLOOKUP(K312,'Catálogo SAP'!A:F,4,FALSE),"")</f>
        <v/>
      </c>
      <c r="N312" s="168" t="str">
        <f>IF(K312&lt;&gt;"",VLOOKUP(K312,'Catálogo SAP'!A:F,5,FALSE),"")</f>
        <v/>
      </c>
      <c r="O312" s="160"/>
      <c r="P312" s="70" t="str">
        <f t="shared" si="134"/>
        <v>-</v>
      </c>
      <c r="Q312" s="163" t="str">
        <f t="shared" si="125"/>
        <v>-</v>
      </c>
      <c r="R312" s="44" t="str">
        <f>IF(J312&lt;&gt;"",VLOOKUP(J312,'RESUMO DR'!$B$4:$E$253,4,FALSE),"-")</f>
        <v>-</v>
      </c>
      <c r="S312" s="58" t="str">
        <f>IF(J312&lt;&gt;"",VLOOKUP(J312,'RESUMO DR'!$B$4:$E$253,3,FALSE),"-")</f>
        <v>-</v>
      </c>
      <c r="T312" s="129"/>
      <c r="U312" s="129"/>
      <c r="V312" s="129"/>
      <c r="W312" s="128"/>
      <c r="X312" s="127"/>
      <c r="Y312" s="127"/>
      <c r="Z312" s="4"/>
    </row>
    <row r="313" spans="1:26" ht="18" customHeight="1">
      <c r="A313" s="5">
        <v>1989</v>
      </c>
      <c r="B313" s="21">
        <v>45653</v>
      </c>
      <c r="C313" s="21" t="s">
        <v>124</v>
      </c>
      <c r="D313" s="74" t="str">
        <f t="shared" si="142"/>
        <v>sex</v>
      </c>
      <c r="E313" s="169">
        <f>IF(K313&lt;&gt;"",VLOOKUP(K313,'Catálogo SAP'!$A$1:$F$245,2,FALSE),"-")</f>
        <v>410</v>
      </c>
      <c r="F313" s="16">
        <v>418654</v>
      </c>
      <c r="G313" s="16">
        <v>418654</v>
      </c>
      <c r="H313" s="22"/>
      <c r="I313" s="133">
        <v>91</v>
      </c>
      <c r="J313" s="162" t="str">
        <f t="shared" si="32"/>
        <v>IMPERATRIZ</v>
      </c>
      <c r="K313" s="16">
        <v>410</v>
      </c>
      <c r="L313" s="167" t="str">
        <f>IF(K313&lt;&gt;"",VLOOKUP(K313,'Catálogo SAP'!A:F,3,FALSE),"")</f>
        <v>S.VP-01462</v>
      </c>
      <c r="M313" s="162" t="str">
        <f>IF(K313&lt;&gt;"",VLOOKUP(K313,'Catálogo SAP'!A:F,4,FALSE),"")</f>
        <v>Hora Improdutiva Carreta Prancha - C/ Motorista</v>
      </c>
      <c r="N313" s="168" t="str">
        <f>IF(K313&lt;&gt;"",VLOOKUP(K313,'Catálogo SAP'!A:F,5,FALSE),"")</f>
        <v>H</v>
      </c>
      <c r="O313" s="160">
        <v>8</v>
      </c>
      <c r="P313" s="70">
        <f t="shared" si="134"/>
        <v>0</v>
      </c>
      <c r="Q313" s="163" t="e">
        <f t="shared" si="125"/>
        <v>#VALUE!</v>
      </c>
      <c r="R313" s="44" t="str">
        <f>IF(J313&lt;&gt;"",VLOOKUP(J313,'RESUMO DR'!$B$4:$E$253,4,FALSE),"-")</f>
        <v>T-01</v>
      </c>
      <c r="S313" s="58" t="str">
        <f>IF(J313&lt;&gt;"",VLOOKUP(J313,'RESUMO DR'!$B$4:$E$253,3,FALSE),"-")</f>
        <v>IMPERATRIZ</v>
      </c>
      <c r="T313" s="129"/>
      <c r="U313" s="129"/>
      <c r="V313" s="129"/>
      <c r="W313" s="128"/>
      <c r="X313" s="127"/>
      <c r="Y313" s="127"/>
      <c r="Z313" s="4"/>
    </row>
    <row r="314" spans="1:26" ht="18" customHeight="1">
      <c r="A314" s="5">
        <v>1989</v>
      </c>
      <c r="B314" s="21">
        <v>45653</v>
      </c>
      <c r="C314" s="21" t="s">
        <v>307</v>
      </c>
      <c r="D314" s="74" t="str">
        <f t="shared" si="142"/>
        <v>sex</v>
      </c>
      <c r="E314" s="169">
        <f>IF(K314&lt;&gt;"",VLOOKUP(K314,'Catálogo SAP'!$A$1:$F$245,2,FALSE),"-")</f>
        <v>210</v>
      </c>
      <c r="F314" s="16">
        <v>65677</v>
      </c>
      <c r="G314" s="16">
        <v>65677</v>
      </c>
      <c r="H314" s="22"/>
      <c r="I314" s="133">
        <v>91</v>
      </c>
      <c r="J314" s="162" t="str">
        <f t="shared" si="32"/>
        <v>IMPERATRIZ</v>
      </c>
      <c r="K314" s="16">
        <v>210</v>
      </c>
      <c r="L314" s="167" t="str">
        <f>IF(K314&lt;&gt;"",VLOOKUP(K314,'Catálogo SAP'!A:F,3,FALSE),"")</f>
        <v>S.VP-01446</v>
      </c>
      <c r="M314" s="162" t="str">
        <f>IF(K314&lt;&gt;"",VLOOKUP(K314,'Catálogo SAP'!A:F,4,FALSE),"")</f>
        <v>Hora Improdutiva Basculante - C/Motorista</v>
      </c>
      <c r="N314" s="168" t="str">
        <f>IF(K314&lt;&gt;"",VLOOKUP(K314,'Catálogo SAP'!A:F,5,FALSE),"")</f>
        <v>H</v>
      </c>
      <c r="O314" s="160">
        <v>8</v>
      </c>
      <c r="P314" s="70">
        <f t="shared" si="134"/>
        <v>0</v>
      </c>
      <c r="Q314" s="163" t="e">
        <f t="shared" ref="Q314:Q318" si="159">IF(K314="","-",N314*O314)</f>
        <v>#VALUE!</v>
      </c>
      <c r="R314" s="44" t="str">
        <f>IF(J314&lt;&gt;"",VLOOKUP(J314,'RESUMO DR'!$B$4:$E$253,4,FALSE),"-")</f>
        <v>T-01</v>
      </c>
      <c r="S314" s="58" t="str">
        <f>IF(J314&lt;&gt;"",VLOOKUP(J314,'RESUMO DR'!$B$4:$E$253,3,FALSE),"-")</f>
        <v>IMPERATRIZ</v>
      </c>
      <c r="T314" s="129"/>
      <c r="U314" s="129"/>
      <c r="V314" s="129"/>
      <c r="W314" s="128"/>
      <c r="X314" s="127"/>
      <c r="Y314" s="127"/>
      <c r="Z314" s="4"/>
    </row>
    <row r="315" spans="1:26" ht="18" customHeight="1">
      <c r="A315" s="5">
        <v>1989</v>
      </c>
      <c r="B315" s="21">
        <v>45653</v>
      </c>
      <c r="C315" s="21" t="s">
        <v>308</v>
      </c>
      <c r="D315" s="74" t="str">
        <f t="shared" ref="D315:D318" si="160">IF(B315="","-",TEXT(B315,"ddd"))</f>
        <v>sex</v>
      </c>
      <c r="E315" s="169">
        <f>IF(K315&lt;&gt;"",VLOOKUP(K315,'Catálogo SAP'!$A$1:$F$245,2,FALSE),"-")</f>
        <v>210</v>
      </c>
      <c r="F315" s="225">
        <v>65612</v>
      </c>
      <c r="G315" s="225">
        <v>65612</v>
      </c>
      <c r="H315" s="226"/>
      <c r="I315" s="230">
        <v>91</v>
      </c>
      <c r="J315" s="162" t="str">
        <f t="shared" si="32"/>
        <v>IMPERATRIZ</v>
      </c>
      <c r="K315" s="16">
        <v>210</v>
      </c>
      <c r="L315" s="167" t="str">
        <f>IF(K315&lt;&gt;"",VLOOKUP(K315,'Catálogo SAP'!A:F,3,FALSE),"")</f>
        <v>S.VP-01446</v>
      </c>
      <c r="M315" s="162" t="str">
        <f>IF(K315&lt;&gt;"",VLOOKUP(K315,'Catálogo SAP'!A:F,4,FALSE),"")</f>
        <v>Hora Improdutiva Basculante - C/Motorista</v>
      </c>
      <c r="N315" s="168" t="str">
        <f>IF(K315&lt;&gt;"",VLOOKUP(K315,'Catálogo SAP'!A:F,5,FALSE),"")</f>
        <v>H</v>
      </c>
      <c r="O315" s="160">
        <v>8</v>
      </c>
      <c r="P315" s="70">
        <f t="shared" si="134"/>
        <v>0</v>
      </c>
      <c r="Q315" s="163" t="e">
        <f t="shared" si="159"/>
        <v>#VALUE!</v>
      </c>
      <c r="R315" s="44" t="str">
        <f>IF(J315&lt;&gt;"",VLOOKUP(J315,'RESUMO DR'!$B$4:$E$253,4,FALSE),"-")</f>
        <v>T-01</v>
      </c>
      <c r="S315" s="58" t="str">
        <f>IF(J315&lt;&gt;"",VLOOKUP(J315,'RESUMO DR'!$B$4:$E$253,3,FALSE),"-")</f>
        <v>IMPERATRIZ</v>
      </c>
      <c r="T315" s="129"/>
      <c r="U315" s="129"/>
      <c r="V315" s="129"/>
      <c r="W315" s="128"/>
      <c r="X315" s="127"/>
      <c r="Y315" s="127"/>
      <c r="Z315" s="4"/>
    </row>
    <row r="316" spans="1:26" ht="18" customHeight="1">
      <c r="A316" s="5">
        <v>1984</v>
      </c>
      <c r="B316" s="21">
        <v>45653</v>
      </c>
      <c r="C316" s="21" t="s">
        <v>312</v>
      </c>
      <c r="D316" s="74" t="str">
        <f t="shared" si="160"/>
        <v>sex</v>
      </c>
      <c r="E316" s="169">
        <f>IF(K316&lt;&gt;"",VLOOKUP(K316,'Catálogo SAP'!$A$1:$F$245,2,FALSE),"-")</f>
        <v>200</v>
      </c>
      <c r="F316" s="225">
        <v>72030</v>
      </c>
      <c r="G316" s="225">
        <v>72212</v>
      </c>
      <c r="H316" s="226"/>
      <c r="I316" s="230">
        <v>376</v>
      </c>
      <c r="J316" s="162" t="str">
        <f t="shared" si="32"/>
        <v>ARAGUAÍNA</v>
      </c>
      <c r="K316" s="16">
        <v>200</v>
      </c>
      <c r="L316" s="167" t="str">
        <f>IF(K316&lt;&gt;"",VLOOKUP(K316,'Catálogo SAP'!A:F,3,FALSE),"")</f>
        <v>S.VP-01445</v>
      </c>
      <c r="M316" s="162" t="str">
        <f>IF(K316&lt;&gt;"",VLOOKUP(K316,'Catálogo SAP'!A:F,4,FALSE),"")</f>
        <v>Km Rodado Caminhão Basculante - C/Motorista</v>
      </c>
      <c r="N316" s="168" t="str">
        <f>IF(K316&lt;&gt;"",VLOOKUP(K316,'Catálogo SAP'!A:F,5,FALSE),"")</f>
        <v>KM</v>
      </c>
      <c r="O316" s="160">
        <v>182</v>
      </c>
      <c r="P316" s="70">
        <f t="shared" si="134"/>
        <v>182</v>
      </c>
      <c r="Q316" s="163" t="e">
        <f t="shared" si="159"/>
        <v>#VALUE!</v>
      </c>
      <c r="R316" s="44" t="str">
        <f>IF(J316&lt;&gt;"",VLOOKUP(J316,'RESUMO DR'!$B$4:$E$253,4,FALSE),"-")</f>
        <v>T-02</v>
      </c>
      <c r="S316" s="58" t="str">
        <f>IF(J316&lt;&gt;"",VLOOKUP(J316,'RESUMO DR'!$B$4:$E$253,3,FALSE),"-")</f>
        <v>ARAGUAINA</v>
      </c>
      <c r="T316" s="129"/>
      <c r="U316" s="129"/>
      <c r="V316" s="129"/>
      <c r="W316" s="128"/>
      <c r="X316" s="127"/>
      <c r="Y316" s="127"/>
      <c r="Z316" s="4"/>
    </row>
    <row r="317" spans="1:26" ht="18" customHeight="1">
      <c r="A317" s="5">
        <v>1989</v>
      </c>
      <c r="B317" s="21">
        <v>45653</v>
      </c>
      <c r="C317" s="21" t="s">
        <v>313</v>
      </c>
      <c r="D317" s="74" t="str">
        <f t="shared" si="160"/>
        <v>sex</v>
      </c>
      <c r="E317" s="169">
        <f>IF(K317&lt;&gt;"",VLOOKUP(K317,'Catálogo SAP'!$A$1:$F$245,2,FALSE),"-")</f>
        <v>210</v>
      </c>
      <c r="F317" s="225">
        <v>61630</v>
      </c>
      <c r="G317" s="225">
        <v>61630</v>
      </c>
      <c r="H317" s="226"/>
      <c r="I317" s="230">
        <v>91</v>
      </c>
      <c r="J317" s="162" t="str">
        <f t="shared" si="32"/>
        <v>IMPERATRIZ</v>
      </c>
      <c r="K317" s="16">
        <v>210</v>
      </c>
      <c r="L317" s="167" t="str">
        <f>IF(K317&lt;&gt;"",VLOOKUP(K317,'Catálogo SAP'!A:F,3,FALSE),"")</f>
        <v>S.VP-01446</v>
      </c>
      <c r="M317" s="162" t="str">
        <f>IF(K317&lt;&gt;"",VLOOKUP(K317,'Catálogo SAP'!A:F,4,FALSE),"")</f>
        <v>Hora Improdutiva Basculante - C/Motorista</v>
      </c>
      <c r="N317" s="168" t="str">
        <f>IF(K317&lt;&gt;"",VLOOKUP(K317,'Catálogo SAP'!A:F,5,FALSE),"")</f>
        <v>H</v>
      </c>
      <c r="O317" s="160">
        <v>8</v>
      </c>
      <c r="P317" s="70">
        <f t="shared" si="134"/>
        <v>0</v>
      </c>
      <c r="Q317" s="163" t="e">
        <f t="shared" si="159"/>
        <v>#VALUE!</v>
      </c>
      <c r="R317" s="44" t="str">
        <f>IF(J317&lt;&gt;"",VLOOKUP(J317,'RESUMO DR'!$B$4:$E$253,4,FALSE),"-")</f>
        <v>T-01</v>
      </c>
      <c r="S317" s="58" t="str">
        <f>IF(J317&lt;&gt;"",VLOOKUP(J317,'RESUMO DR'!$B$4:$E$253,3,FALSE),"-")</f>
        <v>IMPERATRIZ</v>
      </c>
      <c r="T317" s="129"/>
      <c r="U317" s="129"/>
      <c r="V317" s="129"/>
      <c r="W317" s="128"/>
      <c r="X317" s="127"/>
      <c r="Y317" s="127"/>
      <c r="Z317" s="4"/>
    </row>
    <row r="318" spans="1:26" ht="18" customHeight="1">
      <c r="A318" s="5">
        <v>1983</v>
      </c>
      <c r="B318" s="21">
        <v>45653</v>
      </c>
      <c r="C318" s="21" t="s">
        <v>127</v>
      </c>
      <c r="D318" s="74" t="str">
        <f t="shared" si="160"/>
        <v>sex</v>
      </c>
      <c r="E318" s="169">
        <f>IF(K318&lt;&gt;"",VLOOKUP(K318,'Catálogo SAP'!$A$1:$F$245,2,FALSE),"-")</f>
        <v>200</v>
      </c>
      <c r="F318" s="225">
        <v>49370</v>
      </c>
      <c r="G318" s="225">
        <v>49395</v>
      </c>
      <c r="H318" s="226"/>
      <c r="I318" s="230">
        <v>442</v>
      </c>
      <c r="J318" s="162" t="str">
        <f t="shared" si="32"/>
        <v>Palmeirante</v>
      </c>
      <c r="K318" s="16">
        <v>200</v>
      </c>
      <c r="L318" s="167" t="str">
        <f>IF(K318&lt;&gt;"",VLOOKUP(K318,'Catálogo SAP'!A:F,3,FALSE),"")</f>
        <v>S.VP-01445</v>
      </c>
      <c r="M318" s="162" t="str">
        <f>IF(K318&lt;&gt;"",VLOOKUP(K318,'Catálogo SAP'!A:F,4,FALSE),"")</f>
        <v>Km Rodado Caminhão Basculante - C/Motorista</v>
      </c>
      <c r="N318" s="168" t="str">
        <f>IF(K318&lt;&gt;"",VLOOKUP(K318,'Catálogo SAP'!A:F,5,FALSE),"")</f>
        <v>KM</v>
      </c>
      <c r="O318" s="160">
        <v>25</v>
      </c>
      <c r="P318" s="70">
        <f t="shared" si="134"/>
        <v>25</v>
      </c>
      <c r="Q318" s="163" t="e">
        <f t="shared" si="159"/>
        <v>#VALUE!</v>
      </c>
      <c r="R318" s="44" t="str">
        <f>IF(J318&lt;&gt;"",VLOOKUP(J318,'RESUMO DR'!$B$4:$E$253,4,FALSE),"-")</f>
        <v>T-02</v>
      </c>
      <c r="S318" s="58" t="str">
        <f>IF(J318&lt;&gt;"",VLOOKUP(J318,'RESUMO DR'!$B$4:$E$253,3,FALSE),"-")</f>
        <v>ARAGUAINA</v>
      </c>
      <c r="T318" s="129"/>
      <c r="U318" s="129"/>
      <c r="V318" s="129"/>
      <c r="W318" s="128"/>
      <c r="X318" s="127"/>
      <c r="Y318" s="127"/>
      <c r="Z318" s="4"/>
    </row>
    <row r="319" spans="1:26" ht="18" customHeight="1">
      <c r="A319" s="5">
        <v>1989</v>
      </c>
      <c r="B319" s="21">
        <v>45653</v>
      </c>
      <c r="C319" s="21" t="s">
        <v>314</v>
      </c>
      <c r="D319" s="74" t="str">
        <f t="shared" si="142"/>
        <v>sex</v>
      </c>
      <c r="E319" s="169">
        <f>IF(K319&lt;&gt;"",VLOOKUP(K319,'Catálogo SAP'!$A$1:$F$245,2,FALSE),"-")</f>
        <v>210</v>
      </c>
      <c r="F319" s="225">
        <v>65325</v>
      </c>
      <c r="G319" s="225">
        <v>65325</v>
      </c>
      <c r="H319" s="226"/>
      <c r="I319" s="230">
        <v>91</v>
      </c>
      <c r="J319" s="162" t="str">
        <f t="shared" ref="J319:J320" si="161">IF(AND(I319&gt;=0.001,I319&lt;=16),"AÇAILÂNDIA","")&amp;IF(AND(I319&gt;=16.001,I319&lt;=44),"S.F. BREJÃO","")&amp;IF(AND(I319&gt;=44.001,I319&lt;=78),"JOÃO LISBOA","")&amp;IF(AND(I319&gt;=78.001,I319&lt;=96.397),"IMPERATRIZ","")&amp;IF(AND(I319&gt;=96.398,I319&lt;=122.82),"EDSON LOBÃO","")&amp;IF(AND(I319&gt;=122.821,I319&lt;=152.303),"RIBAMAR FIQUENE","")&amp;IF(AND(I319&gt;=152.304,I319&lt;=172.403),"CAMPESTRE","")&amp;IF(AND(I319&gt;=172.404,I319&lt;=195),"PORTO FRANCO","")&amp;IF(AND(I319&gt;=300,I319&lt;=300),"SAO LUIS","")&amp;IF(AND(I319&gt;=385.4,I319&lt;=465.4),"Palmeirante","")&amp;IF(AND(I319&gt;=465.401,I319&lt;=520.455),"Tupiratins","")&amp;IF(AND(I319&gt;=520.456,I319&lt;=536.741),"Guaraí","")&amp;IF(AND(I319&gt;=536.742,I319&lt;=580.293),"Tupirama","")&amp;IF(AND(I319&gt;=580.294,I319&lt;=608.637),"Rio dos Bois","")&amp;IF(AND(I319&gt;=608.638,I319&lt;=698.981),"Miracema","")&amp;IF(AND(I319&gt;=698.982,I319&lt;=735.6),"Porto Nacional","")&amp;IF(AND(I319&gt;=195.1,I319&lt;=213.603),"ESTREITO","")&amp;IF(AND(I319&gt;=213.604,I319&lt;=218.976),"AGUIARNÓPOLIS","")&amp;IF(AND(I319&gt;=218.977,I319&lt;=253.5),"PALMEIRAS DO TOCANTINS","")&amp;IF(AND(I319&gt;=253.501,I319&lt;=274.15),"DARCINÓPOLIS","")&amp;IF(AND(I319&gt;=274.151,I319&lt;=299.999),"BABAÇULÂNDIA","")&amp;IF(AND(I319&gt;=356.62,I319&lt;=385.4),"ARAGUAÍNA","")&amp;IF(AND(I319&gt;=300.001,I319&lt;=356.619),"BABAÇULÂNDIA","")&amp;IF(AND(I319&gt;=900,I319&lt;=902),"ENG. VLI","")</f>
        <v>IMPERATRIZ</v>
      </c>
      <c r="K319" s="16">
        <v>210</v>
      </c>
      <c r="L319" s="167" t="str">
        <f>IF(K319&lt;&gt;"",VLOOKUP(K319,'Catálogo SAP'!A:F,3,FALSE),"")</f>
        <v>S.VP-01446</v>
      </c>
      <c r="M319" s="162" t="str">
        <f>IF(K319&lt;&gt;"",VLOOKUP(K319,'Catálogo SAP'!A:F,4,FALSE),"")</f>
        <v>Hora Improdutiva Basculante - C/Motorista</v>
      </c>
      <c r="N319" s="168" t="str">
        <f>IF(K319&lt;&gt;"",VLOOKUP(K319,'Catálogo SAP'!A:F,5,FALSE),"")</f>
        <v>H</v>
      </c>
      <c r="O319" s="160">
        <v>8</v>
      </c>
      <c r="P319" s="70">
        <f t="shared" si="134"/>
        <v>0</v>
      </c>
      <c r="Q319" s="163" t="e">
        <f t="shared" si="125"/>
        <v>#VALUE!</v>
      </c>
      <c r="R319" s="44" t="str">
        <f>IF(J319&lt;&gt;"",VLOOKUP(J319,'RESUMO DR'!$B$4:$E$253,4,FALSE),"-")</f>
        <v>T-01</v>
      </c>
      <c r="S319" s="58" t="str">
        <f>IF(J319&lt;&gt;"",VLOOKUP(J319,'RESUMO DR'!$B$4:$E$253,3,FALSE),"-")</f>
        <v>IMPERATRIZ</v>
      </c>
      <c r="T319" s="129"/>
      <c r="U319" s="129"/>
      <c r="V319" s="129"/>
      <c r="W319" s="128"/>
      <c r="X319" s="127"/>
      <c r="Y319" s="127"/>
      <c r="Z319" s="4"/>
    </row>
    <row r="320" spans="1:26" ht="18" customHeight="1">
      <c r="A320" s="5"/>
      <c r="B320" s="21">
        <v>45653</v>
      </c>
      <c r="C320" s="21" t="s">
        <v>128</v>
      </c>
      <c r="D320" s="74" t="str">
        <f t="shared" si="142"/>
        <v>sex</v>
      </c>
      <c r="E320" s="169" t="str">
        <f>IF(K320&lt;&gt;"",VLOOKUP(K320,'Catálogo SAP'!$A$1:$F$245,2,FALSE),"-")</f>
        <v>-</v>
      </c>
      <c r="F320" s="16"/>
      <c r="G320" s="16"/>
      <c r="H320" s="22"/>
      <c r="I320" s="133"/>
      <c r="J320" s="162" t="str">
        <f t="shared" si="161"/>
        <v/>
      </c>
      <c r="K320" s="16"/>
      <c r="L320" s="167" t="str">
        <f>IF(K320&lt;&gt;"",VLOOKUP(K320,'Catálogo SAP'!A:F,3,FALSE),"")</f>
        <v/>
      </c>
      <c r="M320" s="162" t="str">
        <f>IF(K320&lt;&gt;"",VLOOKUP(K320,'Catálogo SAP'!A:F,4,FALSE),"")</f>
        <v/>
      </c>
      <c r="N320" s="168" t="str">
        <f>IF(K320&lt;&gt;"",VLOOKUP(K320,'Catálogo SAP'!A:F,5,FALSE),"")</f>
        <v/>
      </c>
      <c r="O320" s="160"/>
      <c r="P320" s="70" t="str">
        <f t="shared" si="134"/>
        <v>-</v>
      </c>
      <c r="Q320" s="163" t="str">
        <f t="shared" si="125"/>
        <v>-</v>
      </c>
      <c r="R320" s="44" t="str">
        <f>IF(J320&lt;&gt;"",VLOOKUP(J320,'RESUMO DR'!$B$4:$E$253,4,FALSE),"-")</f>
        <v>-</v>
      </c>
      <c r="S320" s="58" t="str">
        <f>IF(J320&lt;&gt;"",VLOOKUP(J320,'RESUMO DR'!$B$4:$E$253,3,FALSE),"-")</f>
        <v>-</v>
      </c>
      <c r="T320" s="129"/>
      <c r="U320" s="129"/>
      <c r="V320" s="129"/>
      <c r="W320" s="128"/>
      <c r="X320" s="127"/>
      <c r="Y320" s="127"/>
      <c r="Z320" s="4"/>
    </row>
    <row r="321" spans="1:26" ht="18" customHeight="1">
      <c r="A321" s="5">
        <v>1986</v>
      </c>
      <c r="B321" s="21">
        <v>45653</v>
      </c>
      <c r="C321" s="21" t="s">
        <v>129</v>
      </c>
      <c r="D321" s="74" t="str">
        <f t="shared" si="142"/>
        <v>sex</v>
      </c>
      <c r="E321" s="169">
        <f>IF(K321&lt;&gt;"",VLOOKUP(K321,'Catálogo SAP'!$A$1:$F$245,2,FALSE),"-")</f>
        <v>210</v>
      </c>
      <c r="F321" s="225">
        <v>80799</v>
      </c>
      <c r="G321" s="225">
        <v>80799</v>
      </c>
      <c r="H321" s="226"/>
      <c r="I321" s="230">
        <v>574</v>
      </c>
      <c r="J321" s="162" t="str">
        <f t="shared" si="32"/>
        <v>Tupirama</v>
      </c>
      <c r="K321" s="16">
        <v>210</v>
      </c>
      <c r="L321" s="167" t="str">
        <f>IF(K321&lt;&gt;"",VLOOKUP(K321,'Catálogo SAP'!A:F,3,FALSE),"")</f>
        <v>S.VP-01446</v>
      </c>
      <c r="M321" s="162" t="str">
        <f>IF(K321&lt;&gt;"",VLOOKUP(K321,'Catálogo SAP'!A:F,4,FALSE),"")</f>
        <v>Hora Improdutiva Basculante - C/Motorista</v>
      </c>
      <c r="N321" s="168" t="str">
        <f>IF(K321&lt;&gt;"",VLOOKUP(K321,'Catálogo SAP'!A:F,5,FALSE),"")</f>
        <v>H</v>
      </c>
      <c r="O321" s="160">
        <v>8</v>
      </c>
      <c r="P321" s="70">
        <f t="shared" si="134"/>
        <v>0</v>
      </c>
      <c r="Q321" s="163" t="e">
        <f t="shared" si="125"/>
        <v>#VALUE!</v>
      </c>
      <c r="R321" s="44" t="str">
        <f>IF(J321&lt;&gt;"",VLOOKUP(J321,'RESUMO DR'!$B$4:$E$253,4,FALSE),"-")</f>
        <v>T-03</v>
      </c>
      <c r="S321" s="58" t="str">
        <f>IF(J321&lt;&gt;"",VLOOKUP(J321,'RESUMO DR'!$B$4:$E$253,3,FALSE),"-")</f>
        <v>PALMAS</v>
      </c>
      <c r="T321" s="129"/>
      <c r="U321" s="129"/>
      <c r="V321" s="129"/>
      <c r="W321" s="128"/>
      <c r="X321" s="127"/>
      <c r="Y321" s="127"/>
      <c r="Z321" s="4"/>
    </row>
    <row r="322" spans="1:26" ht="18" customHeight="1">
      <c r="A322" s="5">
        <v>1991</v>
      </c>
      <c r="B322" s="21">
        <v>45653</v>
      </c>
      <c r="C322" s="21" t="s">
        <v>298</v>
      </c>
      <c r="D322" s="74" t="str">
        <f t="shared" si="142"/>
        <v>sex</v>
      </c>
      <c r="E322" s="169">
        <f>IF(K322&lt;&gt;"",VLOOKUP(K322,'Catálogo SAP'!$A$1:$F$245,2,FALSE),"-")</f>
        <v>170</v>
      </c>
      <c r="F322" s="225">
        <v>548</v>
      </c>
      <c r="G322" s="225">
        <v>548</v>
      </c>
      <c r="H322" s="226"/>
      <c r="I322" s="230">
        <v>147</v>
      </c>
      <c r="J322" s="162" t="str">
        <f t="shared" ref="J322:J325" si="162">IF(AND(I322&gt;=0.001,I322&lt;=16),"AÇAILÂNDIA","")&amp;IF(AND(I322&gt;=16.001,I322&lt;=44),"S.F. BREJÃO","")&amp;IF(AND(I322&gt;=44.001,I322&lt;=78),"JOÃO LISBOA","")&amp;IF(AND(I322&gt;=78.001,I322&lt;=96.397),"IMPERATRIZ","")&amp;IF(AND(I322&gt;=96.398,I322&lt;=122.82),"EDSON LOBÃO","")&amp;IF(AND(I322&gt;=122.821,I322&lt;=152.303),"RIBAMAR FIQUENE","")&amp;IF(AND(I322&gt;=152.304,I322&lt;=172.403),"CAMPESTRE","")&amp;IF(AND(I322&gt;=172.404,I322&lt;=195),"PORTO FRANCO","")&amp;IF(AND(I322&gt;=300,I322&lt;=300),"SAO LUIS","")&amp;IF(AND(I322&gt;=385.4,I322&lt;=465.4),"Palmeirante","")&amp;IF(AND(I322&gt;=465.401,I322&lt;=520.455),"Tupiratins","")&amp;IF(AND(I322&gt;=520.456,I322&lt;=536.741),"Guaraí","")&amp;IF(AND(I322&gt;=536.742,I322&lt;=580.293),"Tupirama","")&amp;IF(AND(I322&gt;=580.294,I322&lt;=608.637),"Rio dos Bois","")&amp;IF(AND(I322&gt;=608.638,I322&lt;=698.981),"Miracema","")&amp;IF(AND(I322&gt;=698.982,I322&lt;=735.6),"Porto Nacional","")&amp;IF(AND(I322&gt;=195.1,I322&lt;=213.603),"ESTREITO","")&amp;IF(AND(I322&gt;=213.604,I322&lt;=218.976),"AGUIARNÓPOLIS","")&amp;IF(AND(I322&gt;=218.977,I322&lt;=253.5),"PALMEIRAS DO TOCANTINS","")&amp;IF(AND(I322&gt;=253.501,I322&lt;=274.15),"DARCINÓPOLIS","")&amp;IF(AND(I322&gt;=274.151,I322&lt;=299.999),"BABAÇULÂNDIA","")&amp;IF(AND(I322&gt;=356.62,I322&lt;=385.4),"ARAGUAÍNA","")&amp;IF(AND(I322&gt;=300.001,I322&lt;=356.619),"BABAÇULÂNDIA","")&amp;IF(AND(I322&gt;=900,I322&lt;=902),"ENG. VLI","")</f>
        <v>RIBAMAR FIQUENE</v>
      </c>
      <c r="K322" s="16">
        <v>170</v>
      </c>
      <c r="L322" s="167" t="str">
        <f>IF(K322&lt;&gt;"",VLOOKUP(K322,'Catálogo SAP'!A:F,3,FALSE),"")</f>
        <v>S.VP-01442</v>
      </c>
      <c r="M322" s="162" t="str">
        <f>IF(K322&lt;&gt;"",VLOOKUP(K322,'Catálogo SAP'!A:F,4,FALSE),"")</f>
        <v>Hora Improdutiva Pa Carregadeira C/Operador</v>
      </c>
      <c r="N322" s="168" t="str">
        <f>IF(K322&lt;&gt;"",VLOOKUP(K322,'Catálogo SAP'!A:F,5,FALSE),"")</f>
        <v>H</v>
      </c>
      <c r="O322" s="160">
        <v>8</v>
      </c>
      <c r="P322" s="70">
        <f t="shared" si="134"/>
        <v>0</v>
      </c>
      <c r="Q322" s="163" t="e">
        <f t="shared" si="125"/>
        <v>#VALUE!</v>
      </c>
      <c r="R322" s="44" t="str">
        <f>IF(J322&lt;&gt;"",VLOOKUP(J322,'RESUMO DR'!$B$4:$E$253,4,FALSE),"-")</f>
        <v>T-01</v>
      </c>
      <c r="S322" s="58" t="str">
        <f>IF(J322&lt;&gt;"",VLOOKUP(J322,'RESUMO DR'!$B$4:$E$253,3,FALSE),"-")</f>
        <v>IMPERATRIZ</v>
      </c>
      <c r="T322" s="129"/>
      <c r="U322" s="129"/>
      <c r="V322" s="129"/>
      <c r="W322" s="128"/>
      <c r="X322" s="127"/>
      <c r="Y322" s="127"/>
      <c r="Z322" s="4"/>
    </row>
    <row r="323" spans="1:26" ht="18" customHeight="1">
      <c r="A323" s="5">
        <v>1990</v>
      </c>
      <c r="B323" s="21">
        <v>45653</v>
      </c>
      <c r="C323" s="21" t="s">
        <v>131</v>
      </c>
      <c r="D323" s="74" t="str">
        <f t="shared" si="142"/>
        <v>sex</v>
      </c>
      <c r="E323" s="169">
        <f>IF(K323&lt;&gt;"",VLOOKUP(K323,'Catálogo SAP'!$A$1:$F$245,2,FALSE),"-")</f>
        <v>530</v>
      </c>
      <c r="F323" s="225">
        <v>10577</v>
      </c>
      <c r="G323" s="225">
        <v>10577</v>
      </c>
      <c r="H323" s="226"/>
      <c r="I323" s="230">
        <v>195</v>
      </c>
      <c r="J323" s="162" t="str">
        <f t="shared" si="162"/>
        <v>PORTO FRANCO</v>
      </c>
      <c r="K323" s="16">
        <v>530</v>
      </c>
      <c r="L323" s="167" t="str">
        <f>IF(K323&lt;&gt;"",VLOOKUP(K323,'Catálogo SAP'!A:F,3,FALSE),"")</f>
        <v>S.VP-01470</v>
      </c>
      <c r="M323" s="162" t="str">
        <f>IF(K323&lt;&gt;"",VLOOKUP(K323,'Catálogo SAP'!A:F,4,FALSE),"")</f>
        <v>Hora Improdutiva Escavadeira Hidraulica</v>
      </c>
      <c r="N323" s="168" t="str">
        <f>IF(K323&lt;&gt;"",VLOOKUP(K323,'Catálogo SAP'!A:F,5,FALSE),"")</f>
        <v>H</v>
      </c>
      <c r="O323" s="160">
        <v>8</v>
      </c>
      <c r="P323" s="70">
        <f t="shared" si="134"/>
        <v>0</v>
      </c>
      <c r="Q323" s="163" t="e">
        <f t="shared" si="125"/>
        <v>#VALUE!</v>
      </c>
      <c r="R323" s="44" t="str">
        <f>IF(J323&lt;&gt;"",VLOOKUP(J323,'RESUMO DR'!$B$4:$E$253,4,FALSE),"-")</f>
        <v>T-01</v>
      </c>
      <c r="S323" s="58" t="str">
        <f>IF(J323&lt;&gt;"",VLOOKUP(J323,'RESUMO DR'!$B$4:$E$253,3,FALSE),"-")</f>
        <v>IMPERATRIZ</v>
      </c>
      <c r="T323" s="129"/>
      <c r="U323" s="129"/>
      <c r="V323" s="129"/>
      <c r="W323" s="128"/>
      <c r="X323" s="127"/>
      <c r="Y323" s="127"/>
      <c r="Z323" s="4"/>
    </row>
    <row r="324" spans="1:26" ht="18" customHeight="1">
      <c r="A324" s="5"/>
      <c r="B324" s="21">
        <v>45653</v>
      </c>
      <c r="C324" s="21" t="s">
        <v>131</v>
      </c>
      <c r="D324" s="74" t="str">
        <f t="shared" si="142"/>
        <v>sex</v>
      </c>
      <c r="E324" s="169" t="str">
        <f>IF(K324&lt;&gt;"",VLOOKUP(K324,'Catálogo SAP'!$A$1:$F$245,2,FALSE),"-")</f>
        <v>-</v>
      </c>
      <c r="F324" s="225"/>
      <c r="G324" s="225"/>
      <c r="H324" s="226"/>
      <c r="I324" s="230"/>
      <c r="J324" s="162" t="str">
        <f t="shared" si="162"/>
        <v/>
      </c>
      <c r="K324" s="16"/>
      <c r="L324" s="167" t="str">
        <f>IF(K324&lt;&gt;"",VLOOKUP(K324,'Catálogo SAP'!A:F,3,FALSE),"")</f>
        <v/>
      </c>
      <c r="M324" s="162" t="str">
        <f>IF(K324&lt;&gt;"",VLOOKUP(K324,'Catálogo SAP'!A:F,4,FALSE),"")</f>
        <v/>
      </c>
      <c r="N324" s="168" t="str">
        <f>IF(K324&lt;&gt;"",VLOOKUP(K324,'Catálogo SAP'!A:F,5,FALSE),"")</f>
        <v/>
      </c>
      <c r="O324" s="160"/>
      <c r="P324" s="70" t="str">
        <f t="shared" si="134"/>
        <v>-</v>
      </c>
      <c r="Q324" s="163" t="str">
        <f t="shared" si="125"/>
        <v>-</v>
      </c>
      <c r="R324" s="44" t="str">
        <f>IF(J324&lt;&gt;"",VLOOKUP(J324,'RESUMO DR'!$B$4:$E$253,4,FALSE),"-")</f>
        <v>-</v>
      </c>
      <c r="S324" s="58" t="str">
        <f>IF(J324&lt;&gt;"",VLOOKUP(J324,'RESUMO DR'!$B$4:$E$253,3,FALSE),"-")</f>
        <v>-</v>
      </c>
      <c r="T324" s="129"/>
      <c r="U324" s="129"/>
      <c r="V324" s="129"/>
      <c r="W324" s="128"/>
      <c r="X324" s="127"/>
      <c r="Y324" s="127"/>
      <c r="Z324" s="4"/>
    </row>
    <row r="325" spans="1:26" ht="18" customHeight="1">
      <c r="A325" s="5">
        <v>1983</v>
      </c>
      <c r="B325" s="21">
        <v>45653</v>
      </c>
      <c r="C325" s="21" t="s">
        <v>311</v>
      </c>
      <c r="D325" s="74" t="str">
        <f t="shared" si="142"/>
        <v>sex</v>
      </c>
      <c r="E325" s="169">
        <f>IF(K325&lt;&gt;"",VLOOKUP(K325,'Catálogo SAP'!$A$1:$F$245,2,FALSE),"-")</f>
        <v>120</v>
      </c>
      <c r="F325" s="225">
        <v>1150</v>
      </c>
      <c r="G325" s="225">
        <v>1154</v>
      </c>
      <c r="H325" s="226"/>
      <c r="I325" s="230">
        <v>442</v>
      </c>
      <c r="J325" s="162" t="str">
        <f t="shared" si="162"/>
        <v>Palmeirante</v>
      </c>
      <c r="K325" s="16">
        <v>120</v>
      </c>
      <c r="L325" s="167" t="str">
        <f>IF(K325&lt;&gt;"",VLOOKUP(K325,'Catálogo SAP'!A:F,3,FALSE),"")</f>
        <v>S.VP-01437</v>
      </c>
      <c r="M325" s="162" t="str">
        <f>IF(K325&lt;&gt;"",VLOOKUP(K325,'Catálogo SAP'!A:F,4,FALSE),"")</f>
        <v>Hr Produtiva Retroescavadeira C/Operador</v>
      </c>
      <c r="N325" s="168" t="str">
        <f>IF(K325&lt;&gt;"",VLOOKUP(K325,'Catálogo SAP'!A:F,5,FALSE),"")</f>
        <v>H</v>
      </c>
      <c r="O325" s="160">
        <v>4</v>
      </c>
      <c r="P325" s="70">
        <f t="shared" si="134"/>
        <v>4</v>
      </c>
      <c r="Q325" s="163" t="e">
        <f t="shared" si="125"/>
        <v>#VALUE!</v>
      </c>
      <c r="R325" s="44" t="str">
        <f>IF(J325&lt;&gt;"",VLOOKUP(J325,'RESUMO DR'!$B$4:$E$253,4,FALSE),"-")</f>
        <v>T-02</v>
      </c>
      <c r="S325" s="58" t="str">
        <f>IF(J325&lt;&gt;"",VLOOKUP(J325,'RESUMO DR'!$B$4:$E$253,3,FALSE),"-")</f>
        <v>ARAGUAINA</v>
      </c>
      <c r="T325" s="129"/>
      <c r="U325" s="129"/>
      <c r="V325" s="129"/>
      <c r="W325" s="128"/>
      <c r="X325" s="127"/>
      <c r="Y325" s="127"/>
      <c r="Z325" s="4"/>
    </row>
    <row r="326" spans="1:26" ht="18" customHeight="1">
      <c r="A326" s="5">
        <v>1983</v>
      </c>
      <c r="B326" s="21">
        <v>45653</v>
      </c>
      <c r="C326" s="21" t="s">
        <v>311</v>
      </c>
      <c r="D326" s="74" t="str">
        <f t="shared" si="142"/>
        <v>sex</v>
      </c>
      <c r="E326" s="169">
        <f>IF(K326&lt;&gt;"",VLOOKUP(K326,'Catálogo SAP'!$A$1:$F$245,2,FALSE),"-")</f>
        <v>130</v>
      </c>
      <c r="F326" s="225">
        <v>1156</v>
      </c>
      <c r="G326" s="225">
        <v>1156</v>
      </c>
      <c r="H326" s="226"/>
      <c r="I326" s="230">
        <v>442</v>
      </c>
      <c r="J326" s="162" t="str">
        <f t="shared" si="32"/>
        <v>Palmeirante</v>
      </c>
      <c r="K326" s="16">
        <v>130</v>
      </c>
      <c r="L326" s="167" t="str">
        <f>IF(K326&lt;&gt;"",VLOOKUP(K326,'Catálogo SAP'!A:F,3,FALSE),"")</f>
        <v>S.VP-01438</v>
      </c>
      <c r="M326" s="162" t="str">
        <f>IF(K326&lt;&gt;"",VLOOKUP(K326,'Catálogo SAP'!A:F,4,FALSE),"")</f>
        <v>Hr Improdutiva Retroescavadeira C/Operador</v>
      </c>
      <c r="N326" s="168" t="str">
        <f>IF(K326&lt;&gt;"",VLOOKUP(K326,'Catálogo SAP'!A:F,5,FALSE),"")</f>
        <v>H</v>
      </c>
      <c r="O326" s="160">
        <v>2</v>
      </c>
      <c r="P326" s="70">
        <f t="shared" ref="P326:P389" si="163">IF(G326="","-",G326-F326)</f>
        <v>0</v>
      </c>
      <c r="Q326" s="163" t="e">
        <f t="shared" si="125"/>
        <v>#VALUE!</v>
      </c>
      <c r="R326" s="44" t="str">
        <f>IF(J326&lt;&gt;"",VLOOKUP(J326,'RESUMO DR'!$B$4:$E$253,4,FALSE),"-")</f>
        <v>T-02</v>
      </c>
      <c r="S326" s="58" t="str">
        <f>IF(J326&lt;&gt;"",VLOOKUP(J326,'RESUMO DR'!$B$4:$E$253,3,FALSE),"-")</f>
        <v>ARAGUAINA</v>
      </c>
      <c r="T326" s="129"/>
      <c r="U326" s="129"/>
      <c r="V326" s="129"/>
      <c r="W326" s="128"/>
      <c r="X326" s="127"/>
      <c r="Y326" s="127"/>
      <c r="Z326" s="4"/>
    </row>
    <row r="327" spans="1:26" ht="18" customHeight="1">
      <c r="A327" s="5">
        <v>1983</v>
      </c>
      <c r="B327" s="21">
        <v>45653</v>
      </c>
      <c r="C327" s="21" t="s">
        <v>305</v>
      </c>
      <c r="D327" s="74" t="str">
        <f t="shared" si="142"/>
        <v>sex</v>
      </c>
      <c r="E327" s="169">
        <f>IF(K327&lt;&gt;"",VLOOKUP(K327,'Catálogo SAP'!$A$1:$F$245,2,FALSE),"-")</f>
        <v>280</v>
      </c>
      <c r="F327" s="225">
        <v>199</v>
      </c>
      <c r="G327" s="16">
        <v>203</v>
      </c>
      <c r="H327" s="226"/>
      <c r="I327" s="230">
        <v>442</v>
      </c>
      <c r="J327" s="162" t="str">
        <f t="shared" ref="J327:J331" si="164">IF(AND(I327&gt;=0.001,I327&lt;=16),"AÇAILÂNDIA","")&amp;IF(AND(I327&gt;=16.001,I327&lt;=44),"S.F. BREJÃO","")&amp;IF(AND(I327&gt;=44.001,I327&lt;=78),"JOÃO LISBOA","")&amp;IF(AND(I327&gt;=78.001,I327&lt;=96.397),"IMPERATRIZ","")&amp;IF(AND(I327&gt;=96.398,I327&lt;=122.82),"EDSON LOBÃO","")&amp;IF(AND(I327&gt;=122.821,I327&lt;=152.303),"RIBAMAR FIQUENE","")&amp;IF(AND(I327&gt;=152.304,I327&lt;=172.403),"CAMPESTRE","")&amp;IF(AND(I327&gt;=172.404,I327&lt;=195),"PORTO FRANCO","")&amp;IF(AND(I327&gt;=300,I327&lt;=300),"SAO LUIS","")&amp;IF(AND(I327&gt;=385.4,I327&lt;=465.4),"Palmeirante","")&amp;IF(AND(I327&gt;=465.401,I327&lt;=520.455),"Tupiratins","")&amp;IF(AND(I327&gt;=520.456,I327&lt;=536.741),"Guaraí","")&amp;IF(AND(I327&gt;=536.742,I327&lt;=580.293),"Tupirama","")&amp;IF(AND(I327&gt;=580.294,I327&lt;=608.637),"Rio dos Bois","")&amp;IF(AND(I327&gt;=608.638,I327&lt;=698.981),"Miracema","")&amp;IF(AND(I327&gt;=698.982,I327&lt;=735.6),"Porto Nacional","")&amp;IF(AND(I327&gt;=195.1,I327&lt;=213.603),"ESTREITO","")&amp;IF(AND(I327&gt;=213.604,I327&lt;=218.976),"AGUIARNÓPOLIS","")&amp;IF(AND(I327&gt;=218.977,I327&lt;=253.5),"PALMEIRAS DO TOCANTINS","")&amp;IF(AND(I327&gt;=253.501,I327&lt;=274.15),"DARCINÓPOLIS","")&amp;IF(AND(I327&gt;=274.151,I327&lt;=299.999),"BABAÇULÂNDIA","")&amp;IF(AND(I327&gt;=356.62,I327&lt;=385.4),"ARAGUAÍNA","")&amp;IF(AND(I327&gt;=300.001,I327&lt;=356.619),"BABAÇULÂNDIA","")&amp;IF(AND(I327&gt;=900,I327&lt;=902),"ENG. VLI","")</f>
        <v>Palmeirante</v>
      </c>
      <c r="K327" s="16">
        <v>280</v>
      </c>
      <c r="L327" s="167" t="str">
        <f>IF(K327&lt;&gt;"",VLOOKUP(K327,'Catálogo SAP'!A:F,3,FALSE),"")</f>
        <v>S.VP-01453</v>
      </c>
      <c r="M327" s="162" t="str">
        <f>IF(K327&lt;&gt;"",VLOOKUP(K327,'Catálogo SAP'!A:F,4,FALSE),"")</f>
        <v>Hora Produtiva Motoniveladora C/Operador</v>
      </c>
      <c r="N327" s="168" t="str">
        <f>IF(K327&lt;&gt;"",VLOOKUP(K327,'Catálogo SAP'!A:F,5,FALSE),"")</f>
        <v>H</v>
      </c>
      <c r="O327" s="160">
        <v>4</v>
      </c>
      <c r="P327" s="70">
        <f t="shared" si="163"/>
        <v>4</v>
      </c>
      <c r="Q327" s="163" t="e">
        <f t="shared" si="125"/>
        <v>#VALUE!</v>
      </c>
      <c r="R327" s="44" t="str">
        <f>IF(J327&lt;&gt;"",VLOOKUP(J327,'RESUMO DR'!$B$4:$E$253,4,FALSE),"-")</f>
        <v>T-02</v>
      </c>
      <c r="S327" s="58" t="str">
        <f>IF(J327&lt;&gt;"",VLOOKUP(J327,'RESUMO DR'!$B$4:$E$253,3,FALSE),"-")</f>
        <v>ARAGUAINA</v>
      </c>
      <c r="T327" s="129"/>
      <c r="U327" s="129"/>
      <c r="V327" s="129"/>
      <c r="W327" s="128"/>
      <c r="X327" s="127"/>
      <c r="Y327" s="127"/>
      <c r="Z327" s="4"/>
    </row>
    <row r="328" spans="1:26" ht="18" customHeight="1">
      <c r="A328" s="5">
        <v>1983</v>
      </c>
      <c r="B328" s="21">
        <v>45653</v>
      </c>
      <c r="C328" s="21" t="s">
        <v>305</v>
      </c>
      <c r="D328" s="74" t="str">
        <f t="shared" si="142"/>
        <v>sex</v>
      </c>
      <c r="E328" s="169">
        <f>IF(K328&lt;&gt;"",VLOOKUP(K328,'Catálogo SAP'!$A$1:$F$245,2,FALSE),"-")</f>
        <v>290</v>
      </c>
      <c r="F328" s="16">
        <v>203</v>
      </c>
      <c r="G328" s="16">
        <v>203</v>
      </c>
      <c r="H328" s="22"/>
      <c r="I328" s="133">
        <v>442</v>
      </c>
      <c r="J328" s="162" t="str">
        <f t="shared" si="164"/>
        <v>Palmeirante</v>
      </c>
      <c r="K328" s="16">
        <v>290</v>
      </c>
      <c r="L328" s="167" t="str">
        <f>IF(K328&lt;&gt;"",VLOOKUP(K328,'Catálogo SAP'!A:F,3,FALSE),"")</f>
        <v>S.VP-01454</v>
      </c>
      <c r="M328" s="162" t="str">
        <f>IF(K328&lt;&gt;"",VLOOKUP(K328,'Catálogo SAP'!A:F,4,FALSE),"")</f>
        <v>Hora Improdutiva Motoniveladora C/Operador</v>
      </c>
      <c r="N328" s="168" t="str">
        <f>IF(K328&lt;&gt;"",VLOOKUP(K328,'Catálogo SAP'!A:F,5,FALSE),"")</f>
        <v>H</v>
      </c>
      <c r="O328" s="160">
        <v>2</v>
      </c>
      <c r="P328" s="70">
        <f t="shared" si="163"/>
        <v>0</v>
      </c>
      <c r="Q328" s="163" t="e">
        <f t="shared" ref="Q328:Q331" si="165">IF(K328="","-",N328*O328)</f>
        <v>#VALUE!</v>
      </c>
      <c r="R328" s="44" t="str">
        <f>IF(J328&lt;&gt;"",VLOOKUP(J328,'RESUMO DR'!$B$4:$E$253,4,FALSE),"-")</f>
        <v>T-02</v>
      </c>
      <c r="S328" s="58" t="str">
        <f>IF(J328&lt;&gt;"",VLOOKUP(J328,'RESUMO DR'!$B$4:$E$253,3,FALSE),"-")</f>
        <v>ARAGUAINA</v>
      </c>
      <c r="T328" s="129"/>
      <c r="U328" s="129"/>
      <c r="V328" s="129"/>
      <c r="W328" s="128"/>
      <c r="X328" s="127"/>
      <c r="Y328" s="127"/>
      <c r="Z328" s="4"/>
    </row>
    <row r="329" spans="1:26" ht="18" customHeight="1">
      <c r="A329" s="5">
        <v>1988</v>
      </c>
      <c r="B329" s="21">
        <v>45653</v>
      </c>
      <c r="C329" s="21" t="s">
        <v>299</v>
      </c>
      <c r="D329" s="74" t="str">
        <f t="shared" si="142"/>
        <v>sex</v>
      </c>
      <c r="E329" s="169">
        <f>IF(K329&lt;&gt;"",VLOOKUP(K329,'Catálogo SAP'!$A$1:$F$245,2,FALSE),"-")</f>
        <v>170</v>
      </c>
      <c r="F329" s="225">
        <v>137</v>
      </c>
      <c r="G329" s="225">
        <v>137</v>
      </c>
      <c r="H329" s="226"/>
      <c r="I329" s="230">
        <v>563</v>
      </c>
      <c r="J329" s="162" t="str">
        <f t="shared" si="164"/>
        <v>Tupirama</v>
      </c>
      <c r="K329" s="16">
        <v>170</v>
      </c>
      <c r="L329" s="167" t="str">
        <f>IF(K329&lt;&gt;"",VLOOKUP(K329,'Catálogo SAP'!A:F,3,FALSE),"")</f>
        <v>S.VP-01442</v>
      </c>
      <c r="M329" s="162" t="str">
        <f>IF(K329&lt;&gt;"",VLOOKUP(K329,'Catálogo SAP'!A:F,4,FALSE),"")</f>
        <v>Hora Improdutiva Pa Carregadeira C/Operador</v>
      </c>
      <c r="N329" s="168" t="str">
        <f>IF(K329&lt;&gt;"",VLOOKUP(K329,'Catálogo SAP'!A:F,5,FALSE),"")</f>
        <v>H</v>
      </c>
      <c r="O329" s="160">
        <v>8</v>
      </c>
      <c r="P329" s="70">
        <f t="shared" si="163"/>
        <v>0</v>
      </c>
      <c r="Q329" s="163" t="e">
        <f t="shared" si="165"/>
        <v>#VALUE!</v>
      </c>
      <c r="R329" s="44" t="str">
        <f>IF(J329&lt;&gt;"",VLOOKUP(J329,'RESUMO DR'!$B$4:$E$253,4,FALSE),"-")</f>
        <v>T-03</v>
      </c>
      <c r="S329" s="58" t="str">
        <f>IF(J329&lt;&gt;"",VLOOKUP(J329,'RESUMO DR'!$B$4:$E$253,3,FALSE),"-")</f>
        <v>PALMAS</v>
      </c>
      <c r="T329" s="129"/>
      <c r="U329" s="129"/>
      <c r="V329" s="129"/>
      <c r="W329" s="128"/>
      <c r="X329" s="127"/>
      <c r="Y329" s="127"/>
      <c r="Z329" s="4"/>
    </row>
    <row r="330" spans="1:26" ht="18" customHeight="1">
      <c r="A330" s="5"/>
      <c r="B330" s="21">
        <v>45653</v>
      </c>
      <c r="C330" s="21" t="s">
        <v>299</v>
      </c>
      <c r="D330" s="74" t="str">
        <f t="shared" si="142"/>
        <v>sex</v>
      </c>
      <c r="E330" s="169" t="str">
        <f>IF(K330&lt;&gt;"",VLOOKUP(K330,'Catálogo SAP'!$A$1:$F$245,2,FALSE),"-")</f>
        <v>-</v>
      </c>
      <c r="F330" s="225"/>
      <c r="G330" s="225"/>
      <c r="H330" s="226"/>
      <c r="I330" s="230"/>
      <c r="J330" s="162" t="str">
        <f t="shared" si="164"/>
        <v/>
      </c>
      <c r="K330" s="16"/>
      <c r="L330" s="167" t="str">
        <f>IF(K330&lt;&gt;"",VLOOKUP(K330,'Catálogo SAP'!A:F,3,FALSE),"")</f>
        <v/>
      </c>
      <c r="M330" s="162" t="str">
        <f>IF(K330&lt;&gt;"",VLOOKUP(K330,'Catálogo SAP'!A:F,4,FALSE),"")</f>
        <v/>
      </c>
      <c r="N330" s="168" t="str">
        <f>IF(K330&lt;&gt;"",VLOOKUP(K330,'Catálogo SAP'!A:F,5,FALSE),"")</f>
        <v/>
      </c>
      <c r="O330" s="160"/>
      <c r="P330" s="70" t="str">
        <f t="shared" si="163"/>
        <v>-</v>
      </c>
      <c r="Q330" s="163" t="str">
        <f t="shared" si="165"/>
        <v>-</v>
      </c>
      <c r="R330" s="44" t="str">
        <f>IF(J330&lt;&gt;"",VLOOKUP(J330,'RESUMO DR'!$B$4:$E$253,4,FALSE),"-")</f>
        <v>-</v>
      </c>
      <c r="S330" s="58" t="str">
        <f>IF(J330&lt;&gt;"",VLOOKUP(J330,'RESUMO DR'!$B$4:$E$253,3,FALSE),"-")</f>
        <v>-</v>
      </c>
      <c r="T330" s="129"/>
      <c r="U330" s="129"/>
      <c r="V330" s="129"/>
      <c r="W330" s="128"/>
      <c r="X330" s="127"/>
      <c r="Y330" s="127"/>
      <c r="Z330" s="4"/>
    </row>
    <row r="331" spans="1:26" ht="18" customHeight="1">
      <c r="A331" s="5">
        <v>1989</v>
      </c>
      <c r="B331" s="21">
        <v>45653</v>
      </c>
      <c r="C331" s="21" t="s">
        <v>134</v>
      </c>
      <c r="D331" s="74" t="str">
        <f t="shared" si="142"/>
        <v>sex</v>
      </c>
      <c r="E331" s="169">
        <f>IF(K331&lt;&gt;"",VLOOKUP(K331,'Catálogo SAP'!$A$1:$F$245,2,FALSE),"-")</f>
        <v>490</v>
      </c>
      <c r="F331" s="225">
        <v>3399</v>
      </c>
      <c r="G331" s="225">
        <v>3399</v>
      </c>
      <c r="H331" s="226"/>
      <c r="I331" s="230">
        <v>91</v>
      </c>
      <c r="J331" s="162" t="str">
        <f t="shared" si="164"/>
        <v>IMPERATRIZ</v>
      </c>
      <c r="K331" s="16">
        <v>490</v>
      </c>
      <c r="L331" s="167" t="str">
        <f>IF(K331&lt;&gt;"",VLOOKUP(K331,'Catálogo SAP'!A:F,3,FALSE),"")</f>
        <v>S.VP-01466</v>
      </c>
      <c r="M331" s="162" t="str">
        <f>IF(K331&lt;&gt;"",VLOOKUP(K331,'Catálogo SAP'!A:F,4,FALSE),"")</f>
        <v>Hora Improdutiva Miniescavadeira Hidraulica C/ Operador</v>
      </c>
      <c r="N331" s="168" t="str">
        <f>IF(K331&lt;&gt;"",VLOOKUP(K331,'Catálogo SAP'!A:F,5,FALSE),"")</f>
        <v>H</v>
      </c>
      <c r="O331" s="160">
        <v>8</v>
      </c>
      <c r="P331" s="70">
        <f t="shared" si="163"/>
        <v>0</v>
      </c>
      <c r="Q331" s="163" t="e">
        <f t="shared" si="165"/>
        <v>#VALUE!</v>
      </c>
      <c r="R331" s="44" t="str">
        <f>IF(J331&lt;&gt;"",VLOOKUP(J331,'RESUMO DR'!$B$4:$E$253,4,FALSE),"-")</f>
        <v>T-01</v>
      </c>
      <c r="S331" s="58" t="str">
        <f>IF(J331&lt;&gt;"",VLOOKUP(J331,'RESUMO DR'!$B$4:$E$253,3,FALSE),"-")</f>
        <v>IMPERATRIZ</v>
      </c>
      <c r="T331" s="129"/>
      <c r="U331" s="129"/>
      <c r="V331" s="129"/>
      <c r="W331" s="128"/>
      <c r="X331" s="127"/>
      <c r="Y331" s="127"/>
      <c r="Z331" s="4"/>
    </row>
    <row r="332" spans="1:26" ht="18" customHeight="1">
      <c r="A332" s="5"/>
      <c r="B332" s="21">
        <v>45653</v>
      </c>
      <c r="C332" s="21" t="s">
        <v>134</v>
      </c>
      <c r="D332" s="74" t="str">
        <f t="shared" si="142"/>
        <v>sex</v>
      </c>
      <c r="E332" s="169" t="str">
        <f>IF(K332&lt;&gt;"",VLOOKUP(K332,'Catálogo SAP'!$A$1:$F$245,2,FALSE),"-")</f>
        <v>-</v>
      </c>
      <c r="F332" s="225"/>
      <c r="G332" s="225"/>
      <c r="H332" s="226"/>
      <c r="I332" s="230"/>
      <c r="J332" s="162" t="str">
        <f t="shared" si="32"/>
        <v/>
      </c>
      <c r="K332" s="16"/>
      <c r="L332" s="167" t="str">
        <f>IF(K332&lt;&gt;"",VLOOKUP(K332,'Catálogo SAP'!A:F,3,FALSE),"")</f>
        <v/>
      </c>
      <c r="M332" s="162" t="str">
        <f>IF(K332&lt;&gt;"",VLOOKUP(K332,'Catálogo SAP'!A:F,4,FALSE),"")</f>
        <v/>
      </c>
      <c r="N332" s="168" t="str">
        <f>IF(K332&lt;&gt;"",VLOOKUP(K332,'Catálogo SAP'!A:F,5,FALSE),"")</f>
        <v/>
      </c>
      <c r="O332" s="160"/>
      <c r="P332" s="70" t="str">
        <f t="shared" si="163"/>
        <v>-</v>
      </c>
      <c r="Q332" s="163" t="str">
        <f t="shared" ref="Q332:Q399" si="166">IF(K332="","-",N332*O332)</f>
        <v>-</v>
      </c>
      <c r="R332" s="44" t="str">
        <f>IF(J332&lt;&gt;"",VLOOKUP(J332,'RESUMO DR'!$B$4:$E$253,4,FALSE),"-")</f>
        <v>-</v>
      </c>
      <c r="S332" s="58" t="str">
        <f>IF(J332&lt;&gt;"",VLOOKUP(J332,'RESUMO DR'!$B$4:$E$253,3,FALSE),"-")</f>
        <v>-</v>
      </c>
      <c r="T332" s="129"/>
      <c r="U332" s="129"/>
      <c r="V332" s="129"/>
      <c r="W332" s="128"/>
      <c r="X332" s="127"/>
      <c r="Y332" s="127"/>
      <c r="Z332" s="4"/>
    </row>
    <row r="333" spans="1:26" ht="18" customHeight="1">
      <c r="A333" s="5">
        <v>1991</v>
      </c>
      <c r="B333" s="21">
        <v>45653</v>
      </c>
      <c r="C333" s="21" t="s">
        <v>315</v>
      </c>
      <c r="D333" s="74" t="str">
        <f t="shared" si="142"/>
        <v>sex</v>
      </c>
      <c r="E333" s="169">
        <f>IF(K333&lt;&gt;"",VLOOKUP(K333,'Catálogo SAP'!$A$1:$F$245,2,FALSE),"-")</f>
        <v>170</v>
      </c>
      <c r="F333" s="16">
        <v>1380</v>
      </c>
      <c r="G333" s="16">
        <v>1380</v>
      </c>
      <c r="H333" s="22"/>
      <c r="I333" s="133">
        <v>152</v>
      </c>
      <c r="J333" s="162" t="str">
        <f t="shared" si="32"/>
        <v>RIBAMAR FIQUENE</v>
      </c>
      <c r="K333" s="16">
        <v>170</v>
      </c>
      <c r="L333" s="167" t="str">
        <f>IF(K333&lt;&gt;"",VLOOKUP(K333,'Catálogo SAP'!A:F,3,FALSE),"")</f>
        <v>S.VP-01442</v>
      </c>
      <c r="M333" s="162" t="str">
        <f>IF(K333&lt;&gt;"",VLOOKUP(K333,'Catálogo SAP'!A:F,4,FALSE),"")</f>
        <v>Hora Improdutiva Pa Carregadeira C/Operador</v>
      </c>
      <c r="N333" s="168" t="str">
        <f>IF(K333&lt;&gt;"",VLOOKUP(K333,'Catálogo SAP'!A:F,5,FALSE),"")</f>
        <v>H</v>
      </c>
      <c r="O333" s="160">
        <v>8</v>
      </c>
      <c r="P333" s="70">
        <f t="shared" si="163"/>
        <v>0</v>
      </c>
      <c r="Q333" s="163" t="e">
        <f t="shared" si="166"/>
        <v>#VALUE!</v>
      </c>
      <c r="R333" s="44" t="str">
        <f>IF(J333&lt;&gt;"",VLOOKUP(J333,'RESUMO DR'!$B$4:$E$253,4,FALSE),"-")</f>
        <v>T-01</v>
      </c>
      <c r="S333" s="58" t="str">
        <f>IF(J333&lt;&gt;"",VLOOKUP(J333,'RESUMO DR'!$B$4:$E$253,3,FALSE),"-")</f>
        <v>IMPERATRIZ</v>
      </c>
      <c r="T333" s="129"/>
      <c r="U333" s="129"/>
      <c r="V333" s="129"/>
      <c r="W333" s="128"/>
      <c r="X333" s="127"/>
      <c r="Y333" s="127"/>
      <c r="Z333" s="4"/>
    </row>
    <row r="334" spans="1:26" ht="18" customHeight="1">
      <c r="A334" s="5"/>
      <c r="B334" s="21">
        <v>45653</v>
      </c>
      <c r="C334" s="21" t="s">
        <v>315</v>
      </c>
      <c r="D334" s="74" t="str">
        <f t="shared" ref="D334" si="167">IF(B334="","-",TEXT(B334,"ddd"))</f>
        <v>sex</v>
      </c>
      <c r="E334" s="169" t="str">
        <f>IF(K334&lt;&gt;"",VLOOKUP(K334,'Catálogo SAP'!$A$1:$F$245,2,FALSE),"-")</f>
        <v>-</v>
      </c>
      <c r="F334" s="225"/>
      <c r="G334" s="225"/>
      <c r="H334" s="226"/>
      <c r="I334" s="227"/>
      <c r="J334" s="162" t="str">
        <f t="shared" si="32"/>
        <v/>
      </c>
      <c r="K334" s="225"/>
      <c r="L334" s="167" t="str">
        <f>IF(K334&lt;&gt;"",VLOOKUP(K334,'Catálogo SAP'!A:F,3,FALSE),"")</f>
        <v/>
      </c>
      <c r="M334" s="162" t="str">
        <f>IF(K334&lt;&gt;"",VLOOKUP(K334,'Catálogo SAP'!A:F,4,FALSE),"")</f>
        <v/>
      </c>
      <c r="N334" s="168" t="str">
        <f>IF(K334&lt;&gt;"",VLOOKUP(K334,'Catálogo SAP'!A:F,5,FALSE),"")</f>
        <v/>
      </c>
      <c r="O334" s="231"/>
      <c r="P334" s="70" t="str">
        <f t="shared" si="163"/>
        <v>-</v>
      </c>
      <c r="Q334" s="163" t="str">
        <f t="shared" ref="Q334" si="168">IF(K334="","-",N334*O334)</f>
        <v>-</v>
      </c>
      <c r="R334" s="44" t="str">
        <f>IF(J334&lt;&gt;"",VLOOKUP(J334,'RESUMO DR'!$B$4:$E$253,4,FALSE),"-")</f>
        <v>-</v>
      </c>
      <c r="S334" s="58" t="str">
        <f>IF(J334&lt;&gt;"",VLOOKUP(J334,'RESUMO DR'!$B$4:$E$253,3,FALSE),"-")</f>
        <v>-</v>
      </c>
      <c r="T334" s="129"/>
      <c r="U334" s="129"/>
      <c r="V334" s="129"/>
      <c r="W334" s="128"/>
      <c r="X334" s="127"/>
      <c r="Y334" s="127"/>
      <c r="Z334" s="4"/>
    </row>
    <row r="335" spans="1:26" ht="18" customHeight="1">
      <c r="A335" s="5">
        <v>1986</v>
      </c>
      <c r="B335" s="21">
        <v>45653</v>
      </c>
      <c r="C335" s="21" t="s">
        <v>306</v>
      </c>
      <c r="D335" s="74" t="str">
        <f t="shared" ref="D335" si="169">IF(B335="","-",TEXT(B335,"ddd"))</f>
        <v>sex</v>
      </c>
      <c r="E335" s="169">
        <f>IF(K335&lt;&gt;"",VLOOKUP(K335,'Catálogo SAP'!$A$1:$F$245,2,FALSE),"-")</f>
        <v>290</v>
      </c>
      <c r="F335" s="225">
        <v>302</v>
      </c>
      <c r="G335" s="225">
        <v>302</v>
      </c>
      <c r="H335" s="226"/>
      <c r="I335" s="230">
        <v>574</v>
      </c>
      <c r="J335" s="162" t="str">
        <f t="shared" si="32"/>
        <v>Tupirama</v>
      </c>
      <c r="K335" s="16">
        <v>290</v>
      </c>
      <c r="L335" s="167" t="str">
        <f>IF(K335&lt;&gt;"",VLOOKUP(K335,'Catálogo SAP'!A:F,3,FALSE),"")</f>
        <v>S.VP-01454</v>
      </c>
      <c r="M335" s="162" t="str">
        <f>IF(K335&lt;&gt;"",VLOOKUP(K335,'Catálogo SAP'!A:F,4,FALSE),"")</f>
        <v>Hora Improdutiva Motoniveladora C/Operador</v>
      </c>
      <c r="N335" s="168" t="str">
        <f>IF(K335&lt;&gt;"",VLOOKUP(K335,'Catálogo SAP'!A:F,5,FALSE),"")</f>
        <v>H</v>
      </c>
      <c r="O335" s="160">
        <v>8</v>
      </c>
      <c r="P335" s="70">
        <f t="shared" si="163"/>
        <v>0</v>
      </c>
      <c r="Q335" s="163" t="e">
        <f t="shared" ref="Q335" si="170">IF(K335="","-",N335*O335)</f>
        <v>#VALUE!</v>
      </c>
      <c r="R335" s="44" t="str">
        <f>IF(J335&lt;&gt;"",VLOOKUP(J335,'RESUMO DR'!$B$4:$E$253,4,FALSE),"-")</f>
        <v>T-03</v>
      </c>
      <c r="S335" s="58" t="str">
        <f>IF(J335&lt;&gt;"",VLOOKUP(J335,'RESUMO DR'!$B$4:$E$253,3,FALSE),"-")</f>
        <v>PALMAS</v>
      </c>
      <c r="T335" s="129"/>
      <c r="U335" s="129"/>
      <c r="V335" s="129"/>
      <c r="W335" s="128"/>
      <c r="X335" s="127"/>
      <c r="Y335" s="127"/>
      <c r="Z335" s="4"/>
    </row>
    <row r="336" spans="1:26" ht="18" customHeight="1">
      <c r="A336" s="5"/>
      <c r="B336" s="21">
        <v>45653</v>
      </c>
      <c r="C336" s="21" t="s">
        <v>306</v>
      </c>
      <c r="D336" s="74" t="str">
        <f t="shared" si="142"/>
        <v>sex</v>
      </c>
      <c r="E336" s="169" t="str">
        <f>IF(K336&lt;&gt;"",VLOOKUP(K336,'Catálogo SAP'!$A$1:$F$245,2,FALSE),"-")</f>
        <v>-</v>
      </c>
      <c r="F336" s="16"/>
      <c r="G336" s="16"/>
      <c r="H336" s="22"/>
      <c r="I336" s="133"/>
      <c r="J336" s="162" t="str">
        <f t="shared" ref="J336:J337" si="171">IF(AND(I336&gt;=0.001,I336&lt;=16),"AÇAILÂNDIA","")&amp;IF(AND(I336&gt;=16.001,I336&lt;=44),"S.F. BREJÃO","")&amp;IF(AND(I336&gt;=44.001,I336&lt;=78),"JOÃO LISBOA","")&amp;IF(AND(I336&gt;=78.001,I336&lt;=96.397),"IMPERATRIZ","")&amp;IF(AND(I336&gt;=96.398,I336&lt;=122.82),"EDSON LOBÃO","")&amp;IF(AND(I336&gt;=122.821,I336&lt;=152.303),"RIBAMAR FIQUENE","")&amp;IF(AND(I336&gt;=152.304,I336&lt;=172.403),"CAMPESTRE","")&amp;IF(AND(I336&gt;=172.404,I336&lt;=195),"PORTO FRANCO","")&amp;IF(AND(I336&gt;=300,I336&lt;=300),"SAO LUIS","")&amp;IF(AND(I336&gt;=385.4,I336&lt;=465.4),"Palmeirante","")&amp;IF(AND(I336&gt;=465.401,I336&lt;=520.455),"Tupiratins","")&amp;IF(AND(I336&gt;=520.456,I336&lt;=536.741),"Guaraí","")&amp;IF(AND(I336&gt;=536.742,I336&lt;=580.293),"Tupirama","")&amp;IF(AND(I336&gt;=580.294,I336&lt;=608.637),"Rio dos Bois","")&amp;IF(AND(I336&gt;=608.638,I336&lt;=698.981),"Miracema","")&amp;IF(AND(I336&gt;=698.982,I336&lt;=735.6),"Porto Nacional","")&amp;IF(AND(I336&gt;=195.1,I336&lt;=213.603),"ESTREITO","")&amp;IF(AND(I336&gt;=213.604,I336&lt;=218.976),"AGUIARNÓPOLIS","")&amp;IF(AND(I336&gt;=218.977,I336&lt;=253.5),"PALMEIRAS DO TOCANTINS","")&amp;IF(AND(I336&gt;=253.501,I336&lt;=274.15),"DARCINÓPOLIS","")&amp;IF(AND(I336&gt;=274.151,I336&lt;=299.999),"BABAÇULÂNDIA","")&amp;IF(AND(I336&gt;=356.62,I336&lt;=385.4),"ARAGUAÍNA","")&amp;IF(AND(I336&gt;=300.001,I336&lt;=356.619),"BABAÇULÂNDIA","")&amp;IF(AND(I336&gt;=900,I336&lt;=902),"ENG. VLI","")</f>
        <v/>
      </c>
      <c r="K336" s="16"/>
      <c r="L336" s="167" t="str">
        <f>IF(K336&lt;&gt;"",VLOOKUP(K336,'Catálogo SAP'!A:F,3,FALSE),"")</f>
        <v/>
      </c>
      <c r="M336" s="162" t="str">
        <f>IF(K336&lt;&gt;"",VLOOKUP(K336,'Catálogo SAP'!A:F,4,FALSE),"")</f>
        <v/>
      </c>
      <c r="N336" s="168" t="str">
        <f>IF(K336&lt;&gt;"",VLOOKUP(K336,'Catálogo SAP'!A:F,5,FALSE),"")</f>
        <v/>
      </c>
      <c r="O336" s="160"/>
      <c r="P336" s="70" t="str">
        <f t="shared" si="163"/>
        <v>-</v>
      </c>
      <c r="Q336" s="163" t="str">
        <f t="shared" si="166"/>
        <v>-</v>
      </c>
      <c r="R336" s="44" t="str">
        <f>IF(J336&lt;&gt;"",VLOOKUP(J336,'RESUMO DR'!$B$4:$E$253,4,FALSE),"-")</f>
        <v>-</v>
      </c>
      <c r="S336" s="58" t="str">
        <f>IF(J336&lt;&gt;"",VLOOKUP(J336,'RESUMO DR'!$B$4:$E$253,3,FALSE),"-")</f>
        <v>-</v>
      </c>
      <c r="T336" s="129"/>
      <c r="U336" s="129"/>
      <c r="V336" s="129"/>
      <c r="W336" s="128"/>
      <c r="X336" s="127"/>
      <c r="Y336" s="127"/>
      <c r="Z336" s="4"/>
    </row>
    <row r="337" spans="1:28" ht="18" customHeight="1">
      <c r="A337" s="5">
        <v>1987</v>
      </c>
      <c r="B337" s="21">
        <v>45653</v>
      </c>
      <c r="C337" s="21" t="s">
        <v>310</v>
      </c>
      <c r="D337" s="74" t="str">
        <f t="shared" si="142"/>
        <v>sex</v>
      </c>
      <c r="E337" s="169">
        <f>IF(K337&lt;&gt;"",VLOOKUP(K337,'Catálogo SAP'!$A$1:$F$245,2,FALSE),"-")</f>
        <v>120</v>
      </c>
      <c r="F337" s="225">
        <v>132</v>
      </c>
      <c r="G337" s="225">
        <v>138</v>
      </c>
      <c r="H337" s="226"/>
      <c r="I337" s="230">
        <v>453</v>
      </c>
      <c r="J337" s="162" t="str">
        <f t="shared" si="171"/>
        <v>Palmeirante</v>
      </c>
      <c r="K337" s="16">
        <v>120</v>
      </c>
      <c r="L337" s="167" t="str">
        <f>IF(K337&lt;&gt;"",VLOOKUP(K337,'Catálogo SAP'!A:F,3,FALSE),"")</f>
        <v>S.VP-01437</v>
      </c>
      <c r="M337" s="162" t="str">
        <f>IF(K337&lt;&gt;"",VLOOKUP(K337,'Catálogo SAP'!A:F,4,FALSE),"")</f>
        <v>Hr Produtiva Retroescavadeira C/Operador</v>
      </c>
      <c r="N337" s="168" t="str">
        <f>IF(K337&lt;&gt;"",VLOOKUP(K337,'Catálogo SAP'!A:F,5,FALSE),"")</f>
        <v>H</v>
      </c>
      <c r="O337" s="160">
        <v>6</v>
      </c>
      <c r="P337" s="70">
        <f t="shared" si="163"/>
        <v>6</v>
      </c>
      <c r="Q337" s="163" t="e">
        <f t="shared" si="166"/>
        <v>#VALUE!</v>
      </c>
      <c r="R337" s="44" t="s">
        <v>192</v>
      </c>
      <c r="S337" s="58" t="s">
        <v>193</v>
      </c>
      <c r="T337" s="129"/>
      <c r="U337" s="129"/>
      <c r="V337" s="129"/>
      <c r="W337" s="128"/>
      <c r="X337" s="127"/>
      <c r="Y337" s="127"/>
      <c r="Z337" s="4"/>
    </row>
    <row r="338" spans="1:28" ht="18" customHeight="1">
      <c r="A338" s="5">
        <v>1987</v>
      </c>
      <c r="B338" s="21">
        <v>45653</v>
      </c>
      <c r="C338" s="21" t="s">
        <v>310</v>
      </c>
      <c r="D338" s="74" t="str">
        <f t="shared" si="142"/>
        <v>sex</v>
      </c>
      <c r="E338" s="169">
        <f>IF(K338&lt;&gt;"",VLOOKUP(K338,'Catálogo SAP'!$A$1:$F$245,2,FALSE),"-")</f>
        <v>130</v>
      </c>
      <c r="F338" s="225">
        <v>138</v>
      </c>
      <c r="G338" s="225">
        <v>138</v>
      </c>
      <c r="H338" s="226"/>
      <c r="I338" s="230">
        <v>453</v>
      </c>
      <c r="J338" s="162" t="str">
        <f t="shared" si="32"/>
        <v>Palmeirante</v>
      </c>
      <c r="K338" s="16">
        <v>130</v>
      </c>
      <c r="L338" s="167" t="str">
        <f>IF(K338&lt;&gt;"",VLOOKUP(K338,'Catálogo SAP'!A:F,3,FALSE),"")</f>
        <v>S.VP-01438</v>
      </c>
      <c r="M338" s="162" t="str">
        <f>IF(K338&lt;&gt;"",VLOOKUP(K338,'Catálogo SAP'!A:F,4,FALSE),"")</f>
        <v>Hr Improdutiva Retroescavadeira C/Operador</v>
      </c>
      <c r="N338" s="168" t="str">
        <f>IF(K338&lt;&gt;"",VLOOKUP(K338,'Catálogo SAP'!A:F,5,FALSE),"")</f>
        <v>H</v>
      </c>
      <c r="O338" s="160">
        <v>2</v>
      </c>
      <c r="P338" s="70">
        <f t="shared" si="163"/>
        <v>0</v>
      </c>
      <c r="Q338" s="163" t="e">
        <f t="shared" si="166"/>
        <v>#VALUE!</v>
      </c>
      <c r="R338" s="44" t="s">
        <v>192</v>
      </c>
      <c r="S338" s="58" t="s">
        <v>193</v>
      </c>
      <c r="T338" s="129"/>
      <c r="U338" s="129"/>
      <c r="V338" s="129"/>
      <c r="W338" s="128"/>
      <c r="X338" s="127"/>
      <c r="Y338" s="127"/>
      <c r="Z338" s="4"/>
    </row>
    <row r="339" spans="1:28" ht="18" customHeight="1">
      <c r="A339" s="5"/>
      <c r="B339" s="21">
        <v>45653</v>
      </c>
      <c r="C339" s="21" t="s">
        <v>138</v>
      </c>
      <c r="D339" s="74" t="str">
        <f t="shared" si="142"/>
        <v>sex</v>
      </c>
      <c r="E339" s="169" t="str">
        <f>IF(K339&lt;&gt;"",VLOOKUP(K339,'Catálogo SAP'!$A$1:$F$245,2,FALSE),"-")</f>
        <v>-</v>
      </c>
      <c r="F339" s="225"/>
      <c r="G339" s="225"/>
      <c r="H339" s="226"/>
      <c r="I339" s="230"/>
      <c r="J339" s="162" t="str">
        <f t="shared" ref="J339" si="172">IF(AND(I339&gt;=0.001,I339&lt;=16),"AÇAILÂNDIA","")&amp;IF(AND(I339&gt;=16.001,I339&lt;=44),"S.F. BREJÃO","")&amp;IF(AND(I339&gt;=44.001,I339&lt;=78),"JOÃO LISBOA","")&amp;IF(AND(I339&gt;=78.001,I339&lt;=96.397),"IMPERATRIZ","")&amp;IF(AND(I339&gt;=96.398,I339&lt;=122.82),"EDSON LOBÃO","")&amp;IF(AND(I339&gt;=122.821,I339&lt;=152.303),"RIBAMAR FIQUENE","")&amp;IF(AND(I339&gt;=152.304,I339&lt;=172.403),"CAMPESTRE","")&amp;IF(AND(I339&gt;=172.404,I339&lt;=195),"PORTO FRANCO","")&amp;IF(AND(I339&gt;=300,I339&lt;=300),"SAO LUIS","")&amp;IF(AND(I339&gt;=385.4,I339&lt;=465.4),"Palmeirante","")&amp;IF(AND(I339&gt;=465.401,I339&lt;=520.455),"Tupiratins","")&amp;IF(AND(I339&gt;=520.456,I339&lt;=536.741),"Guaraí","")&amp;IF(AND(I339&gt;=536.742,I339&lt;=580.293),"Tupirama","")&amp;IF(AND(I339&gt;=580.294,I339&lt;=608.637),"Rio dos Bois","")&amp;IF(AND(I339&gt;=608.638,I339&lt;=698.981),"Miracema","")&amp;IF(AND(I339&gt;=698.982,I339&lt;=735.6),"Porto Nacional","")&amp;IF(AND(I339&gt;=195.1,I339&lt;=213.603),"ESTREITO","")&amp;IF(AND(I339&gt;=213.604,I339&lt;=218.976),"AGUIARNÓPOLIS","")&amp;IF(AND(I339&gt;=218.977,I339&lt;=253.5),"PALMEIRAS DO TOCANTINS","")&amp;IF(AND(I339&gt;=253.501,I339&lt;=274.15),"DARCINÓPOLIS","")&amp;IF(AND(I339&gt;=274.151,I339&lt;=299.999),"BABAÇULÂNDIA","")&amp;IF(AND(I339&gt;=356.62,I339&lt;=385.4),"ARAGUAÍNA","")&amp;IF(AND(I339&gt;=300.001,I339&lt;=356.619),"BABAÇULÂNDIA","")&amp;IF(AND(I339&gt;=900,I339&lt;=902),"ENG. VLI","")</f>
        <v/>
      </c>
      <c r="K339" s="16"/>
      <c r="L339" s="167" t="str">
        <f>IF(K339&lt;&gt;"",VLOOKUP(K339,'Catálogo SAP'!A:F,3,FALSE),"")</f>
        <v/>
      </c>
      <c r="M339" s="162" t="str">
        <f>IF(K339&lt;&gt;"",VLOOKUP(K339,'Catálogo SAP'!A:F,4,FALSE),"")</f>
        <v/>
      </c>
      <c r="N339" s="168" t="str">
        <f>IF(K339&lt;&gt;"",VLOOKUP(K339,'Catálogo SAP'!A:F,5,FALSE),"")</f>
        <v/>
      </c>
      <c r="O339" s="160"/>
      <c r="P339" s="70" t="str">
        <f t="shared" si="163"/>
        <v>-</v>
      </c>
      <c r="Q339" s="163" t="str">
        <f t="shared" si="166"/>
        <v>-</v>
      </c>
      <c r="R339" s="44" t="str">
        <f>IF(J339&lt;&gt;"",VLOOKUP(J339,'RESUMO DR'!$B$4:$E$253,4,FALSE),"-")</f>
        <v>-</v>
      </c>
      <c r="S339" s="58" t="str">
        <f>IF(J339&lt;&gt;"",VLOOKUP(J339,'RESUMO DR'!$B$4:$E$253,3,FALSE),"-")</f>
        <v>-</v>
      </c>
      <c r="T339" s="129"/>
      <c r="U339" s="129"/>
      <c r="V339" s="129"/>
      <c r="W339" s="128"/>
      <c r="X339" s="127"/>
      <c r="Y339" s="127"/>
      <c r="Z339" s="4"/>
    </row>
    <row r="340" spans="1:28" ht="18" customHeight="1">
      <c r="A340" s="5"/>
      <c r="B340" s="21">
        <v>45653</v>
      </c>
      <c r="C340" s="21" t="s">
        <v>139</v>
      </c>
      <c r="D340" s="74" t="str">
        <f t="shared" si="142"/>
        <v>sex</v>
      </c>
      <c r="E340" s="169" t="str">
        <f>IF(K340&lt;&gt;"",VLOOKUP(K340,'Catálogo SAP'!$A$1:$F$245,2,FALSE),"-")</f>
        <v>-</v>
      </c>
      <c r="F340" s="225"/>
      <c r="G340" s="225"/>
      <c r="H340" s="226"/>
      <c r="I340" s="230"/>
      <c r="J340" s="162" t="str">
        <f t="shared" si="32"/>
        <v/>
      </c>
      <c r="K340" s="16"/>
      <c r="L340" s="167" t="str">
        <f>IF(K340&lt;&gt;"",VLOOKUP(K340,'Catálogo SAP'!A:F,3,FALSE),"")</f>
        <v/>
      </c>
      <c r="M340" s="162" t="str">
        <f>IF(K340&lt;&gt;"",VLOOKUP(K340,'Catálogo SAP'!A:F,4,FALSE),"")</f>
        <v/>
      </c>
      <c r="N340" s="168" t="str">
        <f>IF(K340&lt;&gt;"",VLOOKUP(K340,'Catálogo SAP'!A:F,5,FALSE),"")</f>
        <v/>
      </c>
      <c r="O340" s="160"/>
      <c r="P340" s="70" t="str">
        <f t="shared" si="163"/>
        <v>-</v>
      </c>
      <c r="Q340" s="163" t="str">
        <f t="shared" si="166"/>
        <v>-</v>
      </c>
      <c r="R340" s="44" t="str">
        <f>IF(J340&lt;&gt;"",VLOOKUP(J340,'RESUMO DR'!$B$4:$E$253,4,FALSE),"-")</f>
        <v>-</v>
      </c>
      <c r="S340" s="58" t="str">
        <f>IF(J340&lt;&gt;"",VLOOKUP(J340,'RESUMO DR'!$B$4:$E$253,3,FALSE),"-")</f>
        <v>-</v>
      </c>
      <c r="T340" s="129"/>
      <c r="U340" s="129"/>
      <c r="V340" s="129"/>
      <c r="W340" s="128"/>
      <c r="X340" s="127"/>
      <c r="Y340" s="127"/>
      <c r="Z340" s="4"/>
    </row>
    <row r="341" spans="1:28" ht="18" customHeight="1">
      <c r="A341" s="5"/>
      <c r="B341" s="21">
        <v>45653</v>
      </c>
      <c r="C341" s="21" t="s">
        <v>139</v>
      </c>
      <c r="D341" s="74" t="str">
        <f t="shared" si="142"/>
        <v>sex</v>
      </c>
      <c r="E341" s="169" t="str">
        <f>IF(K341&lt;&gt;"",VLOOKUP(K341,'Catálogo SAP'!$A$1:$F$245,2,FALSE),"-")</f>
        <v>-</v>
      </c>
      <c r="F341" s="225"/>
      <c r="G341" s="225"/>
      <c r="H341" s="226"/>
      <c r="I341" s="230"/>
      <c r="J341" s="162" t="str">
        <f t="shared" ref="J341" si="173">IF(AND(I341&gt;=0.001,I341&lt;=16),"AÇAILÂNDIA","")&amp;IF(AND(I341&gt;=16.001,I341&lt;=44),"S.F. BREJÃO","")&amp;IF(AND(I341&gt;=44.001,I341&lt;=78),"JOÃO LISBOA","")&amp;IF(AND(I341&gt;=78.001,I341&lt;=96.397),"IMPERATRIZ","")&amp;IF(AND(I341&gt;=96.398,I341&lt;=122.82),"EDSON LOBÃO","")&amp;IF(AND(I341&gt;=122.821,I341&lt;=152.303),"RIBAMAR FIQUENE","")&amp;IF(AND(I341&gt;=152.304,I341&lt;=172.403),"CAMPESTRE","")&amp;IF(AND(I341&gt;=172.404,I341&lt;=195),"PORTO FRANCO","")&amp;IF(AND(I341&gt;=300,I341&lt;=300),"SAO LUIS","")&amp;IF(AND(I341&gt;=385.4,I341&lt;=465.4),"Palmeirante","")&amp;IF(AND(I341&gt;=465.401,I341&lt;=520.455),"Tupiratins","")&amp;IF(AND(I341&gt;=520.456,I341&lt;=536.741),"Guaraí","")&amp;IF(AND(I341&gt;=536.742,I341&lt;=580.293),"Tupirama","")&amp;IF(AND(I341&gt;=580.294,I341&lt;=608.637),"Rio dos Bois","")&amp;IF(AND(I341&gt;=608.638,I341&lt;=698.981),"Miracema","")&amp;IF(AND(I341&gt;=698.982,I341&lt;=735.6),"Porto Nacional","")&amp;IF(AND(I341&gt;=195.1,I341&lt;=213.603),"ESTREITO","")&amp;IF(AND(I341&gt;=213.604,I341&lt;=218.976),"AGUIARNÓPOLIS","")&amp;IF(AND(I341&gt;=218.977,I341&lt;=253.5),"PALMEIRAS DO TOCANTINS","")&amp;IF(AND(I341&gt;=253.501,I341&lt;=274.15),"DARCINÓPOLIS","")&amp;IF(AND(I341&gt;=274.151,I341&lt;=299.999),"BABAÇULÂNDIA","")&amp;IF(AND(I341&gt;=356.62,I341&lt;=385.4),"ARAGUAÍNA","")&amp;IF(AND(I341&gt;=300.001,I341&lt;=356.619),"BABAÇULÂNDIA","")&amp;IF(AND(I341&gt;=900,I341&lt;=902),"ENG. VLI","")</f>
        <v/>
      </c>
      <c r="K341" s="16"/>
      <c r="L341" s="167" t="str">
        <f>IF(K341&lt;&gt;"",VLOOKUP(K341,'Catálogo SAP'!A:F,3,FALSE),"")</f>
        <v/>
      </c>
      <c r="M341" s="162" t="str">
        <f>IF(K341&lt;&gt;"",VLOOKUP(K341,'Catálogo SAP'!A:F,4,FALSE),"")</f>
        <v/>
      </c>
      <c r="N341" s="168" t="str">
        <f>IF(K341&lt;&gt;"",VLOOKUP(K341,'Catálogo SAP'!A:F,5,FALSE),"")</f>
        <v/>
      </c>
      <c r="O341" s="160"/>
      <c r="P341" s="70" t="str">
        <f t="shared" si="163"/>
        <v>-</v>
      </c>
      <c r="Q341" s="163" t="str">
        <f t="shared" si="166"/>
        <v>-</v>
      </c>
      <c r="R341" s="44" t="str">
        <f>IF(J341&lt;&gt;"",VLOOKUP(J341,'RESUMO DR'!$B$4:$E$253,4,FALSE),"-")</f>
        <v>-</v>
      </c>
      <c r="S341" s="58" t="str">
        <f>IF(J341&lt;&gt;"",VLOOKUP(J341,'RESUMO DR'!$B$4:$E$253,3,FALSE),"-")</f>
        <v>-</v>
      </c>
      <c r="T341" s="129"/>
      <c r="U341" s="129"/>
      <c r="V341" s="129"/>
      <c r="W341" s="128"/>
      <c r="X341" s="127"/>
      <c r="Y341" s="127"/>
      <c r="Z341" s="4"/>
      <c r="AA341" s="38">
        <v>34510.46</v>
      </c>
    </row>
    <row r="342" spans="1:28" ht="18" customHeight="1">
      <c r="A342" s="5"/>
      <c r="B342" s="222"/>
      <c r="C342" s="222"/>
      <c r="D342" s="223"/>
      <c r="E342" s="224"/>
      <c r="F342" s="225"/>
      <c r="G342" s="225"/>
      <c r="H342" s="226"/>
      <c r="I342" s="230"/>
      <c r="J342" s="228"/>
      <c r="K342" s="225"/>
      <c r="L342" s="167" t="str">
        <f>IF(K342&lt;&gt;"",VLOOKUP(K342,'Catálogo SAP'!A:F,3,FALSE),"")</f>
        <v/>
      </c>
      <c r="M342" s="162" t="str">
        <f>IF(K342&lt;&gt;"",VLOOKUP(K342,'Catálogo SAP'!A:F,4,FALSE),"")</f>
        <v/>
      </c>
      <c r="N342" s="168" t="str">
        <f>IF(K342&lt;&gt;"",VLOOKUP(K342,'Catálogo SAP'!A:F,5,FALSE),"")</f>
        <v/>
      </c>
      <c r="O342" s="231"/>
      <c r="P342" s="70" t="str">
        <f t="shared" si="163"/>
        <v>-</v>
      </c>
      <c r="Q342" s="229"/>
      <c r="R342" s="44" t="str">
        <f>IF(J342&lt;&gt;"",VLOOKUP(J342,'RESUMO DR'!$B$4:$E$253,4,FALSE),"-")</f>
        <v>-</v>
      </c>
      <c r="S342" s="58" t="str">
        <f>IF(J342&lt;&gt;"",VLOOKUP(J342,'RESUMO DR'!$B$4:$E$253,3,FALSE),"-")</f>
        <v>-</v>
      </c>
      <c r="T342" s="129"/>
      <c r="U342" s="129"/>
      <c r="V342" s="129"/>
      <c r="W342" s="128"/>
      <c r="X342" s="127"/>
      <c r="Y342" s="127"/>
      <c r="Z342" s="4"/>
      <c r="AA342" s="38"/>
    </row>
    <row r="343" spans="1:28" ht="18" customHeight="1">
      <c r="A343" s="5"/>
      <c r="B343" s="21">
        <v>45654</v>
      </c>
      <c r="C343" s="21" t="s">
        <v>121</v>
      </c>
      <c r="D343" s="74" t="str">
        <f t="shared" si="142"/>
        <v>sáb</v>
      </c>
      <c r="E343" s="169" t="str">
        <f>IF(K343&lt;&gt;"",VLOOKUP(K343,'Catálogo SAP'!$A$1:$F$245,2,FALSE),"-")</f>
        <v>-</v>
      </c>
      <c r="F343" s="225"/>
      <c r="G343" s="225"/>
      <c r="H343" s="226"/>
      <c r="I343" s="230"/>
      <c r="J343" s="162" t="str">
        <f t="shared" si="32"/>
        <v/>
      </c>
      <c r="K343" s="16"/>
      <c r="L343" s="167" t="str">
        <f>IF(K343&lt;&gt;"",VLOOKUP(K343,'Catálogo SAP'!A:F,3,FALSE),"")</f>
        <v/>
      </c>
      <c r="M343" s="162" t="str">
        <f>IF(K343&lt;&gt;"",VLOOKUP(K343,'Catálogo SAP'!A:F,4,FALSE),"")</f>
        <v/>
      </c>
      <c r="N343" s="168" t="str">
        <f>IF(K343&lt;&gt;"",VLOOKUP(K343,'Catálogo SAP'!A:F,5,FALSE),"")</f>
        <v/>
      </c>
      <c r="O343" s="160"/>
      <c r="P343" s="70" t="str">
        <f t="shared" si="163"/>
        <v>-</v>
      </c>
      <c r="Q343" s="163" t="str">
        <f t="shared" si="166"/>
        <v>-</v>
      </c>
      <c r="R343" s="44" t="str">
        <f>IF(J343&lt;&gt;"",VLOOKUP(J343,'RESUMO DR'!$B$4:$E$253,4,FALSE),"-")</f>
        <v>-</v>
      </c>
      <c r="S343" s="58" t="str">
        <f>IF(J343&lt;&gt;"",VLOOKUP(J343,'RESUMO DR'!$B$4:$E$253,3,FALSE),"-")</f>
        <v>-</v>
      </c>
      <c r="T343" s="129"/>
      <c r="U343" s="129"/>
      <c r="V343" s="129"/>
      <c r="W343" s="128"/>
      <c r="X343" s="127"/>
      <c r="Y343" s="127"/>
      <c r="Z343" s="4"/>
    </row>
    <row r="344" spans="1:28" ht="18" customHeight="1">
      <c r="A344" s="5"/>
      <c r="B344" s="21">
        <v>45654</v>
      </c>
      <c r="C344" s="21" t="s">
        <v>121</v>
      </c>
      <c r="D344" s="74" t="str">
        <f t="shared" si="142"/>
        <v>sáb</v>
      </c>
      <c r="E344" s="169" t="str">
        <f>IF(K344&lt;&gt;"",VLOOKUP(K344,'Catálogo SAP'!$A$1:$F$245,2,FALSE),"-")</f>
        <v>-</v>
      </c>
      <c r="F344" s="225"/>
      <c r="G344" s="225"/>
      <c r="H344" s="226"/>
      <c r="I344" s="230"/>
      <c r="J344" s="162" t="str">
        <f t="shared" si="32"/>
        <v/>
      </c>
      <c r="K344" s="16"/>
      <c r="L344" s="167" t="str">
        <f>IF(K344&lt;&gt;"",VLOOKUP(K344,'Catálogo SAP'!A:F,3,FALSE),"")</f>
        <v/>
      </c>
      <c r="M344" s="162" t="str">
        <f>IF(K344&lt;&gt;"",VLOOKUP(K344,'Catálogo SAP'!A:F,4,FALSE),"")</f>
        <v/>
      </c>
      <c r="N344" s="168" t="str">
        <f>IF(K344&lt;&gt;"",VLOOKUP(K344,'Catálogo SAP'!A:F,5,FALSE),"")</f>
        <v/>
      </c>
      <c r="O344" s="160"/>
      <c r="P344" s="70" t="str">
        <f t="shared" si="163"/>
        <v>-</v>
      </c>
      <c r="Q344" s="163" t="str">
        <f t="shared" si="166"/>
        <v>-</v>
      </c>
      <c r="R344" s="44" t="str">
        <f>IF(J344&lt;&gt;"",VLOOKUP(J344,'RESUMO DR'!$B$4:$E$253,4,FALSE),"-")</f>
        <v>-</v>
      </c>
      <c r="S344" s="58" t="str">
        <f>IF(J344&lt;&gt;"",VLOOKUP(J344,'RESUMO DR'!$B$4:$E$253,3,FALSE),"-")</f>
        <v>-</v>
      </c>
      <c r="T344" s="129"/>
      <c r="U344" s="129"/>
      <c r="V344" s="129"/>
      <c r="W344" s="128"/>
      <c r="X344" s="127"/>
      <c r="Y344" s="127"/>
      <c r="Z344" s="4"/>
    </row>
    <row r="345" spans="1:28" ht="18" customHeight="1">
      <c r="A345" s="5">
        <v>1994</v>
      </c>
      <c r="B345" s="21">
        <v>45654</v>
      </c>
      <c r="C345" s="21" t="s">
        <v>122</v>
      </c>
      <c r="D345" s="74" t="str">
        <f t="shared" si="142"/>
        <v>sáb</v>
      </c>
      <c r="E345" s="169">
        <f>IF(K345&lt;&gt;"",VLOOKUP(K345,'Catálogo SAP'!$A$1:$F$245,2,FALSE),"-")</f>
        <v>120</v>
      </c>
      <c r="F345" s="225">
        <v>3831</v>
      </c>
      <c r="G345" s="225">
        <v>3839</v>
      </c>
      <c r="H345" s="226"/>
      <c r="I345" s="230">
        <v>373</v>
      </c>
      <c r="J345" s="162" t="str">
        <f t="shared" si="32"/>
        <v>ARAGUAÍNA</v>
      </c>
      <c r="K345" s="16">
        <v>120</v>
      </c>
      <c r="L345" s="167" t="str">
        <f>IF(K345&lt;&gt;"",VLOOKUP(K345,'Catálogo SAP'!A:F,3,FALSE),"")</f>
        <v>S.VP-01437</v>
      </c>
      <c r="M345" s="162" t="str">
        <f>IF(K345&lt;&gt;"",VLOOKUP(K345,'Catálogo SAP'!A:F,4,FALSE),"")</f>
        <v>Hr Produtiva Retroescavadeira C/Operador</v>
      </c>
      <c r="N345" s="168" t="str">
        <f>IF(K345&lt;&gt;"",VLOOKUP(K345,'Catálogo SAP'!A:F,5,FALSE),"")</f>
        <v>H</v>
      </c>
      <c r="O345" s="160">
        <v>8</v>
      </c>
      <c r="P345" s="70">
        <f t="shared" si="163"/>
        <v>8</v>
      </c>
      <c r="Q345" s="163" t="e">
        <f t="shared" si="166"/>
        <v>#VALUE!</v>
      </c>
      <c r="R345" s="44" t="str">
        <f>IF(J345&lt;&gt;"",VLOOKUP(J345,'RESUMO DR'!$B$4:$E$253,4,FALSE),"-")</f>
        <v>T-02</v>
      </c>
      <c r="S345" s="58" t="str">
        <f>IF(J345&lt;&gt;"",VLOOKUP(J345,'RESUMO DR'!$B$4:$E$253,3,FALSE),"-")</f>
        <v>ARAGUAINA</v>
      </c>
      <c r="T345" s="129"/>
      <c r="U345" s="129"/>
      <c r="V345" s="129"/>
      <c r="W345" s="128"/>
      <c r="X345" s="127"/>
      <c r="Y345" s="127"/>
      <c r="Z345" s="4"/>
    </row>
    <row r="346" spans="1:28" ht="18" customHeight="1">
      <c r="A346" s="5">
        <v>1996</v>
      </c>
      <c r="B346" s="21">
        <v>45654</v>
      </c>
      <c r="C346" s="21" t="s">
        <v>123</v>
      </c>
      <c r="D346" s="74" t="str">
        <f t="shared" ref="D346:D352" si="174">IF(B346="","-",TEXT(B346,"ddd"))</f>
        <v>sáb</v>
      </c>
      <c r="E346" s="169">
        <f>IF(K346&lt;&gt;"",VLOOKUP(K346,'Catálogo SAP'!$A$1:$F$245,2,FALSE),"-")</f>
        <v>120</v>
      </c>
      <c r="F346" s="225">
        <v>5846</v>
      </c>
      <c r="G346" s="225">
        <v>5855</v>
      </c>
      <c r="H346" s="226"/>
      <c r="I346" s="230">
        <v>574</v>
      </c>
      <c r="J346" s="162" t="str">
        <f t="shared" ref="J346:J347" si="175">IF(AND(I346&gt;=0.001,I346&lt;=16),"AÇAILÂNDIA","")&amp;IF(AND(I346&gt;=16.001,I346&lt;=44),"S.F. BREJÃO","")&amp;IF(AND(I346&gt;=44.001,I346&lt;=78),"JOÃO LISBOA","")&amp;IF(AND(I346&gt;=78.001,I346&lt;=96.397),"IMPERATRIZ","")&amp;IF(AND(I346&gt;=96.398,I346&lt;=122.82),"EDSON LOBÃO","")&amp;IF(AND(I346&gt;=122.821,I346&lt;=152.303),"RIBAMAR FIQUENE","")&amp;IF(AND(I346&gt;=152.304,I346&lt;=172.403),"CAMPESTRE","")&amp;IF(AND(I346&gt;=172.404,I346&lt;=195),"PORTO FRANCO","")&amp;IF(AND(I346&gt;=300,I346&lt;=300),"SAO LUIS","")&amp;IF(AND(I346&gt;=385.4,I346&lt;=465.4),"Palmeirante","")&amp;IF(AND(I346&gt;=465.401,I346&lt;=520.455),"Tupiratins","")&amp;IF(AND(I346&gt;=520.456,I346&lt;=536.741),"Guaraí","")&amp;IF(AND(I346&gt;=536.742,I346&lt;=580.293),"Tupirama","")&amp;IF(AND(I346&gt;=580.294,I346&lt;=608.637),"Rio dos Bois","")&amp;IF(AND(I346&gt;=608.638,I346&lt;=698.981),"Miracema","")&amp;IF(AND(I346&gt;=698.982,I346&lt;=735.6),"Porto Nacional","")&amp;IF(AND(I346&gt;=195.1,I346&lt;=213.603),"ESTREITO","")&amp;IF(AND(I346&gt;=213.604,I346&lt;=218.976),"AGUIARNÓPOLIS","")&amp;IF(AND(I346&gt;=218.977,I346&lt;=253.5),"PALMEIRAS DO TOCANTINS","")&amp;IF(AND(I346&gt;=253.501,I346&lt;=274.15),"DARCINÓPOLIS","")&amp;IF(AND(I346&gt;=274.151,I346&lt;=299.999),"BABAÇULÂNDIA","")&amp;IF(AND(I346&gt;=356.62,I346&lt;=385.4),"ARAGUAÍNA","")&amp;IF(AND(I346&gt;=300.001,I346&lt;=356.619),"BABAÇULÂNDIA","")&amp;IF(AND(I346&gt;=900,I346&lt;=902),"ENG. VLI","")</f>
        <v>Tupirama</v>
      </c>
      <c r="K346" s="16">
        <v>120</v>
      </c>
      <c r="L346" s="167" t="str">
        <f>IF(K346&lt;&gt;"",VLOOKUP(K346,'Catálogo SAP'!A:F,3,FALSE),"")</f>
        <v>S.VP-01437</v>
      </c>
      <c r="M346" s="162" t="str">
        <f>IF(K346&lt;&gt;"",VLOOKUP(K346,'Catálogo SAP'!A:F,4,FALSE),"")</f>
        <v>Hr Produtiva Retroescavadeira C/Operador</v>
      </c>
      <c r="N346" s="168" t="str">
        <f>IF(K346&lt;&gt;"",VLOOKUP(K346,'Catálogo SAP'!A:F,5,FALSE),"")</f>
        <v>H</v>
      </c>
      <c r="O346" s="160">
        <v>9</v>
      </c>
      <c r="P346" s="70">
        <f t="shared" si="163"/>
        <v>9</v>
      </c>
      <c r="Q346" s="163" t="e">
        <f t="shared" si="166"/>
        <v>#VALUE!</v>
      </c>
      <c r="R346" s="44" t="str">
        <f>IF(J346&lt;&gt;"",VLOOKUP(J346,'RESUMO DR'!$B$4:$E$253,4,FALSE),"-")</f>
        <v>T-03</v>
      </c>
      <c r="S346" s="58" t="str">
        <f>IF(J346&lt;&gt;"",VLOOKUP(J346,'RESUMO DR'!$B$4:$E$253,3,FALSE),"-")</f>
        <v>PALMAS</v>
      </c>
      <c r="T346" s="129"/>
      <c r="U346" s="129"/>
      <c r="V346" s="129"/>
      <c r="W346" s="128"/>
      <c r="X346" s="127"/>
      <c r="Y346" s="127"/>
      <c r="Z346" s="4"/>
    </row>
    <row r="347" spans="1:28" ht="18" customHeight="1">
      <c r="A347" s="5"/>
      <c r="B347" s="21">
        <v>45654</v>
      </c>
      <c r="C347" s="21" t="s">
        <v>123</v>
      </c>
      <c r="D347" s="74" t="str">
        <f t="shared" ref="D347:D348" si="176">IF(B347="","-",TEXT(B347,"ddd"))</f>
        <v>sáb</v>
      </c>
      <c r="E347" s="169" t="str">
        <f>IF(K347&lt;&gt;"",VLOOKUP(K347,'Catálogo SAP'!$A$1:$F$245,2,FALSE),"-")</f>
        <v>-</v>
      </c>
      <c r="F347" s="225"/>
      <c r="G347" s="225"/>
      <c r="H347" s="226"/>
      <c r="I347" s="230"/>
      <c r="J347" s="162" t="str">
        <f t="shared" si="175"/>
        <v/>
      </c>
      <c r="K347" s="225"/>
      <c r="L347" s="167" t="str">
        <f>IF(K347&lt;&gt;"",VLOOKUP(K347,'Catálogo SAP'!A:F,3,FALSE),"")</f>
        <v/>
      </c>
      <c r="M347" s="162" t="str">
        <f>IF(K347&lt;&gt;"",VLOOKUP(K347,'Catálogo SAP'!A:F,4,FALSE),"")</f>
        <v/>
      </c>
      <c r="N347" s="168" t="str">
        <f>IF(K347&lt;&gt;"",VLOOKUP(K347,'Catálogo SAP'!A:F,5,FALSE),"")</f>
        <v/>
      </c>
      <c r="O347" s="160"/>
      <c r="P347" s="70" t="str">
        <f t="shared" si="163"/>
        <v>-</v>
      </c>
      <c r="Q347" s="163" t="str">
        <f t="shared" ref="Q347" si="177">IF(K347="","-",N347*O347)</f>
        <v>-</v>
      </c>
      <c r="R347" s="44" t="str">
        <f>IF(J347&lt;&gt;"",VLOOKUP(J347,'RESUMO DR'!$B$4:$E$253,4,FALSE),"-")</f>
        <v>-</v>
      </c>
      <c r="S347" s="58" t="str">
        <f>IF(J347&lt;&gt;"",VLOOKUP(J347,'RESUMO DR'!$B$4:$E$253,3,FALSE),"-")</f>
        <v>-</v>
      </c>
      <c r="T347" s="129"/>
      <c r="U347" s="129"/>
      <c r="V347" s="129"/>
      <c r="W347" s="128"/>
      <c r="X347" s="127"/>
      <c r="Y347" s="127"/>
      <c r="Z347" s="4"/>
    </row>
    <row r="348" spans="1:28" ht="13.8">
      <c r="A348" s="5"/>
      <c r="B348" s="21">
        <v>45654</v>
      </c>
      <c r="C348" s="21" t="s">
        <v>124</v>
      </c>
      <c r="D348" s="74" t="str">
        <f t="shared" si="176"/>
        <v>sáb</v>
      </c>
      <c r="E348" s="169" t="str">
        <f>IF(K348&lt;&gt;"",VLOOKUP(K348,'Catálogo SAP'!$A$1:$F$245,2,FALSE),"-")</f>
        <v>-</v>
      </c>
      <c r="F348" s="225"/>
      <c r="G348" s="225"/>
      <c r="H348" s="226"/>
      <c r="I348" s="230"/>
      <c r="J348" s="162" t="str">
        <f t="shared" si="32"/>
        <v/>
      </c>
      <c r="K348" s="16"/>
      <c r="L348" s="167" t="str">
        <f>IF(K348&lt;&gt;"",VLOOKUP(K348,'Catálogo SAP'!A:F,3,FALSE),"")</f>
        <v/>
      </c>
      <c r="M348" s="162" t="str">
        <f>IF(K348&lt;&gt;"",VLOOKUP(K348,'Catálogo SAP'!A:F,4,FALSE),"")</f>
        <v/>
      </c>
      <c r="N348" s="168" t="str">
        <f>IF(K348&lt;&gt;"",VLOOKUP(K348,'Catálogo SAP'!A:F,5,FALSE),"")</f>
        <v/>
      </c>
      <c r="O348" s="160"/>
      <c r="P348" s="70" t="str">
        <f t="shared" si="163"/>
        <v>-</v>
      </c>
      <c r="Q348" s="163" t="str">
        <f t="shared" si="166"/>
        <v>-</v>
      </c>
      <c r="R348" s="44" t="str">
        <f>IF(J348&lt;&gt;"",VLOOKUP(J348,'RESUMO DR'!$B$4:$E$253,4,FALSE),"-")</f>
        <v>-</v>
      </c>
      <c r="S348" s="58" t="str">
        <f>IF(J348&lt;&gt;"",VLOOKUP(J348,'RESUMO DR'!$B$4:$E$253,3,FALSE),"-")</f>
        <v>-</v>
      </c>
      <c r="T348" s="129"/>
      <c r="U348" s="129"/>
      <c r="V348" s="129"/>
      <c r="W348" s="128"/>
      <c r="X348" s="127"/>
      <c r="Y348" s="127"/>
      <c r="Z348" s="4"/>
    </row>
    <row r="349" spans="1:28" ht="18" customHeight="1">
      <c r="A349" s="5"/>
      <c r="B349" s="21">
        <v>45654</v>
      </c>
      <c r="C349" s="21" t="s">
        <v>124</v>
      </c>
      <c r="D349" s="74" t="str">
        <f t="shared" si="174"/>
        <v>sáb</v>
      </c>
      <c r="E349" s="169" t="str">
        <f>IF(K349&lt;&gt;"",VLOOKUP(K349,'Catálogo SAP'!$A$1:$F$245,2,FALSE),"-")</f>
        <v>-</v>
      </c>
      <c r="F349" s="16"/>
      <c r="G349" s="16"/>
      <c r="H349" s="22"/>
      <c r="I349" s="133"/>
      <c r="J349" s="162" t="str">
        <f t="shared" si="32"/>
        <v/>
      </c>
      <c r="K349" s="16"/>
      <c r="L349" s="167" t="str">
        <f>IF(K349&lt;&gt;"",VLOOKUP(K349,'Catálogo SAP'!A:F,3,FALSE),"")</f>
        <v/>
      </c>
      <c r="M349" s="162" t="str">
        <f>IF(K349&lt;&gt;"",VLOOKUP(K349,'Catálogo SAP'!A:F,4,FALSE),"")</f>
        <v/>
      </c>
      <c r="N349" s="168" t="str">
        <f>IF(K349&lt;&gt;"",VLOOKUP(K349,'Catálogo SAP'!A:F,5,FALSE),"")</f>
        <v/>
      </c>
      <c r="O349" s="160"/>
      <c r="P349" s="70" t="str">
        <f t="shared" si="163"/>
        <v>-</v>
      </c>
      <c r="Q349" s="163" t="str">
        <f t="shared" si="166"/>
        <v>-</v>
      </c>
      <c r="R349" s="44" t="str">
        <f>IF(J349&lt;&gt;"",VLOOKUP(J349,'RESUMO DR'!$B$4:$E$253,4,FALSE),"-")</f>
        <v>-</v>
      </c>
      <c r="S349" s="58" t="str">
        <f>IF(J349&lt;&gt;"",VLOOKUP(J349,'RESUMO DR'!$B$4:$E$253,3,FALSE),"-")</f>
        <v>-</v>
      </c>
      <c r="T349" s="129"/>
      <c r="U349" s="129"/>
      <c r="V349" s="129"/>
      <c r="W349" s="128"/>
      <c r="X349" s="127"/>
      <c r="Y349" s="127"/>
      <c r="Z349" s="4"/>
      <c r="AA349" s="38">
        <v>16567.689999999999</v>
      </c>
    </row>
    <row r="350" spans="1:28" ht="18" customHeight="1">
      <c r="A350" s="5"/>
      <c r="B350" s="21">
        <v>45654</v>
      </c>
      <c r="C350" s="21" t="s">
        <v>307</v>
      </c>
      <c r="D350" s="74" t="str">
        <f t="shared" si="174"/>
        <v>sáb</v>
      </c>
      <c r="E350" s="169" t="str">
        <f>IF(K350&lt;&gt;"",VLOOKUP(K350,'Catálogo SAP'!$A$1:$F$245,2,FALSE),"-")</f>
        <v>-</v>
      </c>
      <c r="F350" s="225"/>
      <c r="G350" s="225"/>
      <c r="H350" s="226"/>
      <c r="I350" s="230"/>
      <c r="J350" s="162" t="str">
        <f t="shared" si="32"/>
        <v/>
      </c>
      <c r="K350" s="16"/>
      <c r="L350" s="167" t="str">
        <f>IF(K350&lt;&gt;"",VLOOKUP(K350,'Catálogo SAP'!A:F,3,FALSE),"")</f>
        <v/>
      </c>
      <c r="M350" s="162" t="str">
        <f>IF(K350&lt;&gt;"",VLOOKUP(K350,'Catálogo SAP'!A:F,4,FALSE),"")</f>
        <v/>
      </c>
      <c r="N350" s="168" t="str">
        <f>IF(K350&lt;&gt;"",VLOOKUP(K350,'Catálogo SAP'!A:F,5,FALSE),"")</f>
        <v/>
      </c>
      <c r="O350" s="160"/>
      <c r="P350" s="70" t="str">
        <f t="shared" si="163"/>
        <v>-</v>
      </c>
      <c r="Q350" s="163" t="str">
        <f t="shared" si="166"/>
        <v>-</v>
      </c>
      <c r="R350" s="44" t="str">
        <f>IF(J350&lt;&gt;"",VLOOKUP(J350,'RESUMO DR'!$B$4:$E$253,4,FALSE),"-")</f>
        <v>-</v>
      </c>
      <c r="S350" s="58" t="str">
        <f>IF(J350&lt;&gt;"",VLOOKUP(J350,'RESUMO DR'!$B$4:$E$253,3,FALSE),"-")</f>
        <v>-</v>
      </c>
      <c r="T350" s="129"/>
      <c r="U350" s="129"/>
      <c r="V350" s="129"/>
      <c r="W350" s="128"/>
      <c r="X350" s="127"/>
      <c r="Y350" s="127"/>
      <c r="Z350" s="4"/>
      <c r="AA350" s="38">
        <v>80614.53</v>
      </c>
      <c r="AB350" s="157"/>
    </row>
    <row r="351" spans="1:28" ht="13.8">
      <c r="A351" s="5"/>
      <c r="B351" s="21">
        <v>45654</v>
      </c>
      <c r="C351" s="21" t="s">
        <v>308</v>
      </c>
      <c r="D351" s="74" t="str">
        <f t="shared" si="174"/>
        <v>sáb</v>
      </c>
      <c r="E351" s="169" t="str">
        <f>IF(K351&lt;&gt;"",VLOOKUP(K351,'Catálogo SAP'!$A$1:$F$245,2,FALSE),"-")</f>
        <v>-</v>
      </c>
      <c r="F351" s="225"/>
      <c r="G351" s="225"/>
      <c r="H351" s="226"/>
      <c r="I351" s="230"/>
      <c r="J351" s="162" t="str">
        <f t="shared" si="32"/>
        <v/>
      </c>
      <c r="K351" s="16"/>
      <c r="L351" s="167" t="str">
        <f>IF(K351&lt;&gt;"",VLOOKUP(K351,'Catálogo SAP'!A:F,3,FALSE),"")</f>
        <v/>
      </c>
      <c r="M351" s="162" t="str">
        <f>IF(K351&lt;&gt;"",VLOOKUP(K351,'Catálogo SAP'!A:F,4,FALSE),"")</f>
        <v/>
      </c>
      <c r="N351" s="168" t="str">
        <f>IF(K351&lt;&gt;"",VLOOKUP(K351,'Catálogo SAP'!A:F,5,FALSE),"")</f>
        <v/>
      </c>
      <c r="O351" s="160"/>
      <c r="P351" s="70" t="str">
        <f t="shared" si="163"/>
        <v>-</v>
      </c>
      <c r="Q351" s="163" t="str">
        <f t="shared" ref="Q351" si="178">IF(K351="","-",N351*O351)</f>
        <v>-</v>
      </c>
      <c r="R351" s="44" t="str">
        <f>IF(J351&lt;&gt;"",VLOOKUP(J351,'RESUMO DR'!$B$4:$E$253,4,FALSE),"-")</f>
        <v>-</v>
      </c>
      <c r="S351" s="58" t="str">
        <f>IF(J351&lt;&gt;"",VLOOKUP(J351,'RESUMO DR'!$B$4:$E$253,3,FALSE),"-")</f>
        <v>-</v>
      </c>
      <c r="T351" s="129"/>
      <c r="U351" s="129"/>
      <c r="V351" s="129"/>
      <c r="W351" s="128"/>
      <c r="X351" s="127"/>
      <c r="Y351" s="127"/>
      <c r="Z351" s="4"/>
      <c r="AA351" s="38"/>
      <c r="AB351" s="157"/>
    </row>
    <row r="352" spans="1:28" ht="18" customHeight="1">
      <c r="A352" s="5">
        <v>1993</v>
      </c>
      <c r="B352" s="21">
        <v>45654</v>
      </c>
      <c r="C352" s="21" t="s">
        <v>127</v>
      </c>
      <c r="D352" s="74" t="str">
        <f t="shared" si="174"/>
        <v>sáb</v>
      </c>
      <c r="E352" s="169">
        <f>IF(K352&lt;&gt;"",VLOOKUP(K352,'Catálogo SAP'!$A$1:$F$245,2,FALSE),"-")</f>
        <v>200</v>
      </c>
      <c r="F352" s="225">
        <v>49395</v>
      </c>
      <c r="G352" s="225">
        <v>49710</v>
      </c>
      <c r="H352" s="226"/>
      <c r="I352" s="230">
        <v>442</v>
      </c>
      <c r="J352" s="162" t="str">
        <f t="shared" si="32"/>
        <v>Palmeirante</v>
      </c>
      <c r="K352" s="16">
        <v>200</v>
      </c>
      <c r="L352" s="167" t="str">
        <f>IF(K352&lt;&gt;"",VLOOKUP(K352,'Catálogo SAP'!A:F,3,FALSE),"")</f>
        <v>S.VP-01445</v>
      </c>
      <c r="M352" s="162" t="str">
        <f>IF(K352&lt;&gt;"",VLOOKUP(K352,'Catálogo SAP'!A:F,4,FALSE),"")</f>
        <v>Km Rodado Caminhão Basculante - C/Motorista</v>
      </c>
      <c r="N352" s="168" t="str">
        <f>IF(K352&lt;&gt;"",VLOOKUP(K352,'Catálogo SAP'!A:F,5,FALSE),"")</f>
        <v>KM</v>
      </c>
      <c r="O352" s="160">
        <v>315</v>
      </c>
      <c r="P352" s="70">
        <f t="shared" si="163"/>
        <v>315</v>
      </c>
      <c r="Q352" s="163" t="e">
        <f t="shared" si="166"/>
        <v>#VALUE!</v>
      </c>
      <c r="R352" s="44" t="str">
        <f>IF(J352&lt;&gt;"",VLOOKUP(J352,'RESUMO DR'!$B$4:$E$253,4,FALSE),"-")</f>
        <v>T-02</v>
      </c>
      <c r="S352" s="58" t="str">
        <f>IF(J352&lt;&gt;"",VLOOKUP(J352,'RESUMO DR'!$B$4:$E$253,3,FALSE),"-")</f>
        <v>ARAGUAINA</v>
      </c>
      <c r="T352" s="129"/>
      <c r="U352" s="129"/>
      <c r="V352" s="129"/>
      <c r="W352" s="128"/>
      <c r="X352" s="127"/>
      <c r="Y352" s="127"/>
      <c r="Z352" s="4"/>
      <c r="AA352" s="38">
        <v>25138</v>
      </c>
    </row>
    <row r="353" spans="1:27" ht="18" customHeight="1">
      <c r="A353" s="5">
        <v>1995</v>
      </c>
      <c r="B353" s="21">
        <v>45654</v>
      </c>
      <c r="C353" s="21" t="s">
        <v>312</v>
      </c>
      <c r="D353" s="74" t="str">
        <f t="shared" ref="D353:D409" si="179">IF(B353="","-",TEXT(B353,"ddd"))</f>
        <v>sáb</v>
      </c>
      <c r="E353" s="169">
        <f>IF(K353&lt;&gt;"",VLOOKUP(K353,'Catálogo SAP'!$A$1:$F$245,2,FALSE),"-")</f>
        <v>200</v>
      </c>
      <c r="F353" s="225">
        <v>72212</v>
      </c>
      <c r="G353" s="225">
        <v>72508</v>
      </c>
      <c r="H353" s="226"/>
      <c r="I353" s="230">
        <v>326</v>
      </c>
      <c r="J353" s="162" t="str">
        <f t="shared" si="32"/>
        <v>BABAÇULÂNDIA</v>
      </c>
      <c r="K353" s="16">
        <v>200</v>
      </c>
      <c r="L353" s="167" t="str">
        <f>IF(K353&lt;&gt;"",VLOOKUP(K353,'Catálogo SAP'!A:F,3,FALSE),"")</f>
        <v>S.VP-01445</v>
      </c>
      <c r="M353" s="162" t="str">
        <f>IF(K353&lt;&gt;"",VLOOKUP(K353,'Catálogo SAP'!A:F,4,FALSE),"")</f>
        <v>Km Rodado Caminhão Basculante - C/Motorista</v>
      </c>
      <c r="N353" s="168" t="str">
        <f>IF(K353&lt;&gt;"",VLOOKUP(K353,'Catálogo SAP'!A:F,5,FALSE),"")</f>
        <v>KM</v>
      </c>
      <c r="O353" s="160">
        <v>296</v>
      </c>
      <c r="P353" s="70">
        <f t="shared" si="163"/>
        <v>296</v>
      </c>
      <c r="Q353" s="163" t="e">
        <f t="shared" si="166"/>
        <v>#VALUE!</v>
      </c>
      <c r="R353" s="44" t="str">
        <f>IF(J353&lt;&gt;"",VLOOKUP(J353,'RESUMO DR'!$B$4:$E$253,4,FALSE),"-")</f>
        <v>T-02</v>
      </c>
      <c r="S353" s="58" t="str">
        <f>IF(J353&lt;&gt;"",VLOOKUP(J353,'RESUMO DR'!$B$4:$E$253,3,FALSE),"-")</f>
        <v>ARAGUAINA</v>
      </c>
      <c r="T353" s="129"/>
      <c r="U353" s="129"/>
      <c r="V353" s="129"/>
      <c r="W353" s="128"/>
      <c r="X353" s="127"/>
      <c r="Y353" s="127"/>
      <c r="Z353" s="4"/>
    </row>
    <row r="354" spans="1:27" ht="18" customHeight="1">
      <c r="A354" s="5"/>
      <c r="B354" s="21">
        <v>45654</v>
      </c>
      <c r="C354" s="21" t="s">
        <v>128</v>
      </c>
      <c r="D354" s="74" t="str">
        <f t="shared" si="179"/>
        <v>sáb</v>
      </c>
      <c r="E354" s="169" t="str">
        <f>IF(K354&lt;&gt;"",VLOOKUP(K354,'Catálogo SAP'!$A$1:$F$245,2,FALSE),"-")</f>
        <v>-</v>
      </c>
      <c r="F354" s="225"/>
      <c r="G354" s="225"/>
      <c r="H354" s="226"/>
      <c r="I354" s="230"/>
      <c r="J354" s="162" t="str">
        <f t="shared" si="32"/>
        <v/>
      </c>
      <c r="K354" s="16"/>
      <c r="L354" s="167" t="str">
        <f>IF(K354&lt;&gt;"",VLOOKUP(K354,'Catálogo SAP'!A:F,3,FALSE),"")</f>
        <v/>
      </c>
      <c r="M354" s="162" t="str">
        <f>IF(K354&lt;&gt;"",VLOOKUP(K354,'Catálogo SAP'!A:F,4,FALSE),"")</f>
        <v/>
      </c>
      <c r="N354" s="168" t="str">
        <f>IF(K354&lt;&gt;"",VLOOKUP(K354,'Catálogo SAP'!A:F,5,FALSE),"")</f>
        <v/>
      </c>
      <c r="O354" s="160"/>
      <c r="P354" s="70" t="str">
        <f t="shared" si="163"/>
        <v>-</v>
      </c>
      <c r="Q354" s="163" t="str">
        <f t="shared" si="166"/>
        <v>-</v>
      </c>
      <c r="R354" s="44" t="str">
        <f>IF(J354&lt;&gt;"",VLOOKUP(J354,'RESUMO DR'!$B$4:$E$253,4,FALSE),"-")</f>
        <v>-</v>
      </c>
      <c r="S354" s="58" t="str">
        <f>IF(J354&lt;&gt;"",VLOOKUP(J354,'RESUMO DR'!$B$4:$E$253,3,FALSE),"-")</f>
        <v>-</v>
      </c>
      <c r="T354" s="129"/>
      <c r="U354" s="129"/>
      <c r="V354" s="129"/>
      <c r="W354" s="128"/>
      <c r="X354" s="127"/>
      <c r="Y354" s="127"/>
      <c r="Z354" s="4"/>
    </row>
    <row r="355" spans="1:27" ht="18" customHeight="1">
      <c r="A355" s="5">
        <v>1996</v>
      </c>
      <c r="B355" s="21">
        <v>45654</v>
      </c>
      <c r="C355" s="21" t="s">
        <v>129</v>
      </c>
      <c r="D355" s="74" t="str">
        <f t="shared" si="179"/>
        <v>sáb</v>
      </c>
      <c r="E355" s="169">
        <f>IF(K355&lt;&gt;"",VLOOKUP(K355,'Catálogo SAP'!$A$1:$F$245,2,FALSE),"-")</f>
        <v>200</v>
      </c>
      <c r="F355" s="225">
        <v>80809</v>
      </c>
      <c r="G355" s="225">
        <v>80877</v>
      </c>
      <c r="H355" s="226"/>
      <c r="I355" s="230">
        <v>574</v>
      </c>
      <c r="J355" s="162" t="str">
        <f t="shared" si="32"/>
        <v>Tupirama</v>
      </c>
      <c r="K355" s="16">
        <v>200</v>
      </c>
      <c r="L355" s="167" t="str">
        <f>IF(K355&lt;&gt;"",VLOOKUP(K355,'Catálogo SAP'!A:F,3,FALSE),"")</f>
        <v>S.VP-01445</v>
      </c>
      <c r="M355" s="162" t="str">
        <f>IF(K355&lt;&gt;"",VLOOKUP(K355,'Catálogo SAP'!A:F,4,FALSE),"")</f>
        <v>Km Rodado Caminhão Basculante - C/Motorista</v>
      </c>
      <c r="N355" s="168" t="str">
        <f>IF(K355&lt;&gt;"",VLOOKUP(K355,'Catálogo SAP'!A:F,5,FALSE),"")</f>
        <v>KM</v>
      </c>
      <c r="O355" s="160">
        <v>68</v>
      </c>
      <c r="P355" s="70">
        <f t="shared" si="163"/>
        <v>68</v>
      </c>
      <c r="Q355" s="163" t="e">
        <f t="shared" si="166"/>
        <v>#VALUE!</v>
      </c>
      <c r="R355" s="44" t="str">
        <f>IF(J355&lt;&gt;"",VLOOKUP(J355,'RESUMO DR'!$B$4:$E$253,4,FALSE),"-")</f>
        <v>T-03</v>
      </c>
      <c r="S355" s="58" t="str">
        <f>IF(J355&lt;&gt;"",VLOOKUP(J355,'RESUMO DR'!$B$4:$E$253,3,FALSE),"-")</f>
        <v>PALMAS</v>
      </c>
      <c r="T355" s="129"/>
      <c r="U355" s="129"/>
      <c r="V355" s="129"/>
      <c r="W355" s="128"/>
      <c r="X355" s="127"/>
      <c r="Y355" s="127"/>
      <c r="Z355" s="4"/>
    </row>
    <row r="356" spans="1:27" ht="18" customHeight="1">
      <c r="A356" s="5"/>
      <c r="B356" s="21">
        <v>45654</v>
      </c>
      <c r="C356" s="21" t="s">
        <v>298</v>
      </c>
      <c r="D356" s="74" t="str">
        <f t="shared" si="179"/>
        <v>sáb</v>
      </c>
      <c r="E356" s="169" t="str">
        <f>IF(K356&lt;&gt;"",VLOOKUP(K356,'Catálogo SAP'!$A$1:$F$245,2,FALSE),"-")</f>
        <v>-</v>
      </c>
      <c r="F356" s="225"/>
      <c r="G356" s="225"/>
      <c r="H356" s="226"/>
      <c r="I356" s="230"/>
      <c r="J356" s="162" t="str">
        <f t="shared" si="32"/>
        <v/>
      </c>
      <c r="K356" s="16"/>
      <c r="L356" s="167" t="str">
        <f>IF(K356&lt;&gt;"",VLOOKUP(K356,'Catálogo SAP'!A:F,3,FALSE),"")</f>
        <v/>
      </c>
      <c r="M356" s="162" t="str">
        <f>IF(K356&lt;&gt;"",VLOOKUP(K356,'Catálogo SAP'!A:F,4,FALSE),"")</f>
        <v/>
      </c>
      <c r="N356" s="168" t="str">
        <f>IF(K356&lt;&gt;"",VLOOKUP(K356,'Catálogo SAP'!A:F,5,FALSE),"")</f>
        <v/>
      </c>
      <c r="O356" s="160"/>
      <c r="P356" s="70" t="str">
        <f t="shared" si="163"/>
        <v>-</v>
      </c>
      <c r="Q356" s="163" t="str">
        <f t="shared" si="166"/>
        <v>-</v>
      </c>
      <c r="R356" s="44" t="str">
        <f>IF(J356&lt;&gt;"",VLOOKUP(J356,'RESUMO DR'!$B$4:$E$253,4,FALSE),"-")</f>
        <v>-</v>
      </c>
      <c r="S356" s="58" t="str">
        <f>IF(J356&lt;&gt;"",VLOOKUP(J356,'RESUMO DR'!$B$4:$E$253,3,FALSE),"-")</f>
        <v>-</v>
      </c>
      <c r="T356" s="129"/>
      <c r="U356" s="129"/>
      <c r="V356" s="129"/>
      <c r="W356" s="128"/>
      <c r="X356" s="127"/>
      <c r="Y356" s="127"/>
      <c r="Z356" s="4"/>
      <c r="AA356" s="38">
        <f>SUM(AA341:AA352)</f>
        <v>156830.68</v>
      </c>
    </row>
    <row r="357" spans="1:27" ht="18" customHeight="1">
      <c r="A357" s="5"/>
      <c r="B357" s="21">
        <v>45654</v>
      </c>
      <c r="C357" s="21" t="s">
        <v>131</v>
      </c>
      <c r="D357" s="74" t="str">
        <f t="shared" si="179"/>
        <v>sáb</v>
      </c>
      <c r="E357" s="169" t="str">
        <f>IF(K357&lt;&gt;"",VLOOKUP(K357,'Catálogo SAP'!$A$1:$F$245,2,FALSE),"-")</f>
        <v>-</v>
      </c>
      <c r="F357" s="225"/>
      <c r="G357" s="16"/>
      <c r="H357" s="226"/>
      <c r="I357" s="230"/>
      <c r="J357" s="162" t="str">
        <f t="shared" si="32"/>
        <v/>
      </c>
      <c r="K357" s="16"/>
      <c r="L357" s="167" t="str">
        <f>IF(K357&lt;&gt;"",VLOOKUP(K357,'Catálogo SAP'!A:F,3,FALSE),"")</f>
        <v/>
      </c>
      <c r="M357" s="162" t="str">
        <f>IF(K357&lt;&gt;"",VLOOKUP(K357,'Catálogo SAP'!A:F,4,FALSE),"")</f>
        <v/>
      </c>
      <c r="N357" s="168" t="str">
        <f>IF(K357&lt;&gt;"",VLOOKUP(K357,'Catálogo SAP'!A:F,5,FALSE),"")</f>
        <v/>
      </c>
      <c r="O357" s="160"/>
      <c r="P357" s="70" t="str">
        <f t="shared" si="163"/>
        <v>-</v>
      </c>
      <c r="Q357" s="163" t="str">
        <f t="shared" ref="Q357:Q358" si="180">IF(K357="","-",N357*O357)</f>
        <v>-</v>
      </c>
      <c r="R357" s="44" t="str">
        <f>IF(J357&lt;&gt;"",VLOOKUP(J357,'RESUMO DR'!$B$4:$E$253,4,FALSE),"-")</f>
        <v>-</v>
      </c>
      <c r="S357" s="58" t="str">
        <f>IF(J357&lt;&gt;"",VLOOKUP(J357,'RESUMO DR'!$B$4:$E$253,3,FALSE),"-")</f>
        <v>-</v>
      </c>
      <c r="T357" s="129"/>
      <c r="U357" s="129"/>
      <c r="V357" s="129"/>
      <c r="W357" s="128"/>
      <c r="X357" s="127"/>
      <c r="Y357" s="127"/>
      <c r="Z357" s="4"/>
    </row>
    <row r="358" spans="1:27" ht="18" customHeight="1">
      <c r="A358" s="5"/>
      <c r="B358" s="21">
        <v>45654</v>
      </c>
      <c r="C358" s="21" t="s">
        <v>131</v>
      </c>
      <c r="D358" s="74" t="str">
        <f t="shared" si="179"/>
        <v>sáb</v>
      </c>
      <c r="E358" s="169" t="str">
        <f>IF(K358&lt;&gt;"",VLOOKUP(K358,'Catálogo SAP'!$A$1:$F$245,2,FALSE),"-")</f>
        <v>-</v>
      </c>
      <c r="F358" s="16"/>
      <c r="G358" s="16"/>
      <c r="H358" s="22"/>
      <c r="I358" s="133"/>
      <c r="J358" s="162" t="str">
        <f t="shared" si="32"/>
        <v/>
      </c>
      <c r="K358" s="16"/>
      <c r="L358" s="167" t="str">
        <f>IF(K358&lt;&gt;"",VLOOKUP(K358,'Catálogo SAP'!A:F,3,FALSE),"")</f>
        <v/>
      </c>
      <c r="M358" s="162" t="str">
        <f>IF(K358&lt;&gt;"",VLOOKUP(K358,'Catálogo SAP'!A:F,4,FALSE),"")</f>
        <v/>
      </c>
      <c r="N358" s="168" t="str">
        <f>IF(K358&lt;&gt;"",VLOOKUP(K358,'Catálogo SAP'!A:F,5,FALSE),"")</f>
        <v/>
      </c>
      <c r="O358" s="160"/>
      <c r="P358" s="70" t="str">
        <f t="shared" si="163"/>
        <v>-</v>
      </c>
      <c r="Q358" s="163" t="str">
        <f t="shared" si="180"/>
        <v>-</v>
      </c>
      <c r="R358" s="44" t="str">
        <f>IF(J358&lt;&gt;"",VLOOKUP(J358,'RESUMO DR'!$B$4:$E$253,4,FALSE),"-")</f>
        <v>-</v>
      </c>
      <c r="S358" s="58" t="str">
        <f>IF(J358&lt;&gt;"",VLOOKUP(J358,'RESUMO DR'!$B$4:$E$253,3,FALSE),"-")</f>
        <v>-</v>
      </c>
      <c r="T358" s="129"/>
      <c r="U358" s="129"/>
      <c r="V358" s="129"/>
      <c r="W358" s="128"/>
      <c r="X358" s="127"/>
      <c r="Y358" s="127"/>
      <c r="Z358" s="4"/>
    </row>
    <row r="359" spans="1:27" ht="18" customHeight="1">
      <c r="A359" s="5">
        <v>1993</v>
      </c>
      <c r="B359" s="21">
        <v>45654</v>
      </c>
      <c r="C359" s="21" t="s">
        <v>311</v>
      </c>
      <c r="D359" s="74" t="str">
        <f t="shared" si="179"/>
        <v>sáb</v>
      </c>
      <c r="E359" s="169">
        <f>IF(K359&lt;&gt;"",VLOOKUP(K359,'Catálogo SAP'!$A$1:$F$245,2,FALSE),"-")</f>
        <v>120</v>
      </c>
      <c r="F359" s="16">
        <v>1154</v>
      </c>
      <c r="G359" s="16">
        <v>1163</v>
      </c>
      <c r="H359" s="22"/>
      <c r="I359" s="133">
        <v>442</v>
      </c>
      <c r="J359" s="162" t="str">
        <f t="shared" ref="J359:J360" si="181">IF(AND(I359&gt;=0.001,I359&lt;=16),"AÇAILÂNDIA","")&amp;IF(AND(I359&gt;=16.001,I359&lt;=44),"S.F. BREJÃO","")&amp;IF(AND(I359&gt;=44.001,I359&lt;=78),"JOÃO LISBOA","")&amp;IF(AND(I359&gt;=78.001,I359&lt;=96.397),"IMPERATRIZ","")&amp;IF(AND(I359&gt;=96.398,I359&lt;=122.82),"EDSON LOBÃO","")&amp;IF(AND(I359&gt;=122.821,I359&lt;=152.303),"RIBAMAR FIQUENE","")&amp;IF(AND(I359&gt;=152.304,I359&lt;=172.403),"CAMPESTRE","")&amp;IF(AND(I359&gt;=172.404,I359&lt;=195),"PORTO FRANCO","")&amp;IF(AND(I359&gt;=300,I359&lt;=300),"SAO LUIS","")&amp;IF(AND(I359&gt;=385.4,I359&lt;=465.4),"Palmeirante","")&amp;IF(AND(I359&gt;=465.401,I359&lt;=520.455),"Tupiratins","")&amp;IF(AND(I359&gt;=520.456,I359&lt;=536.741),"Guaraí","")&amp;IF(AND(I359&gt;=536.742,I359&lt;=580.293),"Tupirama","")&amp;IF(AND(I359&gt;=580.294,I359&lt;=608.637),"Rio dos Bois","")&amp;IF(AND(I359&gt;=608.638,I359&lt;=698.981),"Miracema","")&amp;IF(AND(I359&gt;=698.982,I359&lt;=735.6),"Porto Nacional","")&amp;IF(AND(I359&gt;=195.1,I359&lt;=213.603),"ESTREITO","")&amp;IF(AND(I359&gt;=213.604,I359&lt;=218.976),"AGUIARNÓPOLIS","")&amp;IF(AND(I359&gt;=218.977,I359&lt;=253.5),"PALMEIRAS DO TOCANTINS","")&amp;IF(AND(I359&gt;=253.501,I359&lt;=274.15),"DARCINÓPOLIS","")&amp;IF(AND(I359&gt;=274.151,I359&lt;=299.999),"BABAÇULÂNDIA","")&amp;IF(AND(I359&gt;=356.62,I359&lt;=385.4),"ARAGUAÍNA","")&amp;IF(AND(I359&gt;=300.001,I359&lt;=356.619),"BABAÇULÂNDIA","")&amp;IF(AND(I359&gt;=900,I359&lt;=902),"ENG. VLI","")</f>
        <v>Palmeirante</v>
      </c>
      <c r="K359" s="16">
        <v>120</v>
      </c>
      <c r="L359" s="167" t="str">
        <f>IF(K359&lt;&gt;"",VLOOKUP(K359,'Catálogo SAP'!A:F,3,FALSE),"")</f>
        <v>S.VP-01437</v>
      </c>
      <c r="M359" s="162" t="str">
        <f>IF(K359&lt;&gt;"",VLOOKUP(K359,'Catálogo SAP'!A:F,4,FALSE),"")</f>
        <v>Hr Produtiva Retroescavadeira C/Operador</v>
      </c>
      <c r="N359" s="168" t="str">
        <f>IF(K359&lt;&gt;"",VLOOKUP(K359,'Catálogo SAP'!A:F,5,FALSE),"")</f>
        <v>H</v>
      </c>
      <c r="O359" s="160">
        <v>9</v>
      </c>
      <c r="P359" s="70">
        <f t="shared" si="163"/>
        <v>9</v>
      </c>
      <c r="Q359" s="163" t="e">
        <f t="shared" si="166"/>
        <v>#VALUE!</v>
      </c>
      <c r="R359" s="44" t="str">
        <f>IF(J359&lt;&gt;"",VLOOKUP(J359,'RESUMO DR'!$B$4:$E$253,4,FALSE),"-")</f>
        <v>T-02</v>
      </c>
      <c r="S359" s="58" t="str">
        <f>IF(J359&lt;&gt;"",VLOOKUP(J359,'RESUMO DR'!$B$4:$E$253,3,FALSE),"-")</f>
        <v>ARAGUAINA</v>
      </c>
      <c r="T359" s="129"/>
      <c r="U359" s="129"/>
      <c r="V359" s="129"/>
      <c r="W359" s="128"/>
      <c r="X359" s="127"/>
      <c r="Y359" s="127"/>
      <c r="Z359" s="4"/>
    </row>
    <row r="360" spans="1:27" ht="18" customHeight="1">
      <c r="A360" s="5"/>
      <c r="B360" s="21">
        <v>45654</v>
      </c>
      <c r="C360" s="21" t="s">
        <v>311</v>
      </c>
      <c r="D360" s="74" t="str">
        <f t="shared" si="179"/>
        <v>sáb</v>
      </c>
      <c r="E360" s="169" t="str">
        <f>IF(K360&lt;&gt;"",VLOOKUP(K360,'Catálogo SAP'!$A$1:$F$245,2,FALSE),"-")</f>
        <v>-</v>
      </c>
      <c r="F360" s="225"/>
      <c r="G360" s="225"/>
      <c r="H360" s="226"/>
      <c r="I360" s="230"/>
      <c r="J360" s="162" t="str">
        <f t="shared" si="181"/>
        <v/>
      </c>
      <c r="K360" s="16"/>
      <c r="L360" s="167" t="str">
        <f>IF(K360&lt;&gt;"",VLOOKUP(K360,'Catálogo SAP'!A:F,3,FALSE),"")</f>
        <v/>
      </c>
      <c r="M360" s="162" t="str">
        <f>IF(K360&lt;&gt;"",VLOOKUP(K360,'Catálogo SAP'!A:F,4,FALSE),"")</f>
        <v/>
      </c>
      <c r="N360" s="168" t="str">
        <f>IF(K360&lt;&gt;"",VLOOKUP(K360,'Catálogo SAP'!A:F,5,FALSE),"")</f>
        <v/>
      </c>
      <c r="O360" s="160"/>
      <c r="P360" s="70" t="str">
        <f t="shared" si="163"/>
        <v>-</v>
      </c>
      <c r="Q360" s="163" t="str">
        <f t="shared" si="166"/>
        <v>-</v>
      </c>
      <c r="R360" s="44" t="str">
        <f>IF(J360&lt;&gt;"",VLOOKUP(J360,'RESUMO DR'!$B$4:$E$253,4,FALSE),"-")</f>
        <v>-</v>
      </c>
      <c r="S360" s="58" t="str">
        <f>IF(J360&lt;&gt;"",VLOOKUP(J360,'RESUMO DR'!$B$4:$E$253,3,FALSE),"-")</f>
        <v>-</v>
      </c>
      <c r="T360" s="129"/>
      <c r="U360" s="129"/>
      <c r="V360" s="129"/>
      <c r="W360" s="128"/>
      <c r="X360" s="127"/>
      <c r="Y360" s="127"/>
      <c r="Z360" s="4"/>
    </row>
    <row r="361" spans="1:27" ht="18" customHeight="1">
      <c r="A361" s="5">
        <v>1993</v>
      </c>
      <c r="B361" s="21">
        <v>45654</v>
      </c>
      <c r="C361" s="21" t="s">
        <v>305</v>
      </c>
      <c r="D361" s="74" t="str">
        <f t="shared" si="179"/>
        <v>sáb</v>
      </c>
      <c r="E361" s="169">
        <f>IF(K361&lt;&gt;"",VLOOKUP(K361,'Catálogo SAP'!$A$1:$F$245,2,FALSE),"-")</f>
        <v>280</v>
      </c>
      <c r="F361" s="225">
        <v>203</v>
      </c>
      <c r="G361" s="16">
        <v>212</v>
      </c>
      <c r="H361" s="226"/>
      <c r="I361" s="230">
        <v>442</v>
      </c>
      <c r="J361" s="162" t="str">
        <f t="shared" si="32"/>
        <v>Palmeirante</v>
      </c>
      <c r="K361" s="16">
        <v>280</v>
      </c>
      <c r="L361" s="167" t="str">
        <f>IF(K361&lt;&gt;"",VLOOKUP(K361,'Catálogo SAP'!A:F,3,FALSE),"")</f>
        <v>S.VP-01453</v>
      </c>
      <c r="M361" s="162" t="str">
        <f>IF(K361&lt;&gt;"",VLOOKUP(K361,'Catálogo SAP'!A:F,4,FALSE),"")</f>
        <v>Hora Produtiva Motoniveladora C/Operador</v>
      </c>
      <c r="N361" s="168" t="str">
        <f>IF(K361&lt;&gt;"",VLOOKUP(K361,'Catálogo SAP'!A:F,5,FALSE),"")</f>
        <v>H</v>
      </c>
      <c r="O361" s="160">
        <v>9</v>
      </c>
      <c r="P361" s="70">
        <f t="shared" si="163"/>
        <v>9</v>
      </c>
      <c r="Q361" s="163" t="e">
        <f t="shared" si="166"/>
        <v>#VALUE!</v>
      </c>
      <c r="R361" s="44" t="str">
        <f>IF(J361&lt;&gt;"",VLOOKUP(J361,'RESUMO DR'!$B$4:$E$253,4,FALSE),"-")</f>
        <v>T-02</v>
      </c>
      <c r="S361" s="58" t="str">
        <f>IF(J361&lt;&gt;"",VLOOKUP(J361,'RESUMO DR'!$B$4:$E$253,3,FALSE),"-")</f>
        <v>ARAGUAINA</v>
      </c>
      <c r="T361" s="129"/>
      <c r="U361" s="129"/>
      <c r="V361" s="129"/>
      <c r="W361" s="128"/>
      <c r="X361" s="127"/>
      <c r="Y361" s="127"/>
      <c r="Z361" s="4"/>
    </row>
    <row r="362" spans="1:27" ht="13.8">
      <c r="A362" s="5"/>
      <c r="B362" s="21">
        <v>45654</v>
      </c>
      <c r="C362" s="21" t="s">
        <v>305</v>
      </c>
      <c r="D362" s="74" t="str">
        <f t="shared" si="179"/>
        <v>sáb</v>
      </c>
      <c r="E362" s="169" t="str">
        <f>IF(K362&lt;&gt;"",VLOOKUP(K362,'Catálogo SAP'!$A$1:$F$245,2,FALSE),"-")</f>
        <v>-</v>
      </c>
      <c r="F362" s="16"/>
      <c r="G362" s="16"/>
      <c r="H362" s="22"/>
      <c r="I362" s="133"/>
      <c r="J362" s="162" t="str">
        <f t="shared" si="32"/>
        <v/>
      </c>
      <c r="K362" s="16"/>
      <c r="L362" s="167" t="str">
        <f>IF(K362&lt;&gt;"",VLOOKUP(K362,'Catálogo SAP'!A:F,3,FALSE),"")</f>
        <v/>
      </c>
      <c r="M362" s="162" t="str">
        <f>IF(K362&lt;&gt;"",VLOOKUP(K362,'Catálogo SAP'!A:F,4,FALSE),"")</f>
        <v/>
      </c>
      <c r="N362" s="168" t="str">
        <f>IF(K362&lt;&gt;"",VLOOKUP(K362,'Catálogo SAP'!A:F,5,FALSE),"")</f>
        <v/>
      </c>
      <c r="O362" s="160"/>
      <c r="P362" s="70" t="str">
        <f t="shared" si="163"/>
        <v>-</v>
      </c>
      <c r="Q362" s="163" t="str">
        <f t="shared" si="166"/>
        <v>-</v>
      </c>
      <c r="R362" s="44" t="str">
        <f>IF(J362&lt;&gt;"",VLOOKUP(J362,'RESUMO DR'!$B$4:$E$253,4,FALSE),"-")</f>
        <v>-</v>
      </c>
      <c r="S362" s="58" t="str">
        <f>IF(J362&lt;&gt;"",VLOOKUP(J362,'RESUMO DR'!$B$4:$E$253,3,FALSE),"-")</f>
        <v>-</v>
      </c>
      <c r="T362" s="129"/>
      <c r="U362" s="129"/>
      <c r="V362" s="129"/>
      <c r="W362" s="128"/>
      <c r="X362" s="127"/>
      <c r="Y362" s="127"/>
      <c r="Z362" s="4"/>
    </row>
    <row r="363" spans="1:27" ht="13.8">
      <c r="A363" s="5"/>
      <c r="B363" s="21">
        <v>45654</v>
      </c>
      <c r="C363" s="21" t="s">
        <v>300</v>
      </c>
      <c r="D363" s="74" t="str">
        <f t="shared" si="179"/>
        <v>sáb</v>
      </c>
      <c r="E363" s="169" t="str">
        <f>IF(K363&lt;&gt;"",VLOOKUP(K363,'Catálogo SAP'!$A$1:$F$245,2,FALSE),"-")</f>
        <v>-</v>
      </c>
      <c r="F363" s="225"/>
      <c r="G363" s="225"/>
      <c r="H363" s="226"/>
      <c r="I363" s="230"/>
      <c r="J363" s="162" t="str">
        <f t="shared" si="32"/>
        <v/>
      </c>
      <c r="K363" s="16"/>
      <c r="L363" s="167" t="str">
        <f>IF(K363&lt;&gt;"",VLOOKUP(K363,'Catálogo SAP'!A:F,3,FALSE),"")</f>
        <v/>
      </c>
      <c r="M363" s="162" t="str">
        <f>IF(K363&lt;&gt;"",VLOOKUP(K363,'Catálogo SAP'!A:F,4,FALSE),"")</f>
        <v/>
      </c>
      <c r="N363" s="168" t="str">
        <f>IF(K363&lt;&gt;"",VLOOKUP(K363,'Catálogo SAP'!A:F,5,FALSE),"")</f>
        <v/>
      </c>
      <c r="O363" s="160"/>
      <c r="P363" s="70" t="str">
        <f t="shared" si="163"/>
        <v>-</v>
      </c>
      <c r="Q363" s="163" t="str">
        <f t="shared" si="166"/>
        <v>-</v>
      </c>
      <c r="R363" s="44" t="str">
        <f>IF(J363&lt;&gt;"",VLOOKUP(J363,'RESUMO DR'!$B$4:$E$253,4,FALSE),"-")</f>
        <v>-</v>
      </c>
      <c r="S363" s="58" t="str">
        <f>IF(J363&lt;&gt;"",VLOOKUP(J363,'RESUMO DR'!$B$4:$E$253,3,FALSE),"-")</f>
        <v>-</v>
      </c>
      <c r="T363" s="129"/>
      <c r="U363" s="129"/>
      <c r="V363" s="129"/>
      <c r="W363" s="128"/>
      <c r="X363" s="127"/>
      <c r="Y363" s="127"/>
      <c r="Z363" s="4"/>
    </row>
    <row r="364" spans="1:27" ht="13.8">
      <c r="A364" s="5"/>
      <c r="B364" s="21">
        <v>45654</v>
      </c>
      <c r="C364" s="21" t="s">
        <v>300</v>
      </c>
      <c r="D364" s="74" t="str">
        <f t="shared" si="179"/>
        <v>sáb</v>
      </c>
      <c r="E364" s="169" t="str">
        <f>IF(K364&lt;&gt;"",VLOOKUP(K364,'Catálogo SAP'!$A$1:$F$245,2,FALSE),"-")</f>
        <v>-</v>
      </c>
      <c r="F364" s="225"/>
      <c r="G364" s="225"/>
      <c r="H364" s="226"/>
      <c r="I364" s="230"/>
      <c r="J364" s="162" t="str">
        <f t="shared" si="32"/>
        <v/>
      </c>
      <c r="K364" s="16"/>
      <c r="L364" s="167" t="str">
        <f>IF(K364&lt;&gt;"",VLOOKUP(K364,'Catálogo SAP'!A:F,3,FALSE),"")</f>
        <v/>
      </c>
      <c r="M364" s="162" t="str">
        <f>IF(K364&lt;&gt;"",VLOOKUP(K364,'Catálogo SAP'!A:F,4,FALSE),"")</f>
        <v/>
      </c>
      <c r="N364" s="168" t="str">
        <f>IF(K364&lt;&gt;"",VLOOKUP(K364,'Catálogo SAP'!A:F,5,FALSE),"")</f>
        <v/>
      </c>
      <c r="O364" s="160"/>
      <c r="P364" s="70" t="str">
        <f t="shared" si="163"/>
        <v>-</v>
      </c>
      <c r="Q364" s="163" t="str">
        <f t="shared" si="166"/>
        <v>-</v>
      </c>
      <c r="R364" s="44" t="str">
        <f>IF(J364&lt;&gt;"",VLOOKUP(J364,'RESUMO DR'!$B$4:$E$253,4,FALSE),"-")</f>
        <v>-</v>
      </c>
      <c r="S364" s="58" t="str">
        <f>IF(J364&lt;&gt;"",VLOOKUP(J364,'RESUMO DR'!$B$4:$E$253,3,FALSE),"-")</f>
        <v>-</v>
      </c>
      <c r="T364" s="129"/>
      <c r="U364" s="129"/>
      <c r="V364" s="129"/>
      <c r="W364" s="128"/>
      <c r="X364" s="127"/>
      <c r="Y364" s="127"/>
      <c r="Z364" s="4"/>
    </row>
    <row r="365" spans="1:27" ht="13.8">
      <c r="A365" s="5"/>
      <c r="B365" s="21">
        <v>45654</v>
      </c>
      <c r="C365" s="21" t="s">
        <v>134</v>
      </c>
      <c r="D365" s="74" t="str">
        <f t="shared" si="179"/>
        <v>sáb</v>
      </c>
      <c r="E365" s="169" t="str">
        <f>IF(K365&lt;&gt;"",VLOOKUP(K365,'Catálogo SAP'!$A$1:$F$245,2,FALSE),"-")</f>
        <v>-</v>
      </c>
      <c r="F365" s="225"/>
      <c r="G365" s="225"/>
      <c r="H365" s="226"/>
      <c r="I365" s="230"/>
      <c r="J365" s="162" t="str">
        <f t="shared" ref="J365:J370" si="182">IF(AND(I365&gt;=0.001,I365&lt;=16),"AÇAILÂNDIA","")&amp;IF(AND(I365&gt;=16.001,I365&lt;=44),"S.F. BREJÃO","")&amp;IF(AND(I365&gt;=44.001,I365&lt;=78),"JOÃO LISBOA","")&amp;IF(AND(I365&gt;=78.001,I365&lt;=96.397),"IMPERATRIZ","")&amp;IF(AND(I365&gt;=96.398,I365&lt;=122.82),"EDSON LOBÃO","")&amp;IF(AND(I365&gt;=122.821,I365&lt;=152.303),"RIBAMAR FIQUENE","")&amp;IF(AND(I365&gt;=152.304,I365&lt;=172.403),"CAMPESTRE","")&amp;IF(AND(I365&gt;=172.404,I365&lt;=195),"PORTO FRANCO","")&amp;IF(AND(I365&gt;=300,I365&lt;=300),"SAO LUIS","")&amp;IF(AND(I365&gt;=385.4,I365&lt;=465.4),"Palmeirante","")&amp;IF(AND(I365&gt;=465.401,I365&lt;=520.455),"Tupiratins","")&amp;IF(AND(I365&gt;=520.456,I365&lt;=536.741),"Guaraí","")&amp;IF(AND(I365&gt;=536.742,I365&lt;=580.293),"Tupirama","")&amp;IF(AND(I365&gt;=580.294,I365&lt;=608.637),"Rio dos Bois","")&amp;IF(AND(I365&gt;=608.638,I365&lt;=698.981),"Miracema","")&amp;IF(AND(I365&gt;=698.982,I365&lt;=735.6),"Porto Nacional","")&amp;IF(AND(I365&gt;=195.1,I365&lt;=213.603),"ESTREITO","")&amp;IF(AND(I365&gt;=213.604,I365&lt;=218.976),"AGUIARNÓPOLIS","")&amp;IF(AND(I365&gt;=218.977,I365&lt;=253.5),"PALMEIRAS DO TOCANTINS","")&amp;IF(AND(I365&gt;=253.501,I365&lt;=274.15),"DARCINÓPOLIS","")&amp;IF(AND(I365&gt;=274.151,I365&lt;=299.999),"BABAÇULÂNDIA","")&amp;IF(AND(I365&gt;=356.62,I365&lt;=385.4),"ARAGUAÍNA","")&amp;IF(AND(I365&gt;=300.001,I365&lt;=356.619),"BABAÇULÂNDIA","")&amp;IF(AND(I365&gt;=900,I365&lt;=902),"ENG. VLI","")</f>
        <v/>
      </c>
      <c r="K365" s="16"/>
      <c r="L365" s="167" t="str">
        <f>IF(K365&lt;&gt;"",VLOOKUP(K365,'Catálogo SAP'!A:F,3,FALSE),"")</f>
        <v/>
      </c>
      <c r="M365" s="162" t="str">
        <f>IF(K365&lt;&gt;"",VLOOKUP(K365,'Catálogo SAP'!A:F,4,FALSE),"")</f>
        <v/>
      </c>
      <c r="N365" s="168" t="str">
        <f>IF(K365&lt;&gt;"",VLOOKUP(K365,'Catálogo SAP'!A:F,5,FALSE),"")</f>
        <v/>
      </c>
      <c r="O365" s="160"/>
      <c r="P365" s="70" t="str">
        <f t="shared" si="163"/>
        <v>-</v>
      </c>
      <c r="Q365" s="163" t="str">
        <f t="shared" si="166"/>
        <v>-</v>
      </c>
      <c r="R365" s="44" t="str">
        <f>IF(J365&lt;&gt;"",VLOOKUP(J365,'RESUMO DR'!$B$4:$E$253,4,FALSE),"-")</f>
        <v>-</v>
      </c>
      <c r="S365" s="58" t="str">
        <f>IF(J365&lt;&gt;"",VLOOKUP(J365,'RESUMO DR'!$B$4:$E$253,3,FALSE),"-")</f>
        <v>-</v>
      </c>
      <c r="T365" s="129"/>
      <c r="U365" s="129"/>
      <c r="V365" s="129"/>
      <c r="W365" s="128"/>
      <c r="X365" s="127"/>
      <c r="Y365" s="127"/>
      <c r="Z365" s="4"/>
    </row>
    <row r="366" spans="1:27" ht="13.8">
      <c r="A366" s="5"/>
      <c r="B366" s="21">
        <v>45654</v>
      </c>
      <c r="C366" s="21" t="s">
        <v>134</v>
      </c>
      <c r="D366" s="74" t="str">
        <f t="shared" si="179"/>
        <v>sáb</v>
      </c>
      <c r="E366" s="169" t="str">
        <f>IF(K366&lt;&gt;"",VLOOKUP(K366,'Catálogo SAP'!$A$1:$F$245,2,FALSE),"-")</f>
        <v>-</v>
      </c>
      <c r="F366" s="225"/>
      <c r="G366" s="225"/>
      <c r="H366" s="226"/>
      <c r="I366" s="230"/>
      <c r="J366" s="162" t="str">
        <f t="shared" si="182"/>
        <v/>
      </c>
      <c r="K366" s="16"/>
      <c r="L366" s="167" t="str">
        <f>IF(K366&lt;&gt;"",VLOOKUP(K366,'Catálogo SAP'!A:F,3,FALSE),"")</f>
        <v/>
      </c>
      <c r="M366" s="162" t="str">
        <f>IF(K366&lt;&gt;"",VLOOKUP(K366,'Catálogo SAP'!A:F,4,FALSE),"")</f>
        <v/>
      </c>
      <c r="N366" s="168" t="str">
        <f>IF(K366&lt;&gt;"",VLOOKUP(K366,'Catálogo SAP'!A:F,5,FALSE),"")</f>
        <v/>
      </c>
      <c r="O366" s="160"/>
      <c r="P366" s="70" t="str">
        <f t="shared" si="163"/>
        <v>-</v>
      </c>
      <c r="Q366" s="163" t="str">
        <f t="shared" si="166"/>
        <v>-</v>
      </c>
      <c r="R366" s="44" t="str">
        <f>IF(J366&lt;&gt;"",VLOOKUP(J366,'RESUMO DR'!$B$4:$E$253,4,FALSE),"-")</f>
        <v>-</v>
      </c>
      <c r="S366" s="58" t="str">
        <f>IF(J366&lt;&gt;"",VLOOKUP(J366,'RESUMO DR'!$B$4:$E$253,3,FALSE),"-")</f>
        <v>-</v>
      </c>
      <c r="T366" s="129"/>
      <c r="U366" s="129"/>
      <c r="V366" s="129"/>
      <c r="W366" s="128"/>
      <c r="X366" s="127"/>
      <c r="Y366" s="127"/>
      <c r="Z366" s="4"/>
    </row>
    <row r="367" spans="1:27" ht="13.8">
      <c r="A367" s="5"/>
      <c r="B367" s="21">
        <v>45654</v>
      </c>
      <c r="C367" s="21"/>
      <c r="D367" s="74" t="str">
        <f t="shared" si="179"/>
        <v>sáb</v>
      </c>
      <c r="E367" s="169" t="str">
        <f>IF(K367&lt;&gt;"",VLOOKUP(K367,'Catálogo SAP'!$A$1:$F$245,2,FALSE),"-")</f>
        <v>-</v>
      </c>
      <c r="F367" s="16"/>
      <c r="G367" s="16"/>
      <c r="H367" s="22"/>
      <c r="I367" s="133"/>
      <c r="J367" s="162" t="str">
        <f t="shared" si="182"/>
        <v/>
      </c>
      <c r="K367" s="16"/>
      <c r="L367" s="167" t="str">
        <f>IF(K367&lt;&gt;"",VLOOKUP(K367,'Catálogo SAP'!A:F,3,FALSE),"")</f>
        <v/>
      </c>
      <c r="M367" s="162" t="str">
        <f>IF(K367&lt;&gt;"",VLOOKUP(K367,'Catálogo SAP'!A:F,4,FALSE),"")</f>
        <v/>
      </c>
      <c r="N367" s="168" t="str">
        <f>IF(K367&lt;&gt;"",VLOOKUP(K367,'Catálogo SAP'!A:F,5,FALSE),"")</f>
        <v/>
      </c>
      <c r="O367" s="160"/>
      <c r="P367" s="70" t="str">
        <f t="shared" si="163"/>
        <v>-</v>
      </c>
      <c r="Q367" s="163" t="str">
        <f t="shared" si="166"/>
        <v>-</v>
      </c>
      <c r="R367" s="44" t="str">
        <f>IF(J367&lt;&gt;"",VLOOKUP(J367,'RESUMO DR'!$B$4:$E$253,4,FALSE),"-")</f>
        <v>-</v>
      </c>
      <c r="S367" s="58" t="str">
        <f>IF(J367&lt;&gt;"",VLOOKUP(J367,'RESUMO DR'!$B$4:$E$253,3,FALSE),"-")</f>
        <v>-</v>
      </c>
      <c r="T367" s="129"/>
      <c r="U367" s="129"/>
      <c r="V367" s="129"/>
      <c r="W367" s="128"/>
      <c r="X367" s="127"/>
      <c r="Y367" s="127"/>
      <c r="Z367" s="4"/>
    </row>
    <row r="368" spans="1:27" ht="13.8">
      <c r="A368" s="5"/>
      <c r="B368" s="21">
        <v>45654</v>
      </c>
      <c r="C368" s="21"/>
      <c r="D368" s="74" t="str">
        <f t="shared" ref="D368" si="183">IF(B368="","-",TEXT(B368,"ddd"))</f>
        <v>sáb</v>
      </c>
      <c r="E368" s="169" t="str">
        <f>IF(K368&lt;&gt;"",VLOOKUP(K368,'Catálogo SAP'!$A$1:$F$245,2,FALSE),"-")</f>
        <v>-</v>
      </c>
      <c r="F368" s="225"/>
      <c r="G368" s="225"/>
      <c r="H368" s="226"/>
      <c r="I368" s="227"/>
      <c r="J368" s="162" t="str">
        <f t="shared" si="182"/>
        <v/>
      </c>
      <c r="K368" s="225"/>
      <c r="L368" s="167" t="str">
        <f>IF(K368&lt;&gt;"",VLOOKUP(K368,'Catálogo SAP'!A:F,3,FALSE),"")</f>
        <v/>
      </c>
      <c r="M368" s="162" t="str">
        <f>IF(K368&lt;&gt;"",VLOOKUP(K368,'Catálogo SAP'!A:F,4,FALSE),"")</f>
        <v/>
      </c>
      <c r="N368" s="168" t="str">
        <f>IF(K368&lt;&gt;"",VLOOKUP(K368,'Catálogo SAP'!A:F,5,FALSE),"")</f>
        <v/>
      </c>
      <c r="O368" s="231"/>
      <c r="P368" s="70" t="str">
        <f t="shared" si="163"/>
        <v>-</v>
      </c>
      <c r="Q368" s="163" t="str">
        <f t="shared" ref="Q368" si="184">IF(K368="","-",N368*O368)</f>
        <v>-</v>
      </c>
      <c r="R368" s="44" t="str">
        <f>IF(J368&lt;&gt;"",VLOOKUP(J368,'RESUMO DR'!$B$4:$E$253,4,FALSE),"-")</f>
        <v>-</v>
      </c>
      <c r="S368" s="58" t="str">
        <f>IF(J368&lt;&gt;"",VLOOKUP(J368,'RESUMO DR'!$B$4:$E$253,3,FALSE),"-")</f>
        <v>-</v>
      </c>
      <c r="T368" s="129"/>
      <c r="U368" s="129"/>
      <c r="V368" s="129"/>
      <c r="W368" s="128"/>
      <c r="X368" s="127"/>
      <c r="Y368" s="127"/>
      <c r="Z368" s="4"/>
    </row>
    <row r="369" spans="1:27" ht="13.8">
      <c r="A369" s="5">
        <v>1996</v>
      </c>
      <c r="B369" s="21">
        <v>45654</v>
      </c>
      <c r="C369" s="21" t="s">
        <v>306</v>
      </c>
      <c r="D369" s="74" t="str">
        <f t="shared" si="179"/>
        <v>sáb</v>
      </c>
      <c r="E369" s="169">
        <f>IF(K369&lt;&gt;"",VLOOKUP(K369,'Catálogo SAP'!$A$1:$F$245,2,FALSE),"-")</f>
        <v>280</v>
      </c>
      <c r="F369" s="225">
        <v>302</v>
      </c>
      <c r="G369" s="16">
        <v>311</v>
      </c>
      <c r="H369" s="226"/>
      <c r="I369" s="230">
        <v>574</v>
      </c>
      <c r="J369" s="162" t="str">
        <f t="shared" si="182"/>
        <v>Tupirama</v>
      </c>
      <c r="K369" s="16">
        <v>280</v>
      </c>
      <c r="L369" s="167" t="str">
        <f>IF(K369&lt;&gt;"",VLOOKUP(K369,'Catálogo SAP'!A:F,3,FALSE),"")</f>
        <v>S.VP-01453</v>
      </c>
      <c r="M369" s="162" t="str">
        <f>IF(K369&lt;&gt;"",VLOOKUP(K369,'Catálogo SAP'!A:F,4,FALSE),"")</f>
        <v>Hora Produtiva Motoniveladora C/Operador</v>
      </c>
      <c r="N369" s="168" t="str">
        <f>IF(K369&lt;&gt;"",VLOOKUP(K369,'Catálogo SAP'!A:F,5,FALSE),"")</f>
        <v>H</v>
      </c>
      <c r="O369" s="160">
        <v>9</v>
      </c>
      <c r="P369" s="70">
        <f t="shared" si="163"/>
        <v>9</v>
      </c>
      <c r="Q369" s="163" t="e">
        <f t="shared" si="166"/>
        <v>#VALUE!</v>
      </c>
      <c r="R369" s="44" t="str">
        <f>IF(J369&lt;&gt;"",VLOOKUP(J369,'RESUMO DR'!$B$4:$E$253,4,FALSE),"-")</f>
        <v>T-03</v>
      </c>
      <c r="S369" s="58" t="str">
        <f>IF(J369&lt;&gt;"",VLOOKUP(J369,'RESUMO DR'!$B$4:$E$253,3,FALSE),"-")</f>
        <v>PALMAS</v>
      </c>
      <c r="T369" s="129"/>
      <c r="U369" s="129"/>
      <c r="V369" s="129"/>
      <c r="W369" s="128"/>
      <c r="X369" s="127"/>
      <c r="Y369" s="127"/>
      <c r="Z369" s="4"/>
      <c r="AA369" s="170"/>
    </row>
    <row r="370" spans="1:27" ht="18" customHeight="1">
      <c r="A370" s="5"/>
      <c r="B370" s="21">
        <v>45654</v>
      </c>
      <c r="C370" s="21" t="s">
        <v>306</v>
      </c>
      <c r="D370" s="74" t="str">
        <f t="shared" si="179"/>
        <v>sáb</v>
      </c>
      <c r="E370" s="169" t="str">
        <f>IF(K370&lt;&gt;"",VLOOKUP(K370,'Catálogo SAP'!$A$1:$F$245,2,FALSE),"-")</f>
        <v>-</v>
      </c>
      <c r="F370" s="16"/>
      <c r="G370" s="16"/>
      <c r="H370" s="22"/>
      <c r="I370" s="133"/>
      <c r="J370" s="162" t="str">
        <f t="shared" si="182"/>
        <v/>
      </c>
      <c r="K370" s="16"/>
      <c r="L370" s="167" t="str">
        <f>IF(K370&lt;&gt;"",VLOOKUP(K370,'Catálogo SAP'!A:F,3,FALSE),"")</f>
        <v/>
      </c>
      <c r="M370" s="162" t="str">
        <f>IF(K370&lt;&gt;"",VLOOKUP(K370,'Catálogo SAP'!A:F,4,FALSE),"")</f>
        <v/>
      </c>
      <c r="N370" s="168" t="str">
        <f>IF(K370&lt;&gt;"",VLOOKUP(K370,'Catálogo SAP'!A:F,5,FALSE),"")</f>
        <v/>
      </c>
      <c r="O370" s="160"/>
      <c r="P370" s="70" t="str">
        <f t="shared" si="163"/>
        <v>-</v>
      </c>
      <c r="Q370" s="163" t="str">
        <f t="shared" si="166"/>
        <v>-</v>
      </c>
      <c r="R370" s="44" t="str">
        <f>IF(J370&lt;&gt;"",VLOOKUP(J370,'RESUMO DR'!$B$4:$E$253,4,FALSE),"-")</f>
        <v>-</v>
      </c>
      <c r="S370" s="58" t="str">
        <f>IF(J370&lt;&gt;"",VLOOKUP(J370,'RESUMO DR'!$B$4:$E$253,3,FALSE),"-")</f>
        <v>-</v>
      </c>
      <c r="T370" s="129"/>
      <c r="U370" s="129"/>
      <c r="V370" s="129"/>
      <c r="W370" s="128"/>
      <c r="X370" s="127"/>
      <c r="Y370" s="127"/>
      <c r="Z370" s="4"/>
    </row>
    <row r="371" spans="1:27" ht="18" customHeight="1">
      <c r="A371" s="5"/>
      <c r="B371" s="21">
        <v>45654</v>
      </c>
      <c r="C371" s="21" t="s">
        <v>310</v>
      </c>
      <c r="D371" s="74" t="str">
        <f t="shared" si="179"/>
        <v>sáb</v>
      </c>
      <c r="E371" s="169" t="str">
        <f>IF(K371&lt;&gt;"",VLOOKUP(K371,'Catálogo SAP'!$A$1:$F$245,2,FALSE),"-")</f>
        <v>-</v>
      </c>
      <c r="F371" s="225"/>
      <c r="G371" s="225"/>
      <c r="H371" s="226"/>
      <c r="I371" s="230"/>
      <c r="J371" s="162" t="str">
        <f t="shared" ref="J371:J471" si="185">IF(AND(I371&gt;=0.001,I371&lt;=16),"AÇAILÂNDIA","")&amp;IF(AND(I371&gt;=16.001,I371&lt;=44),"S.F. BREJÃO","")&amp;IF(AND(I371&gt;=44.001,I371&lt;=78),"JOÃO LISBOA","")&amp;IF(AND(I371&gt;=78.001,I371&lt;=96.397),"IMPERATRIZ","")&amp;IF(AND(I371&gt;=96.398,I371&lt;=122.82),"EDSON LOBÃO","")&amp;IF(AND(I371&gt;=122.821,I371&lt;=152.303),"RIBAMAR FIQUENE","")&amp;IF(AND(I371&gt;=152.304,I371&lt;=172.403),"CAMPESTRE","")&amp;IF(AND(I371&gt;=172.404,I371&lt;=195),"PORTO FRANCO","")&amp;IF(AND(I371&gt;=300,I371&lt;=300),"SAO LUIS","")&amp;IF(AND(I371&gt;=385.4,I371&lt;=465.4),"Palmeirante","")&amp;IF(AND(I371&gt;=465.401,I371&lt;=520.455),"Tupiratins","")&amp;IF(AND(I371&gt;=520.456,I371&lt;=536.741),"Guaraí","")&amp;IF(AND(I371&gt;=536.742,I371&lt;=580.293),"Tupirama","")&amp;IF(AND(I371&gt;=580.294,I371&lt;=608.637),"Rio dos Bois","")&amp;IF(AND(I371&gt;=608.638,I371&lt;=698.981),"Miracema","")&amp;IF(AND(I371&gt;=698.982,I371&lt;=735.6),"Porto Nacional","")&amp;IF(AND(I371&gt;=195.1,I371&lt;=213.603),"ESTREITO","")&amp;IF(AND(I371&gt;=213.604,I371&lt;=218.976),"AGUIARNÓPOLIS","")&amp;IF(AND(I371&gt;=218.977,I371&lt;=253.5),"PALMEIRAS DO TOCANTINS","")&amp;IF(AND(I371&gt;=253.501,I371&lt;=274.15),"DARCINÓPOLIS","")&amp;IF(AND(I371&gt;=274.151,I371&lt;=299.999),"BABAÇULÂNDIA","")&amp;IF(AND(I371&gt;=356.62,I371&lt;=385.4),"ARAGUAÍNA","")&amp;IF(AND(I371&gt;=300.001,I371&lt;=356.619),"BABAÇULÂNDIA","")&amp;IF(AND(I371&gt;=900,I371&lt;=902),"ENG. VLI","")</f>
        <v/>
      </c>
      <c r="K371" s="16"/>
      <c r="L371" s="167" t="str">
        <f>IF(K371&lt;&gt;"",VLOOKUP(K371,'Catálogo SAP'!A:F,3,FALSE),"")</f>
        <v/>
      </c>
      <c r="M371" s="162" t="str">
        <f>IF(K371&lt;&gt;"",VLOOKUP(K371,'Catálogo SAP'!A:F,4,FALSE),"")</f>
        <v/>
      </c>
      <c r="N371" s="168" t="str">
        <f>IF(K371&lt;&gt;"",VLOOKUP(K371,'Catálogo SAP'!A:F,5,FALSE),"")</f>
        <v/>
      </c>
      <c r="O371" s="160"/>
      <c r="P371" s="70" t="str">
        <f t="shared" si="163"/>
        <v>-</v>
      </c>
      <c r="Q371" s="163" t="str">
        <f t="shared" si="166"/>
        <v>-</v>
      </c>
      <c r="R371" s="44" t="str">
        <f>IF(J371&lt;&gt;"",VLOOKUP(J371,'RESUMO DR'!$B$4:$E$253,4,FALSE),"-")</f>
        <v>-</v>
      </c>
      <c r="S371" s="58" t="str">
        <f>IF(J371&lt;&gt;"",VLOOKUP(J371,'RESUMO DR'!$B$4:$E$253,3,FALSE),"-")</f>
        <v>-</v>
      </c>
      <c r="T371" s="129"/>
      <c r="U371" s="129"/>
      <c r="V371" s="129"/>
      <c r="W371" s="128"/>
      <c r="X371" s="127"/>
      <c r="Y371" s="127"/>
      <c r="Z371" s="4"/>
      <c r="AA371" s="170"/>
    </row>
    <row r="372" spans="1:27" ht="18" customHeight="1">
      <c r="A372" s="5"/>
      <c r="B372" s="21">
        <v>45654</v>
      </c>
      <c r="C372" s="21" t="s">
        <v>310</v>
      </c>
      <c r="D372" s="74" t="str">
        <f t="shared" si="179"/>
        <v>sáb</v>
      </c>
      <c r="E372" s="169" t="str">
        <f>IF(K372&lt;&gt;"",VLOOKUP(K372,'Catálogo SAP'!$A$1:$F$245,2,FALSE),"-")</f>
        <v>-</v>
      </c>
      <c r="F372" s="225"/>
      <c r="G372" s="225"/>
      <c r="H372" s="226"/>
      <c r="I372" s="230"/>
      <c r="J372" s="162" t="str">
        <f t="shared" si="185"/>
        <v/>
      </c>
      <c r="K372" s="16"/>
      <c r="L372" s="167" t="str">
        <f>IF(K372&lt;&gt;"",VLOOKUP(K372,'Catálogo SAP'!A:F,3,FALSE),"")</f>
        <v/>
      </c>
      <c r="M372" s="162" t="str">
        <f>IF(K372&lt;&gt;"",VLOOKUP(K372,'Catálogo SAP'!A:F,4,FALSE),"")</f>
        <v/>
      </c>
      <c r="N372" s="168" t="str">
        <f>IF(K372&lt;&gt;"",VLOOKUP(K372,'Catálogo SAP'!A:F,5,FALSE),"")</f>
        <v/>
      </c>
      <c r="O372" s="160"/>
      <c r="P372" s="70" t="str">
        <f t="shared" si="163"/>
        <v>-</v>
      </c>
      <c r="Q372" s="163" t="str">
        <f t="shared" si="166"/>
        <v>-</v>
      </c>
      <c r="R372" s="44" t="str">
        <f>IF(J372&lt;&gt;"",VLOOKUP(J372,'RESUMO DR'!$B$4:$E$253,4,FALSE),"-")</f>
        <v>-</v>
      </c>
      <c r="S372" s="58" t="str">
        <f>IF(J372&lt;&gt;"",VLOOKUP(J372,'RESUMO DR'!$B$4:$E$253,3,FALSE),"-")</f>
        <v>-</v>
      </c>
      <c r="T372" s="129"/>
      <c r="U372" s="129"/>
      <c r="V372" s="129"/>
      <c r="W372" s="128"/>
      <c r="X372" s="127"/>
      <c r="Y372" s="127"/>
      <c r="Z372" s="4"/>
    </row>
    <row r="373" spans="1:27" ht="18" customHeight="1">
      <c r="A373" s="5"/>
      <c r="B373" s="21">
        <v>45654</v>
      </c>
      <c r="C373" s="21" t="s">
        <v>138</v>
      </c>
      <c r="D373" s="74" t="str">
        <f t="shared" si="179"/>
        <v>sáb</v>
      </c>
      <c r="E373" s="169" t="str">
        <f>IF(K373&lt;&gt;"",VLOOKUP(K373,'Catálogo SAP'!$A$1:$F$245,2,FALSE),"-")</f>
        <v>-</v>
      </c>
      <c r="F373" s="225"/>
      <c r="G373" s="225"/>
      <c r="H373" s="226"/>
      <c r="I373" s="230"/>
      <c r="J373" s="162" t="str">
        <f t="shared" si="185"/>
        <v/>
      </c>
      <c r="K373" s="16"/>
      <c r="L373" s="167" t="str">
        <f>IF(K373&lt;&gt;"",VLOOKUP(K373,'Catálogo SAP'!A:F,3,FALSE),"")</f>
        <v/>
      </c>
      <c r="M373" s="162" t="str">
        <f>IF(K373&lt;&gt;"",VLOOKUP(K373,'Catálogo SAP'!A:F,4,FALSE),"")</f>
        <v/>
      </c>
      <c r="N373" s="168" t="str">
        <f>IF(K373&lt;&gt;"",VLOOKUP(K373,'Catálogo SAP'!A:F,5,FALSE),"")</f>
        <v/>
      </c>
      <c r="O373" s="160"/>
      <c r="P373" s="70" t="str">
        <f t="shared" si="163"/>
        <v>-</v>
      </c>
      <c r="Q373" s="163" t="str">
        <f t="shared" ref="Q373:Q376" si="186">IF(K373="","-",N373*O373)</f>
        <v>-</v>
      </c>
      <c r="R373" s="44" t="str">
        <f>IF(J373&lt;&gt;"",VLOOKUP(J373,'RESUMO DR'!$B$4:$E$253,4,FALSE),"-")</f>
        <v>-</v>
      </c>
      <c r="S373" s="58" t="str">
        <f>IF(J373&lt;&gt;"",VLOOKUP(J373,'RESUMO DR'!$B$4:$E$253,3,FALSE),"-")</f>
        <v>-</v>
      </c>
      <c r="T373" s="129"/>
      <c r="U373" s="129"/>
      <c r="V373" s="129"/>
      <c r="W373" s="128"/>
      <c r="X373" s="127"/>
      <c r="Y373" s="127"/>
      <c r="Z373" s="4"/>
      <c r="AA373" s="170"/>
    </row>
    <row r="374" spans="1:27" ht="18" customHeight="1">
      <c r="A374" s="5"/>
      <c r="B374" s="21">
        <v>45654</v>
      </c>
      <c r="C374" s="21" t="s">
        <v>138</v>
      </c>
      <c r="D374" s="74" t="str">
        <f t="shared" ref="D374" si="187">IF(B374="","-",TEXT(B374,"ddd"))</f>
        <v>sáb</v>
      </c>
      <c r="E374" s="169" t="str">
        <f>IF(K374&lt;&gt;"",VLOOKUP(K374,'Catálogo SAP'!$A$1:$F$245,2,FALSE),"-")</f>
        <v>-</v>
      </c>
      <c r="F374" s="225"/>
      <c r="G374" s="225"/>
      <c r="H374" s="226"/>
      <c r="I374" s="230"/>
      <c r="J374" s="162" t="str">
        <f t="shared" si="185"/>
        <v/>
      </c>
      <c r="K374" s="225"/>
      <c r="L374" s="167" t="str">
        <f>IF(K374&lt;&gt;"",VLOOKUP(K374,'Catálogo SAP'!A:F,3,FALSE),"")</f>
        <v/>
      </c>
      <c r="M374" s="162" t="str">
        <f>IF(K374&lt;&gt;"",VLOOKUP(K374,'Catálogo SAP'!A:F,4,FALSE),"")</f>
        <v/>
      </c>
      <c r="N374" s="168" t="str">
        <f>IF(K374&lt;&gt;"",VLOOKUP(K374,'Catálogo SAP'!A:F,5,FALSE),"")</f>
        <v/>
      </c>
      <c r="O374" s="231"/>
      <c r="P374" s="70" t="str">
        <f t="shared" si="163"/>
        <v>-</v>
      </c>
      <c r="Q374" s="163" t="str">
        <f t="shared" si="186"/>
        <v>-</v>
      </c>
      <c r="R374" s="44" t="str">
        <f>IF(J374&lt;&gt;"",VLOOKUP(J374,'RESUMO DR'!$B$4:$E$253,4,FALSE),"-")</f>
        <v>-</v>
      </c>
      <c r="S374" s="58" t="str">
        <f>IF(J374&lt;&gt;"",VLOOKUP(J374,'RESUMO DR'!$B$4:$E$253,3,FALSE),"-")</f>
        <v>-</v>
      </c>
      <c r="T374" s="129"/>
      <c r="U374" s="129"/>
      <c r="V374" s="129"/>
      <c r="W374" s="128"/>
      <c r="X374" s="127"/>
      <c r="Y374" s="127"/>
      <c r="Z374" s="4"/>
      <c r="AA374" s="170"/>
    </row>
    <row r="375" spans="1:27" ht="18" customHeight="1">
      <c r="A375" s="5"/>
      <c r="B375" s="21">
        <v>45654</v>
      </c>
      <c r="C375" s="21" t="s">
        <v>139</v>
      </c>
      <c r="D375" s="74" t="str">
        <f t="shared" si="179"/>
        <v>sáb</v>
      </c>
      <c r="E375" s="169" t="str">
        <f>IF(K375&lt;&gt;"",VLOOKUP(K375,'Catálogo SAP'!$A$1:$F$245,2,FALSE),"-")</f>
        <v>-</v>
      </c>
      <c r="F375" s="225"/>
      <c r="G375" s="225"/>
      <c r="H375" s="226"/>
      <c r="I375" s="230"/>
      <c r="J375" s="162" t="str">
        <f t="shared" si="185"/>
        <v/>
      </c>
      <c r="K375" s="16"/>
      <c r="L375" s="167" t="str">
        <f>IF(K375&lt;&gt;"",VLOOKUP(K375,'Catálogo SAP'!A:F,3,FALSE),"")</f>
        <v/>
      </c>
      <c r="M375" s="162" t="str">
        <f>IF(K375&lt;&gt;"",VLOOKUP(K375,'Catálogo SAP'!A:F,4,FALSE),"")</f>
        <v/>
      </c>
      <c r="N375" s="168" t="str">
        <f>IF(K375&lt;&gt;"",VLOOKUP(K375,'Catálogo SAP'!A:F,5,FALSE),"")</f>
        <v/>
      </c>
      <c r="O375" s="160"/>
      <c r="P375" s="70" t="str">
        <f t="shared" si="163"/>
        <v>-</v>
      </c>
      <c r="Q375" s="163" t="str">
        <f t="shared" si="186"/>
        <v>-</v>
      </c>
      <c r="R375" s="44" t="str">
        <f>IF(J375&lt;&gt;"",VLOOKUP(J375,'RESUMO DR'!$B$4:$E$253,4,FALSE),"-")</f>
        <v>-</v>
      </c>
      <c r="S375" s="58" t="str">
        <f>IF(J375&lt;&gt;"",VLOOKUP(J375,'RESUMO DR'!$B$4:$E$253,3,FALSE),"-")</f>
        <v>-</v>
      </c>
      <c r="T375" s="129"/>
      <c r="U375" s="129"/>
      <c r="V375" s="129"/>
      <c r="W375" s="128"/>
      <c r="X375" s="127"/>
      <c r="Y375" s="127"/>
      <c r="Z375" s="4"/>
    </row>
    <row r="376" spans="1:27" ht="18" customHeight="1">
      <c r="A376" s="5"/>
      <c r="B376" s="21"/>
      <c r="C376" s="21"/>
      <c r="D376" s="74"/>
      <c r="E376" s="169" t="str">
        <f>IF(K376&lt;&gt;"",VLOOKUP(K376,'Catálogo SAP'!$A$1:$F$245,2,FALSE),"-")</f>
        <v>-</v>
      </c>
      <c r="F376" s="16"/>
      <c r="G376" s="16"/>
      <c r="H376" s="22"/>
      <c r="I376" s="133"/>
      <c r="J376" s="162" t="str">
        <f t="shared" si="185"/>
        <v/>
      </c>
      <c r="K376" s="16"/>
      <c r="L376" s="167" t="str">
        <f>IF(K376&lt;&gt;"",VLOOKUP(K376,'Catálogo SAP'!A:F,3,FALSE),"")</f>
        <v/>
      </c>
      <c r="M376" s="162" t="str">
        <f>IF(K376&lt;&gt;"",VLOOKUP(K376,'Catálogo SAP'!A:F,4,FALSE),"")</f>
        <v/>
      </c>
      <c r="N376" s="168" t="str">
        <f>IF(K376&lt;&gt;"",VLOOKUP(K376,'Catálogo SAP'!A:F,5,FALSE),"")</f>
        <v/>
      </c>
      <c r="O376" s="160"/>
      <c r="P376" s="70" t="str">
        <f t="shared" si="163"/>
        <v>-</v>
      </c>
      <c r="Q376" s="163" t="str">
        <f t="shared" si="186"/>
        <v>-</v>
      </c>
      <c r="R376" s="44" t="str">
        <f>IF(J376&lt;&gt;"",VLOOKUP(J376,'RESUMO DR'!$B$4:$E$253,4,FALSE),"-")</f>
        <v>-</v>
      </c>
      <c r="S376" s="58" t="str">
        <f>IF(J376&lt;&gt;"",VLOOKUP(J376,'RESUMO DR'!$B$4:$E$253,3,FALSE),"-")</f>
        <v>-</v>
      </c>
      <c r="T376" s="129"/>
      <c r="U376" s="129"/>
      <c r="V376" s="129"/>
      <c r="W376" s="128"/>
      <c r="X376" s="127"/>
      <c r="Y376" s="127"/>
      <c r="Z376" s="4"/>
    </row>
    <row r="377" spans="1:27" ht="18" customHeight="1">
      <c r="A377" s="5">
        <v>1562</v>
      </c>
      <c r="B377" s="21">
        <v>45656</v>
      </c>
      <c r="C377" s="21" t="s">
        <v>121</v>
      </c>
      <c r="D377" s="74" t="str">
        <f t="shared" si="179"/>
        <v>seg</v>
      </c>
      <c r="E377" s="169">
        <f>IF(K377&lt;&gt;"",VLOOKUP(K377,'Catálogo SAP'!$A$1:$F$245,2,FALSE),"-")</f>
        <v>120</v>
      </c>
      <c r="F377" s="225">
        <v>8704</v>
      </c>
      <c r="G377" s="225">
        <v>8710</v>
      </c>
      <c r="H377" s="226"/>
      <c r="I377" s="230">
        <v>300</v>
      </c>
      <c r="J377" s="162" t="str">
        <f t="shared" si="185"/>
        <v>SAO LUIS</v>
      </c>
      <c r="K377" s="16">
        <v>120</v>
      </c>
      <c r="L377" s="167" t="str">
        <f>IF(K377&lt;&gt;"",VLOOKUP(K377,'Catálogo SAP'!A:F,3,FALSE),"")</f>
        <v>S.VP-01437</v>
      </c>
      <c r="M377" s="162" t="str">
        <f>IF(K377&lt;&gt;"",VLOOKUP(K377,'Catálogo SAP'!A:F,4,FALSE),"")</f>
        <v>Hr Produtiva Retroescavadeira C/Operador</v>
      </c>
      <c r="N377" s="168" t="str">
        <f>IF(K377&lt;&gt;"",VLOOKUP(K377,'Catálogo SAP'!A:F,5,FALSE),"")</f>
        <v>H</v>
      </c>
      <c r="O377" s="160">
        <v>6</v>
      </c>
      <c r="P377" s="70">
        <f t="shared" si="163"/>
        <v>6</v>
      </c>
      <c r="Q377" s="163" t="e">
        <f t="shared" si="166"/>
        <v>#VALUE!</v>
      </c>
      <c r="R377" s="44" t="str">
        <f>IF(J377&lt;&gt;"",VLOOKUP(J377,'RESUMO DR'!$B$4:$E$253,4,FALSE),"-")</f>
        <v>T-02</v>
      </c>
      <c r="S377" s="58" t="str">
        <f>IF(J377&lt;&gt;"",VLOOKUP(J377,'RESUMO DR'!$B$4:$E$253,3,FALSE),"-")</f>
        <v>ARAGUAINA</v>
      </c>
      <c r="T377" s="129"/>
      <c r="U377" s="129"/>
      <c r="V377" s="129"/>
      <c r="W377" s="128"/>
      <c r="X377" s="127"/>
      <c r="Y377" s="127"/>
      <c r="Z377" s="4"/>
    </row>
    <row r="378" spans="1:27" ht="18" customHeight="1">
      <c r="A378" s="5">
        <v>1562</v>
      </c>
      <c r="B378" s="21">
        <v>45656</v>
      </c>
      <c r="C378" s="21" t="s">
        <v>121</v>
      </c>
      <c r="D378" s="74" t="str">
        <f t="shared" si="179"/>
        <v>seg</v>
      </c>
      <c r="E378" s="169">
        <f>IF(K378&lt;&gt;"",VLOOKUP(K378,'Catálogo SAP'!$A$1:$F$245,2,FALSE),"-")</f>
        <v>130</v>
      </c>
      <c r="F378" s="225">
        <v>8710</v>
      </c>
      <c r="G378" s="225">
        <v>8710</v>
      </c>
      <c r="H378" s="226"/>
      <c r="I378" s="230">
        <v>300</v>
      </c>
      <c r="J378" s="162" t="str">
        <f t="shared" si="185"/>
        <v>SAO LUIS</v>
      </c>
      <c r="K378" s="16">
        <v>130</v>
      </c>
      <c r="L378" s="167" t="str">
        <f>IF(K378&lt;&gt;"",VLOOKUP(K378,'Catálogo SAP'!A:F,3,FALSE),"")</f>
        <v>S.VP-01438</v>
      </c>
      <c r="M378" s="162" t="str">
        <f>IF(K378&lt;&gt;"",VLOOKUP(K378,'Catálogo SAP'!A:F,4,FALSE),"")</f>
        <v>Hr Improdutiva Retroescavadeira C/Operador</v>
      </c>
      <c r="N378" s="168" t="str">
        <f>IF(K378&lt;&gt;"",VLOOKUP(K378,'Catálogo SAP'!A:F,5,FALSE),"")</f>
        <v>H</v>
      </c>
      <c r="O378" s="160">
        <v>3</v>
      </c>
      <c r="P378" s="70">
        <f t="shared" si="163"/>
        <v>0</v>
      </c>
      <c r="Q378" s="163" t="e">
        <f t="shared" si="166"/>
        <v>#VALUE!</v>
      </c>
      <c r="R378" s="44" t="str">
        <f>IF(J378&lt;&gt;"",VLOOKUP(J378,'RESUMO DR'!$B$4:$E$253,4,FALSE),"-")</f>
        <v>T-02</v>
      </c>
      <c r="S378" s="58" t="str">
        <f>IF(J378&lt;&gt;"",VLOOKUP(J378,'RESUMO DR'!$B$4:$E$253,3,FALSE),"-")</f>
        <v>ARAGUAINA</v>
      </c>
      <c r="T378" s="129"/>
      <c r="U378" s="129"/>
      <c r="V378" s="129"/>
      <c r="W378" s="128"/>
      <c r="X378" s="127"/>
      <c r="Y378" s="127"/>
      <c r="Z378" s="4"/>
    </row>
    <row r="379" spans="1:27" ht="18" customHeight="1">
      <c r="A379" s="5">
        <v>1907</v>
      </c>
      <c r="B379" s="21">
        <v>45656</v>
      </c>
      <c r="C379" s="21" t="s">
        <v>122</v>
      </c>
      <c r="D379" s="74" t="str">
        <f t="shared" si="179"/>
        <v>seg</v>
      </c>
      <c r="E379" s="169">
        <f>IF(K379&lt;&gt;"",VLOOKUP(K379,'Catálogo SAP'!$A$1:$F$245,2,FALSE),"-")</f>
        <v>120</v>
      </c>
      <c r="F379" s="225">
        <v>3839</v>
      </c>
      <c r="G379" s="225">
        <v>3848</v>
      </c>
      <c r="H379" s="226"/>
      <c r="I379" s="230">
        <v>373</v>
      </c>
      <c r="J379" s="162" t="str">
        <f t="shared" si="185"/>
        <v>ARAGUAÍNA</v>
      </c>
      <c r="K379" s="16">
        <v>120</v>
      </c>
      <c r="L379" s="167" t="str">
        <f>IF(K379&lt;&gt;"",VLOOKUP(K379,'Catálogo SAP'!A:F,3,FALSE),"")</f>
        <v>S.VP-01437</v>
      </c>
      <c r="M379" s="162" t="str">
        <f>IF(K379&lt;&gt;"",VLOOKUP(K379,'Catálogo SAP'!A:F,4,FALSE),"")</f>
        <v>Hr Produtiva Retroescavadeira C/Operador</v>
      </c>
      <c r="N379" s="168" t="str">
        <f>IF(K379&lt;&gt;"",VLOOKUP(K379,'Catálogo SAP'!A:F,5,FALSE),"")</f>
        <v>H</v>
      </c>
      <c r="O379" s="160">
        <v>9</v>
      </c>
      <c r="P379" s="70">
        <f t="shared" si="163"/>
        <v>9</v>
      </c>
      <c r="Q379" s="163" t="e">
        <f t="shared" si="166"/>
        <v>#VALUE!</v>
      </c>
      <c r="R379" s="44" t="str">
        <f>IF(J379&lt;&gt;"",VLOOKUP(J379,'RESUMO DR'!$B$4:$E$253,4,FALSE),"-")</f>
        <v>T-02</v>
      </c>
      <c r="S379" s="58" t="str">
        <f>IF(J379&lt;&gt;"",VLOOKUP(J379,'RESUMO DR'!$B$4:$E$253,3,FALSE),"-")</f>
        <v>ARAGUAINA</v>
      </c>
      <c r="T379" s="129"/>
      <c r="U379" s="129"/>
      <c r="V379" s="129"/>
      <c r="W379" s="128"/>
      <c r="X379" s="127"/>
      <c r="Y379" s="127"/>
      <c r="Z379" s="4"/>
    </row>
    <row r="380" spans="1:27" ht="18" customHeight="1">
      <c r="A380" s="5">
        <v>1909</v>
      </c>
      <c r="B380" s="21">
        <v>45656</v>
      </c>
      <c r="C380" s="21" t="s">
        <v>123</v>
      </c>
      <c r="D380" s="74" t="str">
        <f t="shared" si="179"/>
        <v>seg</v>
      </c>
      <c r="E380" s="169">
        <f>IF(K380&lt;&gt;"",VLOOKUP(K380,'Catálogo SAP'!$A$1:$F$245,2,FALSE),"-")</f>
        <v>120</v>
      </c>
      <c r="F380" s="225">
        <v>5855</v>
      </c>
      <c r="G380" s="225">
        <v>5864</v>
      </c>
      <c r="H380" s="226"/>
      <c r="I380" s="230">
        <v>574</v>
      </c>
      <c r="J380" s="162" t="str">
        <f t="shared" si="185"/>
        <v>Tupirama</v>
      </c>
      <c r="K380" s="16">
        <v>120</v>
      </c>
      <c r="L380" s="167" t="str">
        <f>IF(K380&lt;&gt;"",VLOOKUP(K380,'Catálogo SAP'!A:F,3,FALSE),"")</f>
        <v>S.VP-01437</v>
      </c>
      <c r="M380" s="162" t="str">
        <f>IF(K380&lt;&gt;"",VLOOKUP(K380,'Catálogo SAP'!A:F,4,FALSE),"")</f>
        <v>Hr Produtiva Retroescavadeira C/Operador</v>
      </c>
      <c r="N380" s="168" t="str">
        <f>IF(K380&lt;&gt;"",VLOOKUP(K380,'Catálogo SAP'!A:F,5,FALSE),"")</f>
        <v>H</v>
      </c>
      <c r="O380" s="160">
        <v>9</v>
      </c>
      <c r="P380" s="70">
        <f t="shared" si="163"/>
        <v>9</v>
      </c>
      <c r="Q380" s="163" t="e">
        <f t="shared" si="166"/>
        <v>#VALUE!</v>
      </c>
      <c r="R380" s="44" t="str">
        <f>IF(J380&lt;&gt;"",VLOOKUP(J380,'RESUMO DR'!$B$4:$E$253,4,FALSE),"-")</f>
        <v>T-03</v>
      </c>
      <c r="S380" s="58" t="str">
        <f>IF(J380&lt;&gt;"",VLOOKUP(J380,'RESUMO DR'!$B$4:$E$253,3,FALSE),"-")</f>
        <v>PALMAS</v>
      </c>
      <c r="T380" s="129"/>
      <c r="U380" s="129"/>
      <c r="V380" s="129"/>
      <c r="W380" s="128"/>
      <c r="X380" s="127"/>
      <c r="Y380" s="127"/>
      <c r="Z380" s="4"/>
    </row>
    <row r="381" spans="1:27" ht="18" customHeight="1">
      <c r="A381" s="5"/>
      <c r="B381" s="21">
        <v>45656</v>
      </c>
      <c r="C381" s="21" t="s">
        <v>123</v>
      </c>
      <c r="D381" s="74" t="str">
        <f t="shared" ref="D381" si="188">IF(B381="","-",TEXT(B381,"ddd"))</f>
        <v>seg</v>
      </c>
      <c r="E381" s="169" t="str">
        <f>IF(K381&lt;&gt;"",VLOOKUP(K381,'Catálogo SAP'!$A$1:$F$245,2,FALSE),"-")</f>
        <v>-</v>
      </c>
      <c r="F381" s="225"/>
      <c r="G381" s="225"/>
      <c r="H381" s="226"/>
      <c r="I381" s="230"/>
      <c r="J381" s="162" t="str">
        <f t="shared" si="185"/>
        <v/>
      </c>
      <c r="K381" s="225"/>
      <c r="L381" s="167" t="str">
        <f>IF(K381&lt;&gt;"",VLOOKUP(K381,'Catálogo SAP'!A:F,3,FALSE),"")</f>
        <v/>
      </c>
      <c r="M381" s="162" t="str">
        <f>IF(K381&lt;&gt;"",VLOOKUP(K381,'Catálogo SAP'!A:F,4,FALSE),"")</f>
        <v/>
      </c>
      <c r="N381" s="168" t="str">
        <f>IF(K381&lt;&gt;"",VLOOKUP(K381,'Catálogo SAP'!A:F,5,FALSE),"")</f>
        <v/>
      </c>
      <c r="O381" s="231"/>
      <c r="P381" s="70" t="str">
        <f t="shared" si="163"/>
        <v>-</v>
      </c>
      <c r="Q381" s="163" t="str">
        <f t="shared" ref="Q381:Q383" si="189">IF(K381="","-",N381*O381)</f>
        <v>-</v>
      </c>
      <c r="R381" s="44" t="str">
        <f>IF(J381&lt;&gt;"",VLOOKUP(J381,'RESUMO DR'!$B$4:$E$253,4,FALSE),"-")</f>
        <v>-</v>
      </c>
      <c r="S381" s="58" t="str">
        <f>IF(J381&lt;&gt;"",VLOOKUP(J381,'RESUMO DR'!$B$4:$E$253,3,FALSE),"-")</f>
        <v>-</v>
      </c>
      <c r="T381" s="129"/>
      <c r="U381" s="129"/>
      <c r="V381" s="129"/>
      <c r="W381" s="128"/>
      <c r="X381" s="127"/>
      <c r="Y381" s="127"/>
      <c r="Z381" s="4"/>
    </row>
    <row r="382" spans="1:27" ht="18" customHeight="1">
      <c r="A382" s="5">
        <v>1904</v>
      </c>
      <c r="B382" s="21">
        <v>45656</v>
      </c>
      <c r="C382" s="21" t="s">
        <v>124</v>
      </c>
      <c r="D382" s="74" t="str">
        <f t="shared" si="179"/>
        <v>seg</v>
      </c>
      <c r="E382" s="169">
        <f>IF(K382&lt;&gt;"",VLOOKUP(K382,'Catálogo SAP'!$A$1:$F$245,2,FALSE),"-")</f>
        <v>410</v>
      </c>
      <c r="F382" s="225">
        <v>418654</v>
      </c>
      <c r="G382" s="225">
        <v>418654</v>
      </c>
      <c r="H382" s="226"/>
      <c r="I382" s="230">
        <v>91</v>
      </c>
      <c r="J382" s="162" t="str">
        <f t="shared" si="185"/>
        <v>IMPERATRIZ</v>
      </c>
      <c r="K382" s="16">
        <v>410</v>
      </c>
      <c r="L382" s="167" t="str">
        <f>IF(K382&lt;&gt;"",VLOOKUP(K382,'Catálogo SAP'!A:F,3,FALSE),"")</f>
        <v>S.VP-01462</v>
      </c>
      <c r="M382" s="162" t="str">
        <f>IF(K382&lt;&gt;"",VLOOKUP(K382,'Catálogo SAP'!A:F,4,FALSE),"")</f>
        <v>Hora Improdutiva Carreta Prancha - C/ Motorista</v>
      </c>
      <c r="N382" s="168" t="str">
        <f>IF(K382&lt;&gt;"",VLOOKUP(K382,'Catálogo SAP'!A:F,5,FALSE),"")</f>
        <v>H</v>
      </c>
      <c r="O382" s="160">
        <v>9</v>
      </c>
      <c r="P382" s="70">
        <f t="shared" si="163"/>
        <v>0</v>
      </c>
      <c r="Q382" s="163" t="e">
        <f t="shared" si="189"/>
        <v>#VALUE!</v>
      </c>
      <c r="R382" s="44" t="str">
        <f>IF(J382&lt;&gt;"",VLOOKUP(J382,'RESUMO DR'!$B$4:$E$253,4,FALSE),"-")</f>
        <v>T-01</v>
      </c>
      <c r="S382" s="58" t="str">
        <f>IF(J382&lt;&gt;"",VLOOKUP(J382,'RESUMO DR'!$B$4:$E$253,3,FALSE),"-")</f>
        <v>IMPERATRIZ</v>
      </c>
      <c r="T382" s="129"/>
      <c r="U382" s="129"/>
      <c r="V382" s="129"/>
      <c r="W382" s="128"/>
      <c r="X382" s="127"/>
      <c r="Y382" s="127"/>
      <c r="Z382" s="4"/>
    </row>
    <row r="383" spans="1:27" ht="18" customHeight="1">
      <c r="A383" s="5"/>
      <c r="B383" s="21">
        <v>45656</v>
      </c>
      <c r="C383" s="21" t="s">
        <v>124</v>
      </c>
      <c r="D383" s="74" t="str">
        <f t="shared" si="179"/>
        <v>seg</v>
      </c>
      <c r="E383" s="169" t="str">
        <f>IF(K383&lt;&gt;"",VLOOKUP(K383,'Catálogo SAP'!$A$1:$F$245,2,FALSE),"-")</f>
        <v>-</v>
      </c>
      <c r="F383" s="225"/>
      <c r="G383" s="225"/>
      <c r="H383" s="226"/>
      <c r="I383" s="230"/>
      <c r="J383" s="162" t="str">
        <f t="shared" si="185"/>
        <v/>
      </c>
      <c r="K383" s="16"/>
      <c r="L383" s="167" t="str">
        <f>IF(K383&lt;&gt;"",VLOOKUP(K383,'Catálogo SAP'!A:F,3,FALSE),"")</f>
        <v/>
      </c>
      <c r="M383" s="162" t="str">
        <f>IF(K383&lt;&gt;"",VLOOKUP(K383,'Catálogo SAP'!A:F,4,FALSE),"")</f>
        <v/>
      </c>
      <c r="N383" s="168" t="str">
        <f>IF(K383&lt;&gt;"",VLOOKUP(K383,'Catálogo SAP'!A:F,5,FALSE),"")</f>
        <v/>
      </c>
      <c r="O383" s="160"/>
      <c r="P383" s="70" t="str">
        <f t="shared" si="163"/>
        <v>-</v>
      </c>
      <c r="Q383" s="163" t="str">
        <f t="shared" si="189"/>
        <v>-</v>
      </c>
      <c r="R383" s="44" t="str">
        <f>IF(J383&lt;&gt;"",VLOOKUP(J383,'RESUMO DR'!$B$4:$E$253,4,FALSE),"-")</f>
        <v>-</v>
      </c>
      <c r="S383" s="58" t="str">
        <f>IF(J383&lt;&gt;"",VLOOKUP(J383,'RESUMO DR'!$B$4:$E$253,3,FALSE),"-")</f>
        <v>-</v>
      </c>
      <c r="T383" s="129"/>
      <c r="U383" s="129"/>
      <c r="V383" s="129"/>
      <c r="W383" s="128"/>
      <c r="X383" s="127"/>
      <c r="Y383" s="127"/>
      <c r="Z383" s="4"/>
    </row>
    <row r="384" spans="1:27" ht="18" customHeight="1">
      <c r="A384" s="5">
        <v>1902</v>
      </c>
      <c r="B384" s="21">
        <v>45656</v>
      </c>
      <c r="C384" s="21" t="s">
        <v>307</v>
      </c>
      <c r="D384" s="74" t="str">
        <f t="shared" si="179"/>
        <v>seg</v>
      </c>
      <c r="E384" s="169">
        <f>IF(K384&lt;&gt;"",VLOOKUP(K384,'Catálogo SAP'!$A$1:$F$245,2,FALSE),"-")</f>
        <v>200</v>
      </c>
      <c r="F384" s="225">
        <v>65677</v>
      </c>
      <c r="G384" s="225">
        <v>66005</v>
      </c>
      <c r="H384" s="226"/>
      <c r="I384" s="230">
        <v>147</v>
      </c>
      <c r="J384" s="162" t="str">
        <f t="shared" si="185"/>
        <v>RIBAMAR FIQUENE</v>
      </c>
      <c r="K384" s="16">
        <v>200</v>
      </c>
      <c r="L384" s="167" t="str">
        <f>IF(K384&lt;&gt;"",VLOOKUP(K384,'Catálogo SAP'!A:F,3,FALSE),"")</f>
        <v>S.VP-01445</v>
      </c>
      <c r="M384" s="162" t="str">
        <f>IF(K384&lt;&gt;"",VLOOKUP(K384,'Catálogo SAP'!A:F,4,FALSE),"")</f>
        <v>Km Rodado Caminhão Basculante - C/Motorista</v>
      </c>
      <c r="N384" s="168" t="str">
        <f>IF(K384&lt;&gt;"",VLOOKUP(K384,'Catálogo SAP'!A:F,5,FALSE),"")</f>
        <v>KM</v>
      </c>
      <c r="O384" s="160">
        <v>328</v>
      </c>
      <c r="P384" s="70">
        <f t="shared" si="163"/>
        <v>328</v>
      </c>
      <c r="Q384" s="163" t="e">
        <f t="shared" si="166"/>
        <v>#VALUE!</v>
      </c>
      <c r="R384" s="44" t="str">
        <f>IF(J384&lt;&gt;"",VLOOKUP(J384,'RESUMO DR'!$B$4:$E$253,4,FALSE),"-")</f>
        <v>T-01</v>
      </c>
      <c r="S384" s="58" t="str">
        <f>IF(J384&lt;&gt;"",VLOOKUP(J384,'RESUMO DR'!$B$4:$E$253,3,FALSE),"-")</f>
        <v>IMPERATRIZ</v>
      </c>
      <c r="T384" s="129"/>
      <c r="U384" s="129"/>
      <c r="V384" s="129"/>
      <c r="W384" s="128"/>
      <c r="X384" s="127"/>
      <c r="Y384" s="127"/>
      <c r="Z384" s="4"/>
    </row>
    <row r="385" spans="1:26" ht="18" customHeight="1">
      <c r="A385" s="5">
        <v>1902</v>
      </c>
      <c r="B385" s="21">
        <v>45656</v>
      </c>
      <c r="C385" s="21" t="s">
        <v>308</v>
      </c>
      <c r="D385" s="74" t="str">
        <f t="shared" si="179"/>
        <v>seg</v>
      </c>
      <c r="E385" s="169">
        <f>IF(K385&lt;&gt;"",VLOOKUP(K385,'Catálogo SAP'!$A$1:$F$245,2,FALSE),"-")</f>
        <v>200</v>
      </c>
      <c r="F385" s="225">
        <v>65612</v>
      </c>
      <c r="G385" s="225">
        <v>65920</v>
      </c>
      <c r="H385" s="226"/>
      <c r="I385" s="230">
        <v>147</v>
      </c>
      <c r="J385" s="162" t="str">
        <f t="shared" si="185"/>
        <v>RIBAMAR FIQUENE</v>
      </c>
      <c r="K385" s="16">
        <v>200</v>
      </c>
      <c r="L385" s="167" t="str">
        <f>IF(K385&lt;&gt;"",VLOOKUP(K385,'Catálogo SAP'!A:F,3,FALSE),"")</f>
        <v>S.VP-01445</v>
      </c>
      <c r="M385" s="162" t="str">
        <f>IF(K385&lt;&gt;"",VLOOKUP(K385,'Catálogo SAP'!A:F,4,FALSE),"")</f>
        <v>Km Rodado Caminhão Basculante - C/Motorista</v>
      </c>
      <c r="N385" s="168" t="str">
        <f>IF(K385&lt;&gt;"",VLOOKUP(K385,'Catálogo SAP'!A:F,5,FALSE),"")</f>
        <v>KM</v>
      </c>
      <c r="O385" s="160">
        <v>308</v>
      </c>
      <c r="P385" s="70">
        <f t="shared" si="163"/>
        <v>308</v>
      </c>
      <c r="Q385" s="163" t="e">
        <f t="shared" si="166"/>
        <v>#VALUE!</v>
      </c>
      <c r="R385" s="44" t="str">
        <f>IF(J385&lt;&gt;"",VLOOKUP(J385,'RESUMO DR'!$B$4:$E$253,4,FALSE),"-")</f>
        <v>T-01</v>
      </c>
      <c r="S385" s="58" t="str">
        <f>IF(J385&lt;&gt;"",VLOOKUP(J385,'RESUMO DR'!$B$4:$E$253,3,FALSE),"-")</f>
        <v>IMPERATRIZ</v>
      </c>
      <c r="T385" s="129"/>
      <c r="U385" s="129"/>
      <c r="V385" s="129"/>
      <c r="W385" s="128"/>
      <c r="X385" s="127"/>
      <c r="Y385" s="127"/>
      <c r="Z385" s="4"/>
    </row>
    <row r="386" spans="1:26" ht="18" customHeight="1">
      <c r="A386" s="5">
        <v>1905</v>
      </c>
      <c r="B386" s="21">
        <v>45656</v>
      </c>
      <c r="C386" s="21" t="s">
        <v>127</v>
      </c>
      <c r="D386" s="74" t="str">
        <f t="shared" si="179"/>
        <v>seg</v>
      </c>
      <c r="E386" s="169">
        <f>IF(K386&lt;&gt;"",VLOOKUP(K386,'Catálogo SAP'!$A$1:$F$245,2,FALSE),"-")</f>
        <v>200</v>
      </c>
      <c r="F386" s="225">
        <v>49710</v>
      </c>
      <c r="G386" s="225">
        <v>49810</v>
      </c>
      <c r="H386" s="226"/>
      <c r="I386" s="230">
        <v>442</v>
      </c>
      <c r="J386" s="162" t="str">
        <f t="shared" si="185"/>
        <v>Palmeirante</v>
      </c>
      <c r="K386" s="16">
        <v>200</v>
      </c>
      <c r="L386" s="167" t="str">
        <f>IF(K386&lt;&gt;"",VLOOKUP(K386,'Catálogo SAP'!A:F,3,FALSE),"")</f>
        <v>S.VP-01445</v>
      </c>
      <c r="M386" s="162" t="str">
        <f>IF(K386&lt;&gt;"",VLOOKUP(K386,'Catálogo SAP'!A:F,4,FALSE),"")</f>
        <v>Km Rodado Caminhão Basculante - C/Motorista</v>
      </c>
      <c r="N386" s="168" t="str">
        <f>IF(K386&lt;&gt;"",VLOOKUP(K386,'Catálogo SAP'!A:F,5,FALSE),"")</f>
        <v>KM</v>
      </c>
      <c r="O386" s="160">
        <v>100</v>
      </c>
      <c r="P386" s="70">
        <f t="shared" si="163"/>
        <v>100</v>
      </c>
      <c r="Q386" s="163" t="e">
        <f t="shared" si="166"/>
        <v>#VALUE!</v>
      </c>
      <c r="R386" s="44" t="str">
        <f>IF(J386&lt;&gt;"",VLOOKUP(J386,'RESUMO DR'!$B$4:$E$253,4,FALSE),"-")</f>
        <v>T-02</v>
      </c>
      <c r="S386" s="58" t="str">
        <f>IF(J386&lt;&gt;"",VLOOKUP(J386,'RESUMO DR'!$B$4:$E$253,3,FALSE),"-")</f>
        <v>ARAGUAINA</v>
      </c>
      <c r="T386" s="129"/>
      <c r="U386" s="129"/>
      <c r="V386" s="129"/>
      <c r="W386" s="128"/>
      <c r="X386" s="127"/>
      <c r="Y386" s="127"/>
      <c r="Z386" s="4"/>
    </row>
    <row r="387" spans="1:26" ht="18" customHeight="1">
      <c r="A387" s="5">
        <v>1908</v>
      </c>
      <c r="B387" s="21">
        <v>45656</v>
      </c>
      <c r="C387" s="21" t="s">
        <v>312</v>
      </c>
      <c r="D387" s="74" t="str">
        <f t="shared" si="179"/>
        <v>seg</v>
      </c>
      <c r="E387" s="169">
        <f>IF(K387&lt;&gt;"",VLOOKUP(K387,'Catálogo SAP'!$A$1:$F$245,2,FALSE),"-")</f>
        <v>200</v>
      </c>
      <c r="F387" s="225">
        <v>72508</v>
      </c>
      <c r="G387" s="225">
        <v>72694</v>
      </c>
      <c r="H387" s="226"/>
      <c r="I387" s="230">
        <v>444</v>
      </c>
      <c r="J387" s="162" t="str">
        <f t="shared" si="185"/>
        <v>Palmeirante</v>
      </c>
      <c r="K387" s="16">
        <v>200</v>
      </c>
      <c r="L387" s="167" t="str">
        <f>IF(K387&lt;&gt;"",VLOOKUP(K387,'Catálogo SAP'!A:F,3,FALSE),"")</f>
        <v>S.VP-01445</v>
      </c>
      <c r="M387" s="162" t="str">
        <f>IF(K387&lt;&gt;"",VLOOKUP(K387,'Catálogo SAP'!A:F,4,FALSE),"")</f>
        <v>Km Rodado Caminhão Basculante - C/Motorista</v>
      </c>
      <c r="N387" s="168" t="str">
        <f>IF(K387&lt;&gt;"",VLOOKUP(K387,'Catálogo SAP'!A:F,5,FALSE),"")</f>
        <v>KM</v>
      </c>
      <c r="O387" s="160">
        <v>186</v>
      </c>
      <c r="P387" s="70">
        <f t="shared" si="163"/>
        <v>186</v>
      </c>
      <c r="Q387" s="163" t="e">
        <f t="shared" si="166"/>
        <v>#VALUE!</v>
      </c>
      <c r="R387" s="44" t="str">
        <f>IF(J387&lt;&gt;"",VLOOKUP(J387,'RESUMO DR'!$B$4:$E$253,4,FALSE),"-")</f>
        <v>T-02</v>
      </c>
      <c r="S387" s="58" t="str">
        <f>IF(J387&lt;&gt;"",VLOOKUP(J387,'RESUMO DR'!$B$4:$E$253,3,FALSE),"-")</f>
        <v>ARAGUAINA</v>
      </c>
      <c r="T387" s="129"/>
      <c r="U387" s="129"/>
      <c r="V387" s="129"/>
      <c r="W387" s="128"/>
      <c r="X387" s="127"/>
      <c r="Y387" s="127"/>
      <c r="Z387" s="4"/>
    </row>
    <row r="388" spans="1:26" ht="18" customHeight="1">
      <c r="A388" s="5">
        <v>1901</v>
      </c>
      <c r="B388" s="21">
        <v>45656</v>
      </c>
      <c r="C388" s="21" t="s">
        <v>313</v>
      </c>
      <c r="D388" s="74" t="str">
        <f t="shared" si="179"/>
        <v>seg</v>
      </c>
      <c r="E388" s="169">
        <f>IF(K388&lt;&gt;"",VLOOKUP(K388,'Catálogo SAP'!$A$1:$F$245,2,FALSE),"-")</f>
        <v>200</v>
      </c>
      <c r="F388" s="16">
        <v>61630</v>
      </c>
      <c r="G388" s="16">
        <v>61727</v>
      </c>
      <c r="H388" s="22"/>
      <c r="I388" s="133">
        <v>59</v>
      </c>
      <c r="J388" s="162" t="str">
        <f t="shared" si="185"/>
        <v>JOÃO LISBOA</v>
      </c>
      <c r="K388" s="16">
        <v>200</v>
      </c>
      <c r="L388" s="167" t="str">
        <f>IF(K388&lt;&gt;"",VLOOKUP(K388,'Catálogo SAP'!A:F,3,FALSE),"")</f>
        <v>S.VP-01445</v>
      </c>
      <c r="M388" s="162" t="str">
        <f>IF(K388&lt;&gt;"",VLOOKUP(K388,'Catálogo SAP'!A:F,4,FALSE),"")</f>
        <v>Km Rodado Caminhão Basculante - C/Motorista</v>
      </c>
      <c r="N388" s="168" t="str">
        <f>IF(K388&lt;&gt;"",VLOOKUP(K388,'Catálogo SAP'!A:F,5,FALSE),"")</f>
        <v>KM</v>
      </c>
      <c r="O388" s="160">
        <v>97</v>
      </c>
      <c r="P388" s="70">
        <f t="shared" si="163"/>
        <v>97</v>
      </c>
      <c r="Q388" s="163" t="e">
        <f t="shared" si="166"/>
        <v>#VALUE!</v>
      </c>
      <c r="R388" s="44" t="str">
        <f>IF(J388&lt;&gt;"",VLOOKUP(J388,'RESUMO DR'!$B$4:$E$253,4,FALSE),"-")</f>
        <v>T-01</v>
      </c>
      <c r="S388" s="58" t="str">
        <f>IF(J388&lt;&gt;"",VLOOKUP(J388,'RESUMO DR'!$B$4:$E$253,3,FALSE),"-")</f>
        <v>IMPERATRIZ</v>
      </c>
      <c r="T388" s="129"/>
      <c r="U388" s="129"/>
      <c r="V388" s="129"/>
      <c r="W388" s="128"/>
      <c r="X388" s="127"/>
      <c r="Y388" s="127"/>
      <c r="Z388" s="4"/>
    </row>
    <row r="389" spans="1:26" ht="18" customHeight="1">
      <c r="A389" s="5">
        <v>1909</v>
      </c>
      <c r="B389" s="21">
        <v>45656</v>
      </c>
      <c r="C389" s="21" t="s">
        <v>129</v>
      </c>
      <c r="D389" s="74" t="str">
        <f t="shared" si="179"/>
        <v>seg</v>
      </c>
      <c r="E389" s="169">
        <f>IF(K389&lt;&gt;"",VLOOKUP(K389,'Catálogo SAP'!$A$1:$F$245,2,FALSE),"-")</f>
        <v>200</v>
      </c>
      <c r="F389" s="225">
        <v>80877</v>
      </c>
      <c r="G389" s="225">
        <v>80935</v>
      </c>
      <c r="H389" s="226"/>
      <c r="I389" s="230">
        <v>574</v>
      </c>
      <c r="J389" s="162" t="str">
        <f t="shared" si="185"/>
        <v>Tupirama</v>
      </c>
      <c r="K389" s="16">
        <v>200</v>
      </c>
      <c r="L389" s="167" t="str">
        <f>IF(K389&lt;&gt;"",VLOOKUP(K389,'Catálogo SAP'!A:F,3,FALSE),"")</f>
        <v>S.VP-01445</v>
      </c>
      <c r="M389" s="162" t="str">
        <f>IF(K389&lt;&gt;"",VLOOKUP(K389,'Catálogo SAP'!A:F,4,FALSE),"")</f>
        <v>Km Rodado Caminhão Basculante - C/Motorista</v>
      </c>
      <c r="N389" s="168" t="str">
        <f>IF(K389&lt;&gt;"",VLOOKUP(K389,'Catálogo SAP'!A:F,5,FALSE),"")</f>
        <v>KM</v>
      </c>
      <c r="O389" s="160">
        <v>58</v>
      </c>
      <c r="P389" s="70">
        <f t="shared" si="163"/>
        <v>58</v>
      </c>
      <c r="Q389" s="163" t="e">
        <f t="shared" si="166"/>
        <v>#VALUE!</v>
      </c>
      <c r="R389" s="44" t="str">
        <f>IF(J389&lt;&gt;"",VLOOKUP(J389,'RESUMO DR'!$B$4:$E$253,4,FALSE),"-")</f>
        <v>T-03</v>
      </c>
      <c r="S389" s="58" t="str">
        <f>IF(J389&lt;&gt;"",VLOOKUP(J389,'RESUMO DR'!$B$4:$E$253,3,FALSE),"-")</f>
        <v>PALMAS</v>
      </c>
      <c r="T389" s="129"/>
      <c r="U389" s="129"/>
      <c r="V389" s="129"/>
      <c r="W389" s="128"/>
      <c r="X389" s="127"/>
      <c r="Y389" s="127"/>
      <c r="Z389" s="4"/>
    </row>
    <row r="390" spans="1:26" ht="18" customHeight="1">
      <c r="A390" s="5">
        <v>1902</v>
      </c>
      <c r="B390" s="21">
        <v>45656</v>
      </c>
      <c r="C390" s="21" t="s">
        <v>298</v>
      </c>
      <c r="D390" s="74" t="str">
        <f t="shared" si="179"/>
        <v>seg</v>
      </c>
      <c r="E390" s="169">
        <f>IF(K390&lt;&gt;"",VLOOKUP(K390,'Catálogo SAP'!$A$1:$F$245,2,FALSE),"-")</f>
        <v>160</v>
      </c>
      <c r="F390" s="225">
        <v>548</v>
      </c>
      <c r="G390" s="225">
        <v>558</v>
      </c>
      <c r="H390" s="226"/>
      <c r="I390" s="230">
        <v>148</v>
      </c>
      <c r="J390" s="162" t="str">
        <f t="shared" si="185"/>
        <v>RIBAMAR FIQUENE</v>
      </c>
      <c r="K390" s="16">
        <v>160</v>
      </c>
      <c r="L390" s="167" t="str">
        <f>IF(K390&lt;&gt;"",VLOOKUP(K390,'Catálogo SAP'!A:F,3,FALSE),"")</f>
        <v>S.VP-01441</v>
      </c>
      <c r="M390" s="162" t="str">
        <f>IF(K390&lt;&gt;"",VLOOKUP(K390,'Catálogo SAP'!A:F,4,FALSE),"")</f>
        <v>Hora Produtiva Pa Carregadeira C/Operador</v>
      </c>
      <c r="N390" s="168" t="str">
        <f>IF(K390&lt;&gt;"",VLOOKUP(K390,'Catálogo SAP'!A:F,5,FALSE),"")</f>
        <v>H</v>
      </c>
      <c r="O390" s="160">
        <v>10</v>
      </c>
      <c r="P390" s="70">
        <f t="shared" ref="P390:P453" si="190">IF(G390="","-",G390-F390)</f>
        <v>10</v>
      </c>
      <c r="Q390" s="163" t="e">
        <f t="shared" si="166"/>
        <v>#VALUE!</v>
      </c>
      <c r="R390" s="44" t="str">
        <f>IF(J390&lt;&gt;"",VLOOKUP(J390,'RESUMO DR'!$B$4:$E$253,4,FALSE),"-")</f>
        <v>T-01</v>
      </c>
      <c r="S390" s="58" t="str">
        <f>IF(J390&lt;&gt;"",VLOOKUP(J390,'RESUMO DR'!$B$4:$E$253,3,FALSE),"-")</f>
        <v>IMPERATRIZ</v>
      </c>
      <c r="T390" s="129"/>
      <c r="U390" s="129"/>
      <c r="V390" s="129"/>
      <c r="W390" s="128"/>
      <c r="X390" s="127"/>
      <c r="Y390" s="127"/>
      <c r="Z390" s="4"/>
    </row>
    <row r="391" spans="1:26" ht="18" customHeight="1">
      <c r="A391" s="5">
        <v>1903</v>
      </c>
      <c r="B391" s="21">
        <v>45656</v>
      </c>
      <c r="C391" s="21" t="s">
        <v>131</v>
      </c>
      <c r="D391" s="74" t="str">
        <f t="shared" si="179"/>
        <v>seg</v>
      </c>
      <c r="E391" s="169">
        <f>IF(K391&lt;&gt;"",VLOOKUP(K391,'Catálogo SAP'!$A$1:$F$245,2,FALSE),"-")</f>
        <v>520</v>
      </c>
      <c r="F391" s="225">
        <v>10577</v>
      </c>
      <c r="G391" s="16">
        <v>10585</v>
      </c>
      <c r="H391" s="226"/>
      <c r="I391" s="230">
        <v>195</v>
      </c>
      <c r="J391" s="162" t="str">
        <f t="shared" si="185"/>
        <v>PORTO FRANCO</v>
      </c>
      <c r="K391" s="16">
        <v>520</v>
      </c>
      <c r="L391" s="167" t="str">
        <f>IF(K391&lt;&gt;"",VLOOKUP(K391,'Catálogo SAP'!A:F,3,FALSE),"")</f>
        <v>S.VP-01469</v>
      </c>
      <c r="M391" s="162" t="str">
        <f>IF(K391&lt;&gt;"",VLOOKUP(K391,'Catálogo SAP'!A:F,4,FALSE),"")</f>
        <v>Hora Produtiva Escavadeira Hidraulica</v>
      </c>
      <c r="N391" s="168" t="str">
        <f>IF(K391&lt;&gt;"",VLOOKUP(K391,'Catálogo SAP'!A:F,5,FALSE),"")</f>
        <v>H</v>
      </c>
      <c r="O391" s="160">
        <v>8</v>
      </c>
      <c r="P391" s="70">
        <f t="shared" si="190"/>
        <v>8</v>
      </c>
      <c r="Q391" s="163" t="e">
        <f t="shared" si="166"/>
        <v>#VALUE!</v>
      </c>
      <c r="R391" s="44" t="str">
        <f>IF(J391&lt;&gt;"",VLOOKUP(J391,'RESUMO DR'!$B$4:$E$253,4,FALSE),"-")</f>
        <v>T-01</v>
      </c>
      <c r="S391" s="58" t="str">
        <f>IF(J391&lt;&gt;"",VLOOKUP(J391,'RESUMO DR'!$B$4:$E$253,3,FALSE),"-")</f>
        <v>IMPERATRIZ</v>
      </c>
      <c r="T391" s="129"/>
      <c r="U391" s="129"/>
      <c r="V391" s="129"/>
      <c r="W391" s="128"/>
      <c r="X391" s="127"/>
      <c r="Y391" s="127"/>
      <c r="Z391" s="4"/>
    </row>
    <row r="392" spans="1:26" ht="18" customHeight="1">
      <c r="A392" s="5">
        <v>1903</v>
      </c>
      <c r="B392" s="21">
        <v>45656</v>
      </c>
      <c r="C392" s="21" t="s">
        <v>131</v>
      </c>
      <c r="D392" s="74" t="str">
        <f t="shared" si="179"/>
        <v>seg</v>
      </c>
      <c r="E392" s="169">
        <f>IF(K392&lt;&gt;"",VLOOKUP(K392,'Catálogo SAP'!$A$1:$F$245,2,FALSE),"-")</f>
        <v>530</v>
      </c>
      <c r="F392" s="16">
        <v>10585</v>
      </c>
      <c r="G392" s="16">
        <v>10585</v>
      </c>
      <c r="H392" s="22"/>
      <c r="I392" s="133">
        <v>195</v>
      </c>
      <c r="J392" s="162" t="str">
        <f t="shared" si="185"/>
        <v>PORTO FRANCO</v>
      </c>
      <c r="K392" s="16">
        <v>530</v>
      </c>
      <c r="L392" s="167" t="str">
        <f>IF(K392&lt;&gt;"",VLOOKUP(K392,'Catálogo SAP'!A:F,3,FALSE),"")</f>
        <v>S.VP-01470</v>
      </c>
      <c r="M392" s="162" t="str">
        <f>IF(K392&lt;&gt;"",VLOOKUP(K392,'Catálogo SAP'!A:F,4,FALSE),"")</f>
        <v>Hora Improdutiva Escavadeira Hidraulica</v>
      </c>
      <c r="N392" s="168" t="str">
        <f>IF(K392&lt;&gt;"",VLOOKUP(K392,'Catálogo SAP'!A:F,5,FALSE),"")</f>
        <v>H</v>
      </c>
      <c r="O392" s="160">
        <v>1</v>
      </c>
      <c r="P392" s="70">
        <f t="shared" si="190"/>
        <v>0</v>
      </c>
      <c r="Q392" s="163" t="e">
        <f t="shared" si="166"/>
        <v>#VALUE!</v>
      </c>
      <c r="R392" s="44" t="str">
        <f>IF(J392&lt;&gt;"",VLOOKUP(J392,'RESUMO DR'!$B$4:$E$253,4,FALSE),"-")</f>
        <v>T-01</v>
      </c>
      <c r="S392" s="58" t="str">
        <f>IF(J392&lt;&gt;"",VLOOKUP(J392,'RESUMO DR'!$B$4:$E$253,3,FALSE),"-")</f>
        <v>IMPERATRIZ</v>
      </c>
      <c r="T392" s="129"/>
      <c r="U392" s="129"/>
      <c r="V392" s="129"/>
      <c r="W392" s="128"/>
      <c r="X392" s="127"/>
      <c r="Y392" s="127"/>
      <c r="Z392" s="4"/>
    </row>
    <row r="393" spans="1:26" ht="18" customHeight="1">
      <c r="A393" s="5">
        <v>1905</v>
      </c>
      <c r="B393" s="21">
        <v>45656</v>
      </c>
      <c r="C393" s="21" t="s">
        <v>311</v>
      </c>
      <c r="D393" s="74" t="str">
        <f t="shared" si="179"/>
        <v>seg</v>
      </c>
      <c r="E393" s="169">
        <f>IF(K393&lt;&gt;"",VLOOKUP(K393,'Catálogo SAP'!$A$1:$F$245,2,FALSE),"-")</f>
        <v>120</v>
      </c>
      <c r="F393" s="225">
        <v>1163</v>
      </c>
      <c r="G393" s="225">
        <v>1172</v>
      </c>
      <c r="H393" s="226"/>
      <c r="I393" s="230">
        <v>442</v>
      </c>
      <c r="J393" s="162" t="str">
        <f t="shared" si="185"/>
        <v>Palmeirante</v>
      </c>
      <c r="K393" s="16">
        <v>120</v>
      </c>
      <c r="L393" s="167" t="str">
        <f>IF(K393&lt;&gt;"",VLOOKUP(K393,'Catálogo SAP'!A:F,3,FALSE),"")</f>
        <v>S.VP-01437</v>
      </c>
      <c r="M393" s="162" t="str">
        <f>IF(K393&lt;&gt;"",VLOOKUP(K393,'Catálogo SAP'!A:F,4,FALSE),"")</f>
        <v>Hr Produtiva Retroescavadeira C/Operador</v>
      </c>
      <c r="N393" s="168" t="str">
        <f>IF(K393&lt;&gt;"",VLOOKUP(K393,'Catálogo SAP'!A:F,5,FALSE),"")</f>
        <v>H</v>
      </c>
      <c r="O393" s="160">
        <v>9</v>
      </c>
      <c r="P393" s="70">
        <f t="shared" si="190"/>
        <v>9</v>
      </c>
      <c r="Q393" s="163" t="e">
        <f t="shared" si="166"/>
        <v>#VALUE!</v>
      </c>
      <c r="R393" s="44" t="str">
        <f>IF(J393&lt;&gt;"",VLOOKUP(J393,'RESUMO DR'!$B$4:$E$253,4,FALSE),"-")</f>
        <v>T-02</v>
      </c>
      <c r="S393" s="58" t="str">
        <f>IF(J393&lt;&gt;"",VLOOKUP(J393,'RESUMO DR'!$B$4:$E$253,3,FALSE),"-")</f>
        <v>ARAGUAINA</v>
      </c>
      <c r="T393" s="129"/>
      <c r="U393" s="129"/>
      <c r="V393" s="129"/>
      <c r="W393" s="128"/>
      <c r="X393" s="127"/>
      <c r="Y393" s="127"/>
      <c r="Z393" s="4"/>
    </row>
    <row r="394" spans="1:26" ht="18" customHeight="1">
      <c r="A394" s="5"/>
      <c r="B394" s="21">
        <v>45656</v>
      </c>
      <c r="C394" s="21" t="s">
        <v>311</v>
      </c>
      <c r="D394" s="74" t="str">
        <f t="shared" si="179"/>
        <v>seg</v>
      </c>
      <c r="E394" s="169" t="str">
        <f>IF(K394&lt;&gt;"",VLOOKUP(K394,'Catálogo SAP'!$A$1:$F$245,2,FALSE),"-")</f>
        <v>-</v>
      </c>
      <c r="F394" s="225"/>
      <c r="G394" s="225"/>
      <c r="H394" s="226"/>
      <c r="I394" s="230"/>
      <c r="J394" s="162" t="str">
        <f t="shared" si="185"/>
        <v/>
      </c>
      <c r="K394" s="16"/>
      <c r="L394" s="167" t="str">
        <f>IF(K394&lt;&gt;"",VLOOKUP(K394,'Catálogo SAP'!A:F,3,FALSE),"")</f>
        <v/>
      </c>
      <c r="M394" s="162" t="str">
        <f>IF(K394&lt;&gt;"",VLOOKUP(K394,'Catálogo SAP'!A:F,4,FALSE),"")</f>
        <v/>
      </c>
      <c r="N394" s="168" t="str">
        <f>IF(K394&lt;&gt;"",VLOOKUP(K394,'Catálogo SAP'!A:F,5,FALSE),"")</f>
        <v/>
      </c>
      <c r="O394" s="160"/>
      <c r="P394" s="70" t="str">
        <f t="shared" si="190"/>
        <v>-</v>
      </c>
      <c r="Q394" s="163" t="str">
        <f t="shared" si="166"/>
        <v>-</v>
      </c>
      <c r="R394" s="44" t="str">
        <f>IF(J394&lt;&gt;"",VLOOKUP(J394,'RESUMO DR'!$B$4:$E$253,4,FALSE),"-")</f>
        <v>-</v>
      </c>
      <c r="S394" s="58" t="str">
        <f>IF(J394&lt;&gt;"",VLOOKUP(J394,'RESUMO DR'!$B$4:$E$253,3,FALSE),"-")</f>
        <v>-</v>
      </c>
      <c r="T394" s="129"/>
      <c r="U394" s="129"/>
      <c r="V394" s="129"/>
      <c r="W394" s="128"/>
      <c r="X394" s="127"/>
      <c r="Y394" s="127"/>
      <c r="Z394" s="4"/>
    </row>
    <row r="395" spans="1:26" ht="18" customHeight="1">
      <c r="A395" s="5">
        <v>1905</v>
      </c>
      <c r="B395" s="21">
        <v>45656</v>
      </c>
      <c r="C395" s="21" t="s">
        <v>305</v>
      </c>
      <c r="D395" s="74" t="str">
        <f t="shared" si="179"/>
        <v>seg</v>
      </c>
      <c r="E395" s="169">
        <f>IF(K395&lt;&gt;"",VLOOKUP(K395,'Catálogo SAP'!$A$1:$F$245,2,FALSE),"-")</f>
        <v>280</v>
      </c>
      <c r="F395" s="225">
        <v>212</v>
      </c>
      <c r="G395" s="16">
        <v>221</v>
      </c>
      <c r="H395" s="226"/>
      <c r="I395" s="230">
        <v>442</v>
      </c>
      <c r="J395" s="162" t="str">
        <f t="shared" si="185"/>
        <v>Palmeirante</v>
      </c>
      <c r="K395" s="16">
        <v>280</v>
      </c>
      <c r="L395" s="167" t="str">
        <f>IF(K395&lt;&gt;"",VLOOKUP(K395,'Catálogo SAP'!A:F,3,FALSE),"")</f>
        <v>S.VP-01453</v>
      </c>
      <c r="M395" s="162" t="str">
        <f>IF(K395&lt;&gt;"",VLOOKUP(K395,'Catálogo SAP'!A:F,4,FALSE),"")</f>
        <v>Hora Produtiva Motoniveladora C/Operador</v>
      </c>
      <c r="N395" s="168" t="str">
        <f>IF(K395&lt;&gt;"",VLOOKUP(K395,'Catálogo SAP'!A:F,5,FALSE),"")</f>
        <v>H</v>
      </c>
      <c r="O395" s="160">
        <v>9</v>
      </c>
      <c r="P395" s="70">
        <f t="shared" si="190"/>
        <v>9</v>
      </c>
      <c r="Q395" s="163" t="e">
        <f t="shared" si="166"/>
        <v>#VALUE!</v>
      </c>
      <c r="R395" s="44" t="str">
        <f>IF(J395&lt;&gt;"",VLOOKUP(J395,'RESUMO DR'!$B$4:$E$253,4,FALSE),"-")</f>
        <v>T-02</v>
      </c>
      <c r="S395" s="58" t="str">
        <f>IF(J395&lt;&gt;"",VLOOKUP(J395,'RESUMO DR'!$B$4:$E$253,3,FALSE),"-")</f>
        <v>ARAGUAINA</v>
      </c>
      <c r="T395" s="129"/>
      <c r="U395" s="129"/>
      <c r="V395" s="129"/>
      <c r="W395" s="128"/>
      <c r="X395" s="127"/>
      <c r="Y395" s="127"/>
      <c r="Z395" s="4"/>
    </row>
    <row r="396" spans="1:26" ht="18" customHeight="1">
      <c r="A396" s="5"/>
      <c r="B396" s="21">
        <v>45656</v>
      </c>
      <c r="C396" s="21" t="s">
        <v>305</v>
      </c>
      <c r="D396" s="74" t="str">
        <f t="shared" si="179"/>
        <v>seg</v>
      </c>
      <c r="E396" s="169" t="str">
        <f>IF(K396&lt;&gt;"",VLOOKUP(K396,'Catálogo SAP'!$A$1:$F$245,2,FALSE),"-")</f>
        <v>-</v>
      </c>
      <c r="F396" s="16"/>
      <c r="G396" s="16"/>
      <c r="H396" s="22"/>
      <c r="I396" s="133"/>
      <c r="J396" s="162" t="str">
        <f t="shared" si="185"/>
        <v/>
      </c>
      <c r="K396" s="16"/>
      <c r="L396" s="167" t="str">
        <f>IF(K396&lt;&gt;"",VLOOKUP(K396,'Catálogo SAP'!A:F,3,FALSE),"")</f>
        <v/>
      </c>
      <c r="M396" s="162" t="str">
        <f>IF(K396&lt;&gt;"",VLOOKUP(K396,'Catálogo SAP'!A:F,4,FALSE),"")</f>
        <v/>
      </c>
      <c r="N396" s="168" t="str">
        <f>IF(K396&lt;&gt;"",VLOOKUP(K396,'Catálogo SAP'!A:F,5,FALSE),"")</f>
        <v/>
      </c>
      <c r="O396" s="160"/>
      <c r="P396" s="70" t="str">
        <f t="shared" si="190"/>
        <v>-</v>
      </c>
      <c r="Q396" s="163" t="str">
        <f t="shared" si="166"/>
        <v>-</v>
      </c>
      <c r="R396" s="44" t="str">
        <f>IF(J396&lt;&gt;"",VLOOKUP(J396,'RESUMO DR'!$B$4:$E$253,4,FALSE),"-")</f>
        <v>-</v>
      </c>
      <c r="S396" s="58" t="str">
        <f>IF(J396&lt;&gt;"",VLOOKUP(J396,'RESUMO DR'!$B$4:$E$253,3,FALSE),"-")</f>
        <v>-</v>
      </c>
      <c r="T396" s="129"/>
      <c r="U396" s="129"/>
      <c r="V396" s="129"/>
      <c r="W396" s="128"/>
      <c r="X396" s="127"/>
      <c r="Y396" s="127"/>
      <c r="Z396" s="4"/>
    </row>
    <row r="397" spans="1:26" ht="18" customHeight="1">
      <c r="A397" s="5">
        <v>1910</v>
      </c>
      <c r="B397" s="21">
        <v>45656</v>
      </c>
      <c r="C397" s="21" t="s">
        <v>300</v>
      </c>
      <c r="D397" s="74" t="str">
        <f t="shared" si="179"/>
        <v>seg</v>
      </c>
      <c r="E397" s="169">
        <f>IF(K397&lt;&gt;"",VLOOKUP(K397,'Catálogo SAP'!$A$1:$F$245,2,FALSE),"-")</f>
        <v>170</v>
      </c>
      <c r="F397" s="225">
        <v>137</v>
      </c>
      <c r="G397" s="225">
        <v>137</v>
      </c>
      <c r="H397" s="226"/>
      <c r="I397" s="230">
        <v>563</v>
      </c>
      <c r="J397" s="162" t="str">
        <f t="shared" si="185"/>
        <v>Tupirama</v>
      </c>
      <c r="K397" s="16">
        <v>170</v>
      </c>
      <c r="L397" s="167" t="str">
        <f>IF(K397&lt;&gt;"",VLOOKUP(K397,'Catálogo SAP'!A:F,3,FALSE),"")</f>
        <v>S.VP-01442</v>
      </c>
      <c r="M397" s="162" t="str">
        <f>IF(K397&lt;&gt;"",VLOOKUP(K397,'Catálogo SAP'!A:F,4,FALSE),"")</f>
        <v>Hora Improdutiva Pa Carregadeira C/Operador</v>
      </c>
      <c r="N397" s="168" t="str">
        <f>IF(K397&lt;&gt;"",VLOOKUP(K397,'Catálogo SAP'!A:F,5,FALSE),"")</f>
        <v>H</v>
      </c>
      <c r="O397" s="160">
        <v>9</v>
      </c>
      <c r="P397" s="70">
        <f t="shared" si="190"/>
        <v>0</v>
      </c>
      <c r="Q397" s="163" t="e">
        <f t="shared" si="166"/>
        <v>#VALUE!</v>
      </c>
      <c r="R397" s="44" t="str">
        <f>IF(J397&lt;&gt;"",VLOOKUP(J397,'RESUMO DR'!$B$4:$E$253,4,FALSE),"-")</f>
        <v>T-03</v>
      </c>
      <c r="S397" s="58" t="str">
        <f>IF(J397&lt;&gt;"",VLOOKUP(J397,'RESUMO DR'!$B$4:$E$253,3,FALSE),"-")</f>
        <v>PALMAS</v>
      </c>
      <c r="T397" s="129"/>
      <c r="U397" s="129"/>
      <c r="V397" s="129"/>
      <c r="W397" s="128"/>
      <c r="X397" s="127"/>
      <c r="Y397" s="127"/>
      <c r="Z397" s="4"/>
    </row>
    <row r="398" spans="1:26" ht="15.75" customHeight="1">
      <c r="A398" s="5"/>
      <c r="B398" s="21">
        <v>45656</v>
      </c>
      <c r="C398" s="21" t="s">
        <v>300</v>
      </c>
      <c r="D398" s="74" t="str">
        <f t="shared" si="179"/>
        <v>seg</v>
      </c>
      <c r="E398" s="169" t="str">
        <f>IF(K398&lt;&gt;"",VLOOKUP(K398,'Catálogo SAP'!$A$1:$F$245,2,FALSE),"-")</f>
        <v>-</v>
      </c>
      <c r="F398" s="225"/>
      <c r="G398" s="225"/>
      <c r="H398" s="226"/>
      <c r="I398" s="230"/>
      <c r="J398" s="162" t="str">
        <f t="shared" si="185"/>
        <v/>
      </c>
      <c r="K398" s="16"/>
      <c r="L398" s="167" t="str">
        <f>IF(K398&lt;&gt;"",VLOOKUP(K398,'Catálogo SAP'!A:F,3,FALSE),"")</f>
        <v/>
      </c>
      <c r="M398" s="162" t="str">
        <f>IF(K398&lt;&gt;"",VLOOKUP(K398,'Catálogo SAP'!A:F,4,FALSE),"")</f>
        <v/>
      </c>
      <c r="N398" s="168" t="str">
        <f>IF(K398&lt;&gt;"",VLOOKUP(K398,'Catálogo SAP'!A:F,5,FALSE),"")</f>
        <v/>
      </c>
      <c r="O398" s="160"/>
      <c r="P398" s="70" t="str">
        <f t="shared" si="190"/>
        <v>-</v>
      </c>
      <c r="Q398" s="163" t="str">
        <f t="shared" si="166"/>
        <v>-</v>
      </c>
      <c r="R398" s="44" t="str">
        <f>IF(J398&lt;&gt;"",VLOOKUP(J398,'RESUMO DR'!$B$4:$E$253,4,FALSE),"-")</f>
        <v>-</v>
      </c>
      <c r="S398" s="58" t="str">
        <f>IF(J398&lt;&gt;"",VLOOKUP(J398,'RESUMO DR'!$B$4:$E$253,3,FALSE),"-")</f>
        <v>-</v>
      </c>
      <c r="T398" s="129"/>
      <c r="U398" s="129"/>
      <c r="V398" s="129"/>
      <c r="W398" s="128"/>
      <c r="X398" s="127"/>
      <c r="Y398" s="127"/>
      <c r="Z398" s="4"/>
    </row>
    <row r="399" spans="1:26" ht="18" customHeight="1">
      <c r="A399" s="5">
        <v>1904</v>
      </c>
      <c r="B399" s="21">
        <v>45656</v>
      </c>
      <c r="C399" s="21" t="s">
        <v>134</v>
      </c>
      <c r="D399" s="74" t="str">
        <f t="shared" si="179"/>
        <v>seg</v>
      </c>
      <c r="E399" s="169">
        <f>IF(K399&lt;&gt;"",VLOOKUP(K399,'Catálogo SAP'!$A$1:$F$245,2,FALSE),"-")</f>
        <v>490</v>
      </c>
      <c r="F399" s="225">
        <v>3399</v>
      </c>
      <c r="G399" s="225">
        <v>3399</v>
      </c>
      <c r="H399" s="226"/>
      <c r="I399" s="230">
        <v>91</v>
      </c>
      <c r="J399" s="162" t="str">
        <f>IF(AND(I399&gt;=0.001,I399&lt;=16),"AÇAILÂNDIA","")&amp;IF(AND(I399&gt;=16.001,I399&lt;=44),"S.F. BREJÃO","")&amp;IF(AND(I399&gt;=44.001,I399&lt;=78),"JOÃO LISBOA","")&amp;IF(AND(I399&gt;=78.001,I399&lt;=96.397),"IMPERATRIZ","")&amp;IF(AND(I399&gt;=96.398,I399&lt;=122.82),"EDSON LOBÃO","")&amp;IF(AND(I399&gt;=122.821,I399&lt;=152.303),"RIBAMAR FIQUENE","")&amp;IF(AND(I399&gt;=152.304,I399&lt;=172.403),"CAMPESTRE","")&amp;IF(AND(I399&gt;=172.404,I399&lt;=195),"PORTO FRANCO","")&amp;IF(AND(I399&gt;=300,I399&lt;=300),"SAO LUIS","")&amp;IF(AND(I399&gt;=385.4,I399&lt;=465.4),"Palmeirante","")&amp;IF(AND(I399&gt;=465.401,I399&lt;=520.455),"Tupiratins","")&amp;IF(AND(I399&gt;=520.456,I399&lt;=536.741),"Guaraí","")&amp;IF(AND(I399&gt;=536.742,I399&lt;=580.293),"Tupirama","")&amp;IF(AND(I399&gt;=580.294,I399&lt;=608.637),"Rio dos Bois","")&amp;IF(AND(I399&gt;=608.638,I399&lt;=698.981),"Miracema","")&amp;IF(AND(I399&gt;=698.982,I399&lt;=735.6),"Porto Nacional","")&amp;IF(AND(I399&gt;=195.1,I399&lt;=213.603),"ESTREITO","")&amp;IF(AND(I399&gt;=213.604,I399&lt;=218.976),"AGUIARNÓPOLIS","")&amp;IF(AND(I399&gt;=218.977,I399&lt;=253.5),"PALMEIRAS DO TOCANTINS","")&amp;IF(AND(I399&gt;=253.501,I399&lt;=274.15),"DARCINÓPOLIS","")&amp;IF(AND(I399&gt;=274.151,I399&lt;=299.999),"BABAÇULÂNDIA","")&amp;IF(AND(I399&gt;=356.62,I399&lt;=385.4),"ARAGUAÍNA","")&amp;IF(AND(I399&gt;=300.001,I399&lt;=356.619),"BABAÇULÂNDIA","")&amp;IF(AND(I399&gt;=900,I399&lt;=902),"ENG. VLI","")</f>
        <v>IMPERATRIZ</v>
      </c>
      <c r="K399" s="16">
        <v>490</v>
      </c>
      <c r="L399" s="167" t="str">
        <f>IF(K399&lt;&gt;"",VLOOKUP(K399,'Catálogo SAP'!A:F,3,FALSE),"")</f>
        <v>S.VP-01466</v>
      </c>
      <c r="M399" s="162" t="str">
        <f>IF(K399&lt;&gt;"",VLOOKUP(K399,'Catálogo SAP'!A:F,4,FALSE),"")</f>
        <v>Hora Improdutiva Miniescavadeira Hidraulica C/ Operador</v>
      </c>
      <c r="N399" s="168" t="str">
        <f>IF(K399&lt;&gt;"",VLOOKUP(K399,'Catálogo SAP'!A:F,5,FALSE),"")</f>
        <v>H</v>
      </c>
      <c r="O399" s="160">
        <v>9</v>
      </c>
      <c r="P399" s="70">
        <f t="shared" si="190"/>
        <v>0</v>
      </c>
      <c r="Q399" s="163" t="e">
        <f t="shared" si="166"/>
        <v>#VALUE!</v>
      </c>
      <c r="R399" s="44" t="str">
        <f>IF(J399&lt;&gt;"",VLOOKUP(J399,'RESUMO DR'!$B$4:$E$253,4,FALSE),"-")</f>
        <v>T-01</v>
      </c>
      <c r="S399" s="58" t="str">
        <f>IF(J399&lt;&gt;"",VLOOKUP(J399,'RESUMO DR'!$B$4:$E$253,3,FALSE),"-")</f>
        <v>IMPERATRIZ</v>
      </c>
      <c r="T399" s="129"/>
      <c r="U399" s="129"/>
      <c r="V399" s="129"/>
      <c r="W399" s="128"/>
      <c r="X399" s="127"/>
      <c r="Y399" s="127"/>
      <c r="Z399" s="4"/>
    </row>
    <row r="400" spans="1:26" ht="18" customHeight="1">
      <c r="A400" s="5"/>
      <c r="B400" s="21">
        <v>45656</v>
      </c>
      <c r="C400" s="21" t="s">
        <v>134</v>
      </c>
      <c r="D400" s="74" t="str">
        <f t="shared" si="179"/>
        <v>seg</v>
      </c>
      <c r="E400" s="169" t="str">
        <f>IF(K400&lt;&gt;"",VLOOKUP(K400,'Catálogo SAP'!$A$1:$F$245,2,FALSE),"-")</f>
        <v>-</v>
      </c>
      <c r="F400" s="225"/>
      <c r="G400" s="225"/>
      <c r="H400" s="226"/>
      <c r="I400" s="230"/>
      <c r="J400" s="162" t="str">
        <f>IF(AND(I400&gt;=0.001,I400&lt;=16),"AÇAILÂNDIA","")&amp;IF(AND(I400&gt;=16.001,I400&lt;=44),"S.F. BREJÃO","")&amp;IF(AND(I400&gt;=44.001,I400&lt;=78),"JOÃO LISBOA","")&amp;IF(AND(I400&gt;=78.001,I400&lt;=96.397),"IMPERATRIZ","")&amp;IF(AND(I400&gt;=96.398,I400&lt;=122.82),"EDSON LOBÃO","")&amp;IF(AND(I400&gt;=122.821,I400&lt;=152.303),"RIBAMAR FIQUENE","")&amp;IF(AND(I400&gt;=152.304,I400&lt;=172.403),"CAMPESTRE","")&amp;IF(AND(I400&gt;=172.404,I400&lt;=195),"PORTO FRANCO","")&amp;IF(AND(I400&gt;=300,I400&lt;=300),"SAO LUIS","")&amp;IF(AND(I400&gt;=385.4,I400&lt;=465.4),"Palmeirante","")&amp;IF(AND(I400&gt;=465.401,I400&lt;=520.455),"Tupiratins","")&amp;IF(AND(I400&gt;=520.456,I400&lt;=536.741),"Guaraí","")&amp;IF(AND(I400&gt;=536.742,I400&lt;=580.293),"Tupirama","")&amp;IF(AND(I400&gt;=580.294,I400&lt;=608.637),"Rio dos Bois","")&amp;IF(AND(I400&gt;=608.638,I400&lt;=698.981),"Miracema","")&amp;IF(AND(I400&gt;=698.982,I400&lt;=735.6),"Porto Nacional","")&amp;IF(AND(I400&gt;=195.1,I400&lt;=213.603),"ESTREITO","")&amp;IF(AND(I400&gt;=213.604,I400&lt;=218.976),"AGUIARNÓPOLIS","")&amp;IF(AND(I400&gt;=218.977,I400&lt;=253.5),"PALMEIRAS DO TOCANTINS","")&amp;IF(AND(I400&gt;=253.501,I400&lt;=274.15),"DARCINÓPOLIS","")&amp;IF(AND(I400&gt;=274.151,I400&lt;=299.999),"BABAÇULÂNDIA","")&amp;IF(AND(I400&gt;=356.62,I400&lt;=385.4),"ARAGUAÍNA","")&amp;IF(AND(I400&gt;=300.001,I400&lt;=356.619),"BABAÇULÂNDIA","")&amp;IF(AND(I400&gt;=900,I400&lt;=902),"ENG. VLI","")</f>
        <v/>
      </c>
      <c r="K400" s="16"/>
      <c r="L400" s="167" t="str">
        <f>IF(K400&lt;&gt;"",VLOOKUP(K400,'Catálogo SAP'!A:F,3,FALSE),"")</f>
        <v/>
      </c>
      <c r="M400" s="162" t="str">
        <f>IF(K400&lt;&gt;"",VLOOKUP(K400,'Catálogo SAP'!A:F,4,FALSE),"")</f>
        <v/>
      </c>
      <c r="N400" s="168" t="str">
        <f>IF(K400&lt;&gt;"",VLOOKUP(K400,'Catálogo SAP'!A:F,5,FALSE),"")</f>
        <v/>
      </c>
      <c r="O400" s="160"/>
      <c r="P400" s="70" t="str">
        <f t="shared" si="190"/>
        <v>-</v>
      </c>
      <c r="Q400" s="163" t="str">
        <f t="shared" ref="Q400:Q510" si="191">IF(K400="","-",N400*O400)</f>
        <v>-</v>
      </c>
      <c r="R400" s="44" t="str">
        <f>IF(J400&lt;&gt;"",VLOOKUP(J400,'RESUMO DR'!$B$4:$E$253,4,FALSE),"-")</f>
        <v>-</v>
      </c>
      <c r="S400" s="58" t="str">
        <f>IF(J400&lt;&gt;"",VLOOKUP(J400,'RESUMO DR'!$B$4:$E$253,3,FALSE),"-")</f>
        <v>-</v>
      </c>
      <c r="T400" s="129"/>
      <c r="U400" s="129"/>
      <c r="V400" s="129"/>
      <c r="W400" s="128"/>
      <c r="X400" s="127"/>
      <c r="Y400" s="127"/>
      <c r="Z400" s="4"/>
    </row>
    <row r="401" spans="1:26" ht="18" customHeight="1">
      <c r="A401" s="5"/>
      <c r="B401" s="21">
        <v>45656</v>
      </c>
      <c r="C401" s="21" t="s">
        <v>316</v>
      </c>
      <c r="D401" s="74" t="str">
        <f t="shared" ref="D401:D402" si="192">IF(B401="","-",TEXT(B401,"ddd"))</f>
        <v>seg</v>
      </c>
      <c r="E401" s="169" t="str">
        <f>IF(K401&lt;&gt;"",VLOOKUP(K401,'Catálogo SAP'!$A$1:$F$245,2,FALSE),"-")</f>
        <v>-</v>
      </c>
      <c r="F401" s="16"/>
      <c r="G401" s="225"/>
      <c r="H401" s="22"/>
      <c r="I401" s="133"/>
      <c r="J401" s="162" t="str">
        <f t="shared" si="185"/>
        <v/>
      </c>
      <c r="K401" s="16"/>
      <c r="L401" s="167" t="str">
        <f>IF(K401&lt;&gt;"",VLOOKUP(K401,'Catálogo SAP'!A:F,3,FALSE),"")</f>
        <v/>
      </c>
      <c r="M401" s="162" t="str">
        <f>IF(K401&lt;&gt;"",VLOOKUP(K401,'Catálogo SAP'!A:F,4,FALSE),"")</f>
        <v/>
      </c>
      <c r="N401" s="168" t="str">
        <f>IF(K401&lt;&gt;"",VLOOKUP(K401,'Catálogo SAP'!A:F,5,FALSE),"")</f>
        <v/>
      </c>
      <c r="O401" s="160"/>
      <c r="P401" s="70" t="str">
        <f t="shared" si="190"/>
        <v>-</v>
      </c>
      <c r="Q401" s="163" t="str">
        <f t="shared" si="191"/>
        <v>-</v>
      </c>
      <c r="R401" s="44" t="str">
        <f>IF(J401&lt;&gt;"",VLOOKUP(J401,'RESUMO DR'!$B$4:$E$253,4,FALSE),"-")</f>
        <v>-</v>
      </c>
      <c r="S401" s="58" t="str">
        <f>IF(J401&lt;&gt;"",VLOOKUP(J401,'RESUMO DR'!$B$4:$E$253,3,FALSE),"-")</f>
        <v>-</v>
      </c>
      <c r="T401" s="129"/>
      <c r="U401" s="129"/>
      <c r="V401" s="129"/>
      <c r="W401" s="128"/>
      <c r="X401" s="127"/>
      <c r="Y401" s="127"/>
      <c r="Z401" s="4"/>
    </row>
    <row r="402" spans="1:26" ht="18" customHeight="1">
      <c r="A402" s="5"/>
      <c r="B402" s="21">
        <v>45656</v>
      </c>
      <c r="C402" s="21" t="s">
        <v>316</v>
      </c>
      <c r="D402" s="74" t="str">
        <f t="shared" si="192"/>
        <v>seg</v>
      </c>
      <c r="E402" s="169" t="str">
        <f>IF(K402&lt;&gt;"",VLOOKUP(K402,'Catálogo SAP'!$A$1:$F$245,2,FALSE),"-")</f>
        <v>-</v>
      </c>
      <c r="F402" s="225"/>
      <c r="G402" s="225"/>
      <c r="H402" s="226"/>
      <c r="I402" s="227"/>
      <c r="J402" s="162" t="str">
        <f t="shared" si="185"/>
        <v/>
      </c>
      <c r="K402" s="225"/>
      <c r="L402" s="167" t="str">
        <f>IF(K402&lt;&gt;"",VLOOKUP(K402,'Catálogo SAP'!A:F,3,FALSE),"")</f>
        <v/>
      </c>
      <c r="M402" s="162" t="str">
        <f>IF(K402&lt;&gt;"",VLOOKUP(K402,'Catálogo SAP'!A:F,4,FALSE),"")</f>
        <v/>
      </c>
      <c r="N402" s="168" t="str">
        <f>IF(K402&lt;&gt;"",VLOOKUP(K402,'Catálogo SAP'!A:F,5,FALSE),"")</f>
        <v/>
      </c>
      <c r="O402" s="231"/>
      <c r="P402" s="70" t="str">
        <f t="shared" si="190"/>
        <v>-</v>
      </c>
      <c r="Q402" s="163" t="str">
        <f t="shared" ref="Q402" si="193">IF(K402="","-",N402*O402)</f>
        <v>-</v>
      </c>
      <c r="R402" s="44" t="str">
        <f>IF(J402&lt;&gt;"",VLOOKUP(J402,'RESUMO DR'!$B$4:$E$253,4,FALSE),"-")</f>
        <v>-</v>
      </c>
      <c r="S402" s="58" t="str">
        <f>IF(J402&lt;&gt;"",VLOOKUP(J402,'RESUMO DR'!$B$4:$E$253,3,FALSE),"-")</f>
        <v>-</v>
      </c>
      <c r="T402" s="129"/>
      <c r="U402" s="129"/>
      <c r="V402" s="129"/>
      <c r="W402" s="128"/>
      <c r="X402" s="127"/>
      <c r="Y402" s="127"/>
      <c r="Z402" s="4"/>
    </row>
    <row r="403" spans="1:26" ht="18" customHeight="1">
      <c r="A403" s="5">
        <v>1909</v>
      </c>
      <c r="B403" s="21">
        <v>45656</v>
      </c>
      <c r="C403" s="21" t="s">
        <v>306</v>
      </c>
      <c r="D403" s="74" t="str">
        <f t="shared" si="179"/>
        <v>seg</v>
      </c>
      <c r="E403" s="169">
        <f>IF(K403&lt;&gt;"",VLOOKUP(K403,'Catálogo SAP'!$A$1:$F$245,2,FALSE),"-")</f>
        <v>280</v>
      </c>
      <c r="F403" s="225">
        <v>311</v>
      </c>
      <c r="G403" s="225">
        <v>320</v>
      </c>
      <c r="H403" s="226"/>
      <c r="I403" s="230">
        <v>574</v>
      </c>
      <c r="J403" s="162" t="str">
        <f t="shared" si="185"/>
        <v>Tupirama</v>
      </c>
      <c r="K403" s="16">
        <v>280</v>
      </c>
      <c r="L403" s="167" t="str">
        <f>IF(K403&lt;&gt;"",VLOOKUP(K403,'Catálogo SAP'!A:F,3,FALSE),"")</f>
        <v>S.VP-01453</v>
      </c>
      <c r="M403" s="162" t="str">
        <f>IF(K403&lt;&gt;"",VLOOKUP(K403,'Catálogo SAP'!A:F,4,FALSE),"")</f>
        <v>Hora Produtiva Motoniveladora C/Operador</v>
      </c>
      <c r="N403" s="168" t="str">
        <f>IF(K403&lt;&gt;"",VLOOKUP(K403,'Catálogo SAP'!A:F,5,FALSE),"")</f>
        <v>H</v>
      </c>
      <c r="O403" s="160">
        <v>9</v>
      </c>
      <c r="P403" s="70">
        <f t="shared" si="190"/>
        <v>9</v>
      </c>
      <c r="Q403" s="163" t="e">
        <f t="shared" si="191"/>
        <v>#VALUE!</v>
      </c>
      <c r="R403" s="44" t="str">
        <f>IF(J403&lt;&gt;"",VLOOKUP(J403,'RESUMO DR'!$B$4:$E$253,4,FALSE),"-")</f>
        <v>T-03</v>
      </c>
      <c r="S403" s="58" t="str">
        <f>IF(J403&lt;&gt;"",VLOOKUP(J403,'RESUMO DR'!$B$4:$E$253,3,FALSE),"-")</f>
        <v>PALMAS</v>
      </c>
      <c r="T403" s="129"/>
      <c r="U403" s="129"/>
      <c r="V403" s="129"/>
      <c r="W403" s="128"/>
      <c r="X403" s="127"/>
      <c r="Y403" s="127"/>
      <c r="Z403" s="4"/>
    </row>
    <row r="404" spans="1:26" ht="18" customHeight="1">
      <c r="A404" s="5"/>
      <c r="B404" s="21">
        <v>45656</v>
      </c>
      <c r="C404" s="21" t="s">
        <v>306</v>
      </c>
      <c r="D404" s="74" t="str">
        <f t="shared" si="179"/>
        <v>seg</v>
      </c>
      <c r="E404" s="169" t="str">
        <f>IF(K404&lt;&gt;"",VLOOKUP(K404,'Catálogo SAP'!$A$1:$F$245,2,FALSE),"-")</f>
        <v>-</v>
      </c>
      <c r="F404" s="225"/>
      <c r="G404" s="225"/>
      <c r="H404" s="226"/>
      <c r="I404" s="230"/>
      <c r="J404" s="162" t="str">
        <f t="shared" si="185"/>
        <v/>
      </c>
      <c r="K404" s="16"/>
      <c r="L404" s="167" t="str">
        <f>IF(K404&lt;&gt;"",VLOOKUP(K404,'Catálogo SAP'!A:F,3,FALSE),"")</f>
        <v/>
      </c>
      <c r="M404" s="162" t="str">
        <f>IF(K404&lt;&gt;"",VLOOKUP(K404,'Catálogo SAP'!A:F,4,FALSE),"")</f>
        <v/>
      </c>
      <c r="N404" s="168" t="str">
        <f>IF(K404&lt;&gt;"",VLOOKUP(K404,'Catálogo SAP'!A:F,5,FALSE),"")</f>
        <v/>
      </c>
      <c r="O404" s="160"/>
      <c r="P404" s="70" t="str">
        <f t="shared" si="190"/>
        <v>-</v>
      </c>
      <c r="Q404" s="163" t="str">
        <f t="shared" si="191"/>
        <v>-</v>
      </c>
      <c r="R404" s="44" t="str">
        <f>IF(J404&lt;&gt;"",VLOOKUP(J404,'RESUMO DR'!$B$4:$E$253,4,FALSE),"-")</f>
        <v>-</v>
      </c>
      <c r="S404" s="58" t="str">
        <f>IF(J404&lt;&gt;"",VLOOKUP(J404,'RESUMO DR'!$B$4:$E$253,3,FALSE),"-")</f>
        <v>-</v>
      </c>
      <c r="T404" s="129"/>
      <c r="U404" s="129"/>
      <c r="V404" s="129"/>
      <c r="W404" s="128"/>
      <c r="X404" s="127"/>
      <c r="Y404" s="127"/>
      <c r="Z404" s="4"/>
    </row>
    <row r="405" spans="1:26" ht="18" customHeight="1">
      <c r="A405" s="5"/>
      <c r="B405" s="21">
        <v>45656</v>
      </c>
      <c r="C405" s="21" t="s">
        <v>311</v>
      </c>
      <c r="D405" s="74" t="str">
        <f t="shared" si="179"/>
        <v>seg</v>
      </c>
      <c r="E405" s="169" t="str">
        <f>IF(K405&lt;&gt;"",VLOOKUP(K405,'Catálogo SAP'!$A$1:$F$245,2,FALSE),"-")</f>
        <v>-</v>
      </c>
      <c r="F405" s="225"/>
      <c r="G405" s="225"/>
      <c r="H405" s="226"/>
      <c r="I405" s="230"/>
      <c r="J405" s="162" t="str">
        <f t="shared" si="185"/>
        <v/>
      </c>
      <c r="K405" s="16"/>
      <c r="L405" s="167" t="str">
        <f>IF(K405&lt;&gt;"",VLOOKUP(K405,'Catálogo SAP'!A:F,3,FALSE),"")</f>
        <v/>
      </c>
      <c r="M405" s="162" t="str">
        <f>IF(K405&lt;&gt;"",VLOOKUP(K405,'Catálogo SAP'!A:F,4,FALSE),"")</f>
        <v/>
      </c>
      <c r="N405" s="168" t="str">
        <f>IF(K405&lt;&gt;"",VLOOKUP(K405,'Catálogo SAP'!A:F,5,FALSE),"")</f>
        <v/>
      </c>
      <c r="O405" s="160"/>
      <c r="P405" s="70" t="str">
        <f t="shared" si="190"/>
        <v>-</v>
      </c>
      <c r="Q405" s="163" t="str">
        <f t="shared" si="191"/>
        <v>-</v>
      </c>
      <c r="R405" s="44" t="str">
        <f>IF(J405&lt;&gt;"",VLOOKUP(J405,'RESUMO DR'!$B$4:$E$253,4,FALSE),"-")</f>
        <v>-</v>
      </c>
      <c r="S405" s="58" t="str">
        <f>IF(J405&lt;&gt;"",VLOOKUP(J405,'RESUMO DR'!$B$4:$E$253,3,FALSE),"-")</f>
        <v>-</v>
      </c>
      <c r="T405" s="129"/>
      <c r="U405" s="129"/>
      <c r="V405" s="129"/>
      <c r="W405" s="128"/>
      <c r="X405" s="127"/>
      <c r="Y405" s="127"/>
      <c r="Z405" s="4"/>
    </row>
    <row r="406" spans="1:26" ht="18" customHeight="1">
      <c r="A406" s="5"/>
      <c r="B406" s="21">
        <v>45656</v>
      </c>
      <c r="C406" s="21" t="s">
        <v>311</v>
      </c>
      <c r="D406" s="74" t="str">
        <f t="shared" si="179"/>
        <v>seg</v>
      </c>
      <c r="E406" s="169" t="str">
        <f>IF(K406&lt;&gt;"",VLOOKUP(K406,'Catálogo SAP'!$A$1:$F$245,2,FALSE),"-")</f>
        <v>-</v>
      </c>
      <c r="F406" s="225"/>
      <c r="G406" s="225"/>
      <c r="H406" s="226"/>
      <c r="I406" s="230"/>
      <c r="J406" s="162" t="str">
        <f t="shared" si="185"/>
        <v/>
      </c>
      <c r="K406" s="16"/>
      <c r="L406" s="167" t="str">
        <f>IF(K406&lt;&gt;"",VLOOKUP(K406,'Catálogo SAP'!A:F,3,FALSE),"")</f>
        <v/>
      </c>
      <c r="M406" s="162" t="str">
        <f>IF(K406&lt;&gt;"",VLOOKUP(K406,'Catálogo SAP'!A:F,4,FALSE),"")</f>
        <v/>
      </c>
      <c r="N406" s="168" t="str">
        <f>IF(K406&lt;&gt;"",VLOOKUP(K406,'Catálogo SAP'!A:F,5,FALSE),"")</f>
        <v/>
      </c>
      <c r="O406" s="160"/>
      <c r="P406" s="70" t="str">
        <f t="shared" si="190"/>
        <v>-</v>
      </c>
      <c r="Q406" s="163" t="str">
        <f t="shared" si="191"/>
        <v>-</v>
      </c>
      <c r="R406" s="44" t="str">
        <f>IF(J406&lt;&gt;"",VLOOKUP(J406,'RESUMO DR'!$B$4:$E$253,4,FALSE),"-")</f>
        <v>-</v>
      </c>
      <c r="S406" s="58" t="str">
        <f>IF(J406&lt;&gt;"",VLOOKUP(J406,'RESUMO DR'!$B$4:$E$253,3,FALSE),"-")</f>
        <v>-</v>
      </c>
      <c r="T406" s="129"/>
      <c r="U406" s="129"/>
      <c r="V406" s="129"/>
      <c r="W406" s="128"/>
      <c r="X406" s="127"/>
      <c r="Y406" s="127"/>
      <c r="Z406" s="4"/>
    </row>
    <row r="407" spans="1:26" ht="18" customHeight="1">
      <c r="A407" s="5">
        <v>1901</v>
      </c>
      <c r="B407" s="21">
        <v>45656</v>
      </c>
      <c r="C407" s="21" t="s">
        <v>314</v>
      </c>
      <c r="D407" s="74" t="str">
        <f t="shared" si="179"/>
        <v>seg</v>
      </c>
      <c r="E407" s="169">
        <f>IF(K407&lt;&gt;"",VLOOKUP(K407,'Catálogo SAP'!$A$1:$F$245,2,FALSE),"-")</f>
        <v>200</v>
      </c>
      <c r="F407" s="225">
        <v>65325</v>
      </c>
      <c r="G407" s="225">
        <v>65623</v>
      </c>
      <c r="H407" s="226"/>
      <c r="I407" s="230">
        <v>59</v>
      </c>
      <c r="J407" s="162" t="str">
        <f t="shared" si="185"/>
        <v>JOÃO LISBOA</v>
      </c>
      <c r="K407" s="16">
        <v>200</v>
      </c>
      <c r="L407" s="167" t="str">
        <f>IF(K407&lt;&gt;"",VLOOKUP(K407,'Catálogo SAP'!A:F,3,FALSE),"")</f>
        <v>S.VP-01445</v>
      </c>
      <c r="M407" s="162" t="str">
        <f>IF(K407&lt;&gt;"",VLOOKUP(K407,'Catálogo SAP'!A:F,4,FALSE),"")</f>
        <v>Km Rodado Caminhão Basculante - C/Motorista</v>
      </c>
      <c r="N407" s="168" t="str">
        <f>IF(K407&lt;&gt;"",VLOOKUP(K407,'Catálogo SAP'!A:F,5,FALSE),"")</f>
        <v>KM</v>
      </c>
      <c r="O407" s="160">
        <v>298</v>
      </c>
      <c r="P407" s="70">
        <f t="shared" si="190"/>
        <v>298</v>
      </c>
      <c r="Q407" s="163" t="e">
        <f t="shared" si="191"/>
        <v>#VALUE!</v>
      </c>
      <c r="R407" s="44" t="str">
        <f>IF(J407&lt;&gt;"",VLOOKUP(J407,'RESUMO DR'!$B$4:$E$253,4,FALSE),"-")</f>
        <v>T-01</v>
      </c>
      <c r="S407" s="58" t="str">
        <f>IF(J407&lt;&gt;"",VLOOKUP(J407,'RESUMO DR'!$B$4:$E$253,3,FALSE),"-")</f>
        <v>IMPERATRIZ</v>
      </c>
      <c r="T407" s="129"/>
      <c r="U407" s="129"/>
      <c r="V407" s="129"/>
      <c r="W407" s="128"/>
      <c r="X407" s="127"/>
      <c r="Y407" s="127"/>
      <c r="Z407" s="4"/>
    </row>
    <row r="408" spans="1:26" ht="18" customHeight="1">
      <c r="A408" s="5">
        <v>1901</v>
      </c>
      <c r="B408" s="21">
        <v>45656</v>
      </c>
      <c r="C408" s="21" t="s">
        <v>315</v>
      </c>
      <c r="D408" s="74" t="str">
        <f t="shared" ref="D408" si="194">IF(B408="","-",TEXT(B408,"ddd"))</f>
        <v>seg</v>
      </c>
      <c r="E408" s="169">
        <f>IF(K408&lt;&gt;"",VLOOKUP(K408,'Catálogo SAP'!$A$1:$F$245,2,FALSE),"-")</f>
        <v>160</v>
      </c>
      <c r="F408" s="225">
        <v>1380</v>
      </c>
      <c r="G408" s="225">
        <v>1389</v>
      </c>
      <c r="H408" s="226"/>
      <c r="I408" s="230">
        <v>59</v>
      </c>
      <c r="J408" s="162" t="str">
        <f t="shared" si="185"/>
        <v>JOÃO LISBOA</v>
      </c>
      <c r="K408" s="16">
        <v>160</v>
      </c>
      <c r="L408" s="167" t="str">
        <f>IF(K408&lt;&gt;"",VLOOKUP(K408,'Catálogo SAP'!A:F,3,FALSE),"")</f>
        <v>S.VP-01441</v>
      </c>
      <c r="M408" s="162" t="str">
        <f>IF(K408&lt;&gt;"",VLOOKUP(K408,'Catálogo SAP'!A:F,4,FALSE),"")</f>
        <v>Hora Produtiva Pa Carregadeira C/Operador</v>
      </c>
      <c r="N408" s="168" t="str">
        <f>IF(K408&lt;&gt;"",VLOOKUP(K408,'Catálogo SAP'!A:F,5,FALSE),"")</f>
        <v>H</v>
      </c>
      <c r="O408" s="160">
        <v>9</v>
      </c>
      <c r="P408" s="70">
        <f t="shared" si="190"/>
        <v>9</v>
      </c>
      <c r="Q408" s="163" t="e">
        <f t="shared" ref="Q408" si="195">IF(K408="","-",N408*O408)</f>
        <v>#VALUE!</v>
      </c>
      <c r="R408" s="44" t="str">
        <f>IF(J408&lt;&gt;"",VLOOKUP(J408,'RESUMO DR'!$B$4:$E$253,4,FALSE),"-")</f>
        <v>T-01</v>
      </c>
      <c r="S408" s="58" t="str">
        <f>IF(J408&lt;&gt;"",VLOOKUP(J408,'RESUMO DR'!$B$4:$E$253,3,FALSE),"-")</f>
        <v>IMPERATRIZ</v>
      </c>
      <c r="T408" s="129"/>
      <c r="U408" s="129"/>
      <c r="V408" s="129"/>
      <c r="W408" s="128"/>
      <c r="X408" s="127"/>
      <c r="Y408" s="127"/>
      <c r="Z408" s="4"/>
    </row>
    <row r="409" spans="1:26" ht="18" customHeight="1">
      <c r="A409" s="5"/>
      <c r="B409" s="21">
        <v>45656</v>
      </c>
      <c r="C409" s="21" t="s">
        <v>139</v>
      </c>
      <c r="D409" s="74" t="str">
        <f t="shared" si="179"/>
        <v>seg</v>
      </c>
      <c r="E409" s="169" t="str">
        <f>IF(K409&lt;&gt;"",VLOOKUP(K409,'Catálogo SAP'!$A$1:$F$245,2,FALSE),"-")</f>
        <v>-</v>
      </c>
      <c r="F409" s="225"/>
      <c r="G409" s="225"/>
      <c r="H409" s="226"/>
      <c r="I409" s="230"/>
      <c r="J409" s="162" t="str">
        <f t="shared" si="185"/>
        <v/>
      </c>
      <c r="K409" s="16"/>
      <c r="L409" s="167" t="str">
        <f>IF(K409&lt;&gt;"",VLOOKUP(K409,'Catálogo SAP'!A:F,3,FALSE),"")</f>
        <v/>
      </c>
      <c r="M409" s="162" t="str">
        <f>IF(K409&lt;&gt;"",VLOOKUP(K409,'Catálogo SAP'!A:F,4,FALSE),"")</f>
        <v/>
      </c>
      <c r="N409" s="168" t="str">
        <f>IF(K409&lt;&gt;"",VLOOKUP(K409,'Catálogo SAP'!A:F,5,FALSE),"")</f>
        <v/>
      </c>
      <c r="O409" s="160"/>
      <c r="P409" s="70" t="str">
        <f t="shared" si="190"/>
        <v>-</v>
      </c>
      <c r="Q409" s="163" t="str">
        <f t="shared" ref="Q409:Q445" si="196">IF(K409="","-",N409*O409)</f>
        <v>-</v>
      </c>
      <c r="R409" s="44" t="str">
        <f>IF(J409&lt;&gt;"",VLOOKUP(J409,'RESUMO DR'!$B$4:$E$253,4,FALSE),"-")</f>
        <v>-</v>
      </c>
      <c r="S409" s="58" t="str">
        <f>IF(J409&lt;&gt;"",VLOOKUP(J409,'RESUMO DR'!$B$4:$E$253,3,FALSE),"-")</f>
        <v>-</v>
      </c>
      <c r="T409" s="129"/>
      <c r="U409" s="129"/>
      <c r="V409" s="129"/>
      <c r="W409" s="128"/>
      <c r="X409" s="127"/>
      <c r="Y409" s="127"/>
      <c r="Z409" s="4"/>
    </row>
    <row r="410" spans="1:26" ht="18" customHeight="1">
      <c r="A410" s="5"/>
      <c r="B410" s="222"/>
      <c r="C410" s="222"/>
      <c r="D410" s="74" t="str">
        <f t="shared" ref="D410:D473" si="197">IF(B410="","-",TEXT(B410,"ddd"))</f>
        <v>-</v>
      </c>
      <c r="E410" s="169" t="str">
        <f>IF(K410&lt;&gt;"",VLOOKUP(K410,'Catálogo SAP'!$A$1:$F$245,2,FALSE),"-")</f>
        <v>-</v>
      </c>
      <c r="F410" s="225"/>
      <c r="G410" s="225"/>
      <c r="H410" s="226"/>
      <c r="I410" s="230"/>
      <c r="J410" s="162" t="str">
        <f t="shared" si="185"/>
        <v/>
      </c>
      <c r="K410" s="225"/>
      <c r="L410" s="167" t="str">
        <f>IF(K410&lt;&gt;"",VLOOKUP(K410,'Catálogo SAP'!A:F,3,FALSE),"")</f>
        <v/>
      </c>
      <c r="M410" s="162" t="str">
        <f>IF(K410&lt;&gt;"",VLOOKUP(K410,'Catálogo SAP'!A:F,4,FALSE),"")</f>
        <v/>
      </c>
      <c r="N410" s="168" t="str">
        <f>IF(K410&lt;&gt;"",VLOOKUP(K410,'Catálogo SAP'!A:F,5,FALSE),"")</f>
        <v/>
      </c>
      <c r="O410" s="231"/>
      <c r="P410" s="70" t="str">
        <f t="shared" si="190"/>
        <v>-</v>
      </c>
      <c r="Q410" s="163" t="str">
        <f t="shared" si="196"/>
        <v>-</v>
      </c>
      <c r="R410" s="44" t="str">
        <f>IF(J410&lt;&gt;"",VLOOKUP(J410,'RESUMO DR'!$B$4:$E$253,4,FALSE),"-")</f>
        <v>-</v>
      </c>
      <c r="S410" s="58" t="str">
        <f>IF(J410&lt;&gt;"",VLOOKUP(J410,'RESUMO DR'!$B$4:$E$253,3,FALSE),"-")</f>
        <v>-</v>
      </c>
      <c r="T410" s="129"/>
      <c r="U410" s="129"/>
      <c r="V410" s="129"/>
      <c r="W410" s="128"/>
      <c r="X410" s="127"/>
      <c r="Y410" s="127"/>
      <c r="Z410" s="4"/>
    </row>
    <row r="411" spans="1:26" ht="18" customHeight="1">
      <c r="A411" s="5">
        <v>1566</v>
      </c>
      <c r="B411" s="222">
        <v>45657</v>
      </c>
      <c r="C411" s="21" t="s">
        <v>121</v>
      </c>
      <c r="D411" s="74" t="str">
        <f t="shared" si="197"/>
        <v>ter</v>
      </c>
      <c r="E411" s="169">
        <f>IF(K411&lt;&gt;"",VLOOKUP(K411,'Catálogo SAP'!$A$1:$F$245,2,FALSE),"-")</f>
        <v>130</v>
      </c>
      <c r="F411" s="225">
        <v>8710</v>
      </c>
      <c r="G411" s="225">
        <v>8710</v>
      </c>
      <c r="H411" s="226"/>
      <c r="I411" s="230">
        <v>300</v>
      </c>
      <c r="J411" s="162" t="str">
        <f t="shared" si="185"/>
        <v>SAO LUIS</v>
      </c>
      <c r="K411" s="225">
        <v>130</v>
      </c>
      <c r="L411" s="167" t="str">
        <f>IF(K411&lt;&gt;"",VLOOKUP(K411,'Catálogo SAP'!A:F,3,FALSE),"")</f>
        <v>S.VP-01438</v>
      </c>
      <c r="M411" s="162" t="str">
        <f>IF(K411&lt;&gt;"",VLOOKUP(K411,'Catálogo SAP'!A:F,4,FALSE),"")</f>
        <v>Hr Improdutiva Retroescavadeira C/Operador</v>
      </c>
      <c r="N411" s="168" t="str">
        <f>IF(K411&lt;&gt;"",VLOOKUP(K411,'Catálogo SAP'!A:F,5,FALSE),"")</f>
        <v>H</v>
      </c>
      <c r="O411" s="231">
        <v>9</v>
      </c>
      <c r="P411" s="70">
        <f t="shared" si="190"/>
        <v>0</v>
      </c>
      <c r="Q411" s="163" t="e">
        <f t="shared" si="196"/>
        <v>#VALUE!</v>
      </c>
      <c r="R411" s="44" t="str">
        <f>IF(J411&lt;&gt;"",VLOOKUP(J411,'RESUMO DR'!$B$4:$E$253,4,FALSE),"-")</f>
        <v>T-02</v>
      </c>
      <c r="S411" s="58" t="str">
        <f>IF(J411&lt;&gt;"",VLOOKUP(J411,'RESUMO DR'!$B$4:$E$253,3,FALSE),"-")</f>
        <v>ARAGUAINA</v>
      </c>
      <c r="T411" s="129"/>
      <c r="U411" s="129"/>
      <c r="V411" s="129"/>
      <c r="W411" s="128"/>
      <c r="X411" s="127"/>
      <c r="Y411" s="127"/>
      <c r="Z411" s="4"/>
    </row>
    <row r="412" spans="1:26" ht="18" customHeight="1">
      <c r="A412" s="5"/>
      <c r="B412" s="222">
        <v>45657</v>
      </c>
      <c r="C412" s="21" t="s">
        <v>121</v>
      </c>
      <c r="D412" s="74" t="str">
        <f t="shared" si="197"/>
        <v>ter</v>
      </c>
      <c r="E412" s="169" t="str">
        <f>IF(K412&lt;&gt;"",VLOOKUP(K412,'Catálogo SAP'!$A$1:$F$245,2,FALSE),"-")</f>
        <v>-</v>
      </c>
      <c r="F412" s="225"/>
      <c r="G412" s="225"/>
      <c r="H412" s="226"/>
      <c r="I412" s="230"/>
      <c r="J412" s="162" t="str">
        <f t="shared" si="185"/>
        <v/>
      </c>
      <c r="K412" s="225"/>
      <c r="L412" s="167" t="str">
        <f>IF(K412&lt;&gt;"",VLOOKUP(K412,'Catálogo SAP'!A:F,3,FALSE),"")</f>
        <v/>
      </c>
      <c r="M412" s="162" t="str">
        <f>IF(K412&lt;&gt;"",VLOOKUP(K412,'Catálogo SAP'!A:F,4,FALSE),"")</f>
        <v/>
      </c>
      <c r="N412" s="168" t="str">
        <f>IF(K412&lt;&gt;"",VLOOKUP(K412,'Catálogo SAP'!A:F,5,FALSE),"")</f>
        <v/>
      </c>
      <c r="O412" s="231"/>
      <c r="P412" s="70" t="str">
        <f t="shared" si="190"/>
        <v>-</v>
      </c>
      <c r="Q412" s="163" t="str">
        <f t="shared" si="196"/>
        <v>-</v>
      </c>
      <c r="R412" s="44" t="str">
        <f>IF(J412&lt;&gt;"",VLOOKUP(J412,'RESUMO DR'!$B$4:$E$253,4,FALSE),"-")</f>
        <v>-</v>
      </c>
      <c r="S412" s="58" t="str">
        <f>IF(J412&lt;&gt;"",VLOOKUP(J412,'RESUMO DR'!$B$4:$E$253,3,FALSE),"-")</f>
        <v>-</v>
      </c>
      <c r="T412" s="129"/>
      <c r="U412" s="129"/>
      <c r="V412" s="129"/>
      <c r="W412" s="128"/>
      <c r="X412" s="127"/>
      <c r="Y412" s="127"/>
      <c r="Z412" s="4"/>
    </row>
    <row r="413" spans="1:26" ht="18" customHeight="1">
      <c r="A413" s="5">
        <v>1917</v>
      </c>
      <c r="B413" s="222">
        <v>45657</v>
      </c>
      <c r="C413" s="21" t="s">
        <v>122</v>
      </c>
      <c r="D413" s="74" t="str">
        <f t="shared" si="197"/>
        <v>ter</v>
      </c>
      <c r="E413" s="169">
        <f>IF(K413&lt;&gt;"",VLOOKUP(K413,'Catálogo SAP'!$A$1:$F$245,2,FALSE),"-")</f>
        <v>120</v>
      </c>
      <c r="F413" s="225">
        <v>3848</v>
      </c>
      <c r="G413" s="225">
        <v>3857</v>
      </c>
      <c r="H413" s="226"/>
      <c r="I413" s="230">
        <v>373</v>
      </c>
      <c r="J413" s="162" t="str">
        <f t="shared" si="185"/>
        <v>ARAGUAÍNA</v>
      </c>
      <c r="K413" s="225">
        <v>120</v>
      </c>
      <c r="L413" s="167" t="str">
        <f>IF(K413&lt;&gt;"",VLOOKUP(K413,'Catálogo SAP'!A:F,3,FALSE),"")</f>
        <v>S.VP-01437</v>
      </c>
      <c r="M413" s="162" t="str">
        <f>IF(K413&lt;&gt;"",VLOOKUP(K413,'Catálogo SAP'!A:F,4,FALSE),"")</f>
        <v>Hr Produtiva Retroescavadeira C/Operador</v>
      </c>
      <c r="N413" s="168" t="str">
        <f>IF(K413&lt;&gt;"",VLOOKUP(K413,'Catálogo SAP'!A:F,5,FALSE),"")</f>
        <v>H</v>
      </c>
      <c r="O413" s="231">
        <v>9</v>
      </c>
      <c r="P413" s="70">
        <f t="shared" si="190"/>
        <v>9</v>
      </c>
      <c r="Q413" s="163" t="e">
        <f t="shared" si="196"/>
        <v>#VALUE!</v>
      </c>
      <c r="R413" s="44" t="str">
        <f>IF(J413&lt;&gt;"",VLOOKUP(J413,'RESUMO DR'!$B$4:$E$253,4,FALSE),"-")</f>
        <v>T-02</v>
      </c>
      <c r="S413" s="58" t="str">
        <f>IF(J413&lt;&gt;"",VLOOKUP(J413,'RESUMO DR'!$B$4:$E$253,3,FALSE),"-")</f>
        <v>ARAGUAINA</v>
      </c>
      <c r="T413" s="129"/>
      <c r="U413" s="129"/>
      <c r="V413" s="129"/>
      <c r="W413" s="128"/>
      <c r="X413" s="127"/>
      <c r="Y413" s="127"/>
      <c r="Z413" s="4"/>
    </row>
    <row r="414" spans="1:26" ht="18" customHeight="1">
      <c r="A414" s="5">
        <v>1911</v>
      </c>
      <c r="B414" s="222">
        <v>45657</v>
      </c>
      <c r="C414" s="21" t="s">
        <v>123</v>
      </c>
      <c r="D414" s="74" t="str">
        <f t="shared" si="197"/>
        <v>ter</v>
      </c>
      <c r="E414" s="169">
        <f>IF(K414&lt;&gt;"",VLOOKUP(K414,'Catálogo SAP'!$A$1:$F$245,2,FALSE),"-")</f>
        <v>120</v>
      </c>
      <c r="F414" s="225">
        <v>5864</v>
      </c>
      <c r="G414" s="225">
        <v>5873</v>
      </c>
      <c r="H414" s="226"/>
      <c r="I414" s="230">
        <v>574</v>
      </c>
      <c r="J414" s="162" t="str">
        <f t="shared" si="185"/>
        <v>Tupirama</v>
      </c>
      <c r="K414" s="225">
        <v>120</v>
      </c>
      <c r="L414" s="167" t="str">
        <f>IF(K414&lt;&gt;"",VLOOKUP(K414,'Catálogo SAP'!A:F,3,FALSE),"")</f>
        <v>S.VP-01437</v>
      </c>
      <c r="M414" s="162" t="str">
        <f>IF(K414&lt;&gt;"",VLOOKUP(K414,'Catálogo SAP'!A:F,4,FALSE),"")</f>
        <v>Hr Produtiva Retroescavadeira C/Operador</v>
      </c>
      <c r="N414" s="168" t="str">
        <f>IF(K414&lt;&gt;"",VLOOKUP(K414,'Catálogo SAP'!A:F,5,FALSE),"")</f>
        <v>H</v>
      </c>
      <c r="O414" s="231">
        <v>9</v>
      </c>
      <c r="P414" s="70">
        <f t="shared" si="190"/>
        <v>9</v>
      </c>
      <c r="Q414" s="163" t="e">
        <f t="shared" si="196"/>
        <v>#VALUE!</v>
      </c>
      <c r="R414" s="44" t="str">
        <f>IF(J414&lt;&gt;"",VLOOKUP(J414,'RESUMO DR'!$B$4:$E$253,4,FALSE),"-")</f>
        <v>T-03</v>
      </c>
      <c r="S414" s="58" t="str">
        <f>IF(J414&lt;&gt;"",VLOOKUP(J414,'RESUMO DR'!$B$4:$E$253,3,FALSE),"-")</f>
        <v>PALMAS</v>
      </c>
      <c r="T414" s="129"/>
      <c r="U414" s="129"/>
      <c r="V414" s="129"/>
      <c r="W414" s="128"/>
      <c r="X414" s="127"/>
      <c r="Y414" s="127"/>
      <c r="Z414" s="4"/>
    </row>
    <row r="415" spans="1:26" ht="18" customHeight="1">
      <c r="A415" s="5"/>
      <c r="B415" s="222">
        <v>45657</v>
      </c>
      <c r="C415" s="21" t="s">
        <v>123</v>
      </c>
      <c r="D415" s="74" t="str">
        <f t="shared" si="197"/>
        <v>ter</v>
      </c>
      <c r="E415" s="169" t="str">
        <f>IF(K415&lt;&gt;"",VLOOKUP(K415,'Catálogo SAP'!$A$1:$F$245,2,FALSE),"-")</f>
        <v>-</v>
      </c>
      <c r="F415" s="225"/>
      <c r="G415" s="225"/>
      <c r="H415" s="226"/>
      <c r="I415" s="230"/>
      <c r="J415" s="162" t="str">
        <f t="shared" si="185"/>
        <v/>
      </c>
      <c r="K415" s="225"/>
      <c r="L415" s="167" t="str">
        <f>IF(K415&lt;&gt;"",VLOOKUP(K415,'Catálogo SAP'!A:F,3,FALSE),"")</f>
        <v/>
      </c>
      <c r="M415" s="162" t="str">
        <f>IF(K415&lt;&gt;"",VLOOKUP(K415,'Catálogo SAP'!A:F,4,FALSE),"")</f>
        <v/>
      </c>
      <c r="N415" s="168" t="str">
        <f>IF(K415&lt;&gt;"",VLOOKUP(K415,'Catálogo SAP'!A:F,5,FALSE),"")</f>
        <v/>
      </c>
      <c r="O415" s="231"/>
      <c r="P415" s="70" t="str">
        <f t="shared" si="190"/>
        <v>-</v>
      </c>
      <c r="Q415" s="163" t="str">
        <f t="shared" si="196"/>
        <v>-</v>
      </c>
      <c r="R415" s="44" t="str">
        <f>IF(J415&lt;&gt;"",VLOOKUP(J415,'RESUMO DR'!$B$4:$E$253,4,FALSE),"-")</f>
        <v>-</v>
      </c>
      <c r="S415" s="58" t="str">
        <f>IF(J415&lt;&gt;"",VLOOKUP(J415,'RESUMO DR'!$B$4:$E$253,3,FALSE),"-")</f>
        <v>-</v>
      </c>
      <c r="T415" s="129"/>
      <c r="U415" s="129"/>
      <c r="V415" s="129"/>
      <c r="W415" s="128"/>
      <c r="X415" s="127"/>
      <c r="Y415" s="127"/>
      <c r="Z415" s="4"/>
    </row>
    <row r="416" spans="1:26" ht="18" customHeight="1">
      <c r="A416" s="5">
        <v>1915</v>
      </c>
      <c r="B416" s="222">
        <v>45657</v>
      </c>
      <c r="C416" s="21" t="s">
        <v>124</v>
      </c>
      <c r="D416" s="74" t="str">
        <f t="shared" si="197"/>
        <v>ter</v>
      </c>
      <c r="E416" s="169">
        <f>IF(K416&lt;&gt;"",VLOOKUP(K416,'Catálogo SAP'!$A$1:$F$245,2,FALSE),"-")</f>
        <v>410</v>
      </c>
      <c r="F416" s="225">
        <v>418654</v>
      </c>
      <c r="G416" s="225">
        <v>418654</v>
      </c>
      <c r="H416" s="226"/>
      <c r="I416" s="230">
        <v>91</v>
      </c>
      <c r="J416" s="162" t="str">
        <f t="shared" si="185"/>
        <v>IMPERATRIZ</v>
      </c>
      <c r="K416" s="225">
        <v>410</v>
      </c>
      <c r="L416" s="167" t="str">
        <f>IF(K416&lt;&gt;"",VLOOKUP(K416,'Catálogo SAP'!A:F,3,FALSE),"")</f>
        <v>S.VP-01462</v>
      </c>
      <c r="M416" s="162" t="str">
        <f>IF(K416&lt;&gt;"",VLOOKUP(K416,'Catálogo SAP'!A:F,4,FALSE),"")</f>
        <v>Hora Improdutiva Carreta Prancha - C/ Motorista</v>
      </c>
      <c r="N416" s="168" t="str">
        <f>IF(K416&lt;&gt;"",VLOOKUP(K416,'Catálogo SAP'!A:F,5,FALSE),"")</f>
        <v>H</v>
      </c>
      <c r="O416" s="231">
        <v>9</v>
      </c>
      <c r="P416" s="70">
        <f t="shared" si="190"/>
        <v>0</v>
      </c>
      <c r="Q416" s="163" t="e">
        <f t="shared" si="196"/>
        <v>#VALUE!</v>
      </c>
      <c r="R416" s="44" t="str">
        <f>IF(J416&lt;&gt;"",VLOOKUP(J416,'RESUMO DR'!$B$4:$E$253,4,FALSE),"-")</f>
        <v>T-01</v>
      </c>
      <c r="S416" s="58" t="str">
        <f>IF(J416&lt;&gt;"",VLOOKUP(J416,'RESUMO DR'!$B$4:$E$253,3,FALSE),"-")</f>
        <v>IMPERATRIZ</v>
      </c>
      <c r="T416" s="129"/>
      <c r="U416" s="129"/>
      <c r="V416" s="129"/>
      <c r="W416" s="128"/>
      <c r="X416" s="127"/>
      <c r="Y416" s="127"/>
      <c r="Z416" s="4"/>
    </row>
    <row r="417" spans="1:26" ht="18" customHeight="1">
      <c r="A417" s="5"/>
      <c r="B417" s="222">
        <v>45657</v>
      </c>
      <c r="C417" s="21" t="s">
        <v>124</v>
      </c>
      <c r="D417" s="74" t="str">
        <f t="shared" si="197"/>
        <v>ter</v>
      </c>
      <c r="E417" s="169" t="str">
        <f>IF(K417&lt;&gt;"",VLOOKUP(K417,'Catálogo SAP'!$A$1:$F$245,2,FALSE),"-")</f>
        <v>-</v>
      </c>
      <c r="F417" s="225"/>
      <c r="G417" s="225"/>
      <c r="H417" s="226"/>
      <c r="I417" s="230"/>
      <c r="J417" s="162" t="str">
        <f t="shared" si="185"/>
        <v/>
      </c>
      <c r="K417" s="225"/>
      <c r="L417" s="167" t="str">
        <f>IF(K417&lt;&gt;"",VLOOKUP(K417,'Catálogo SAP'!A:F,3,FALSE),"")</f>
        <v/>
      </c>
      <c r="M417" s="162" t="str">
        <f>IF(K417&lt;&gt;"",VLOOKUP(K417,'Catálogo SAP'!A:F,4,FALSE),"")</f>
        <v/>
      </c>
      <c r="N417" s="168" t="str">
        <f>IF(K417&lt;&gt;"",VLOOKUP(K417,'Catálogo SAP'!A:F,5,FALSE),"")</f>
        <v/>
      </c>
      <c r="O417" s="231"/>
      <c r="P417" s="70" t="str">
        <f t="shared" si="190"/>
        <v>-</v>
      </c>
      <c r="Q417" s="163" t="str">
        <f t="shared" si="196"/>
        <v>-</v>
      </c>
      <c r="R417" s="44" t="str">
        <f>IF(J417&lt;&gt;"",VLOOKUP(J417,'RESUMO DR'!$B$4:$E$253,4,FALSE),"-")</f>
        <v>-</v>
      </c>
      <c r="S417" s="58" t="str">
        <f>IF(J417&lt;&gt;"",VLOOKUP(J417,'RESUMO DR'!$B$4:$E$253,3,FALSE),"-")</f>
        <v>-</v>
      </c>
      <c r="T417" s="129"/>
      <c r="U417" s="129"/>
      <c r="V417" s="129"/>
      <c r="W417" s="128"/>
      <c r="X417" s="127"/>
      <c r="Y417" s="127"/>
      <c r="Z417" s="4"/>
    </row>
    <row r="418" spans="1:26" ht="18" customHeight="1">
      <c r="A418" s="5">
        <v>1914</v>
      </c>
      <c r="B418" s="222">
        <v>45657</v>
      </c>
      <c r="C418" s="21" t="s">
        <v>307</v>
      </c>
      <c r="D418" s="74" t="str">
        <f t="shared" si="197"/>
        <v>ter</v>
      </c>
      <c r="E418" s="169">
        <f>IF(K418&lt;&gt;"",VLOOKUP(K418,'Catálogo SAP'!$A$1:$F$245,2,FALSE),"-")</f>
        <v>200</v>
      </c>
      <c r="F418" s="225">
        <v>66005</v>
      </c>
      <c r="G418" s="225">
        <v>66438</v>
      </c>
      <c r="H418" s="226"/>
      <c r="I418" s="230">
        <v>70</v>
      </c>
      <c r="J418" s="162" t="str">
        <f t="shared" si="185"/>
        <v>JOÃO LISBOA</v>
      </c>
      <c r="K418" s="225">
        <v>200</v>
      </c>
      <c r="L418" s="167" t="str">
        <f>IF(K418&lt;&gt;"",VLOOKUP(K418,'Catálogo SAP'!A:F,3,FALSE),"")</f>
        <v>S.VP-01445</v>
      </c>
      <c r="M418" s="162" t="str">
        <f>IF(K418&lt;&gt;"",VLOOKUP(K418,'Catálogo SAP'!A:F,4,FALSE),"")</f>
        <v>Km Rodado Caminhão Basculante - C/Motorista</v>
      </c>
      <c r="N418" s="168" t="str">
        <f>IF(K418&lt;&gt;"",VLOOKUP(K418,'Catálogo SAP'!A:F,5,FALSE),"")</f>
        <v>KM</v>
      </c>
      <c r="O418" s="231">
        <v>433</v>
      </c>
      <c r="P418" s="70">
        <f t="shared" si="190"/>
        <v>433</v>
      </c>
      <c r="Q418" s="163" t="e">
        <f t="shared" si="196"/>
        <v>#VALUE!</v>
      </c>
      <c r="R418" s="44" t="str">
        <f>IF(J418&lt;&gt;"",VLOOKUP(J418,'RESUMO DR'!$B$4:$E$253,4,FALSE),"-")</f>
        <v>T-01</v>
      </c>
      <c r="S418" s="58" t="str">
        <f>IF(J418&lt;&gt;"",VLOOKUP(J418,'RESUMO DR'!$B$4:$E$253,3,FALSE),"-")</f>
        <v>IMPERATRIZ</v>
      </c>
      <c r="T418" s="129"/>
      <c r="U418" s="129"/>
      <c r="V418" s="129"/>
      <c r="W418" s="128"/>
      <c r="X418" s="127"/>
      <c r="Y418" s="127"/>
      <c r="Z418" s="4"/>
    </row>
    <row r="419" spans="1:26" ht="18" customHeight="1">
      <c r="A419" s="5">
        <v>1914</v>
      </c>
      <c r="B419" s="222">
        <v>45657</v>
      </c>
      <c r="C419" s="21" t="s">
        <v>308</v>
      </c>
      <c r="D419" s="74" t="str">
        <f t="shared" si="197"/>
        <v>ter</v>
      </c>
      <c r="E419" s="169">
        <f>IF(K419&lt;&gt;"",VLOOKUP(K419,'Catálogo SAP'!$A$1:$F$245,2,FALSE),"-")</f>
        <v>200</v>
      </c>
      <c r="F419" s="225">
        <v>65920</v>
      </c>
      <c r="G419" s="225">
        <v>66181</v>
      </c>
      <c r="H419" s="226"/>
      <c r="I419" s="230">
        <v>70</v>
      </c>
      <c r="J419" s="162" t="str">
        <f t="shared" si="185"/>
        <v>JOÃO LISBOA</v>
      </c>
      <c r="K419" s="225">
        <v>200</v>
      </c>
      <c r="L419" s="167" t="str">
        <f>IF(K419&lt;&gt;"",VLOOKUP(K419,'Catálogo SAP'!A:F,3,FALSE),"")</f>
        <v>S.VP-01445</v>
      </c>
      <c r="M419" s="162" t="str">
        <f>IF(K419&lt;&gt;"",VLOOKUP(K419,'Catálogo SAP'!A:F,4,FALSE),"")</f>
        <v>Km Rodado Caminhão Basculante - C/Motorista</v>
      </c>
      <c r="N419" s="168" t="str">
        <f>IF(K419&lt;&gt;"",VLOOKUP(K419,'Catálogo SAP'!A:F,5,FALSE),"")</f>
        <v>KM</v>
      </c>
      <c r="O419" s="231">
        <v>261</v>
      </c>
      <c r="P419" s="70">
        <f t="shared" si="190"/>
        <v>261</v>
      </c>
      <c r="Q419" s="163" t="e">
        <f t="shared" si="196"/>
        <v>#VALUE!</v>
      </c>
      <c r="R419" s="44" t="str">
        <f>IF(J419&lt;&gt;"",VLOOKUP(J419,'RESUMO DR'!$B$4:$E$253,4,FALSE),"-")</f>
        <v>T-01</v>
      </c>
      <c r="S419" s="58" t="str">
        <f>IF(J419&lt;&gt;"",VLOOKUP(J419,'RESUMO DR'!$B$4:$E$253,3,FALSE),"-")</f>
        <v>IMPERATRIZ</v>
      </c>
      <c r="T419" s="129"/>
      <c r="U419" s="129"/>
      <c r="V419" s="129"/>
      <c r="W419" s="128"/>
      <c r="X419" s="127"/>
      <c r="Y419" s="127"/>
      <c r="Z419" s="4"/>
    </row>
    <row r="420" spans="1:26" ht="18" customHeight="1">
      <c r="A420" s="5"/>
      <c r="B420" s="222">
        <v>45657</v>
      </c>
      <c r="C420" s="21" t="s">
        <v>127</v>
      </c>
      <c r="D420" s="74" t="str">
        <f t="shared" si="197"/>
        <v>ter</v>
      </c>
      <c r="E420" s="169" t="str">
        <f>IF(K420&lt;&gt;"",VLOOKUP(K420,'Catálogo SAP'!$A$1:$F$245,2,FALSE),"-")</f>
        <v>-</v>
      </c>
      <c r="F420" s="225"/>
      <c r="G420" s="225"/>
      <c r="H420" s="226"/>
      <c r="I420" s="230"/>
      <c r="J420" s="162" t="str">
        <f t="shared" si="185"/>
        <v/>
      </c>
      <c r="K420" s="225"/>
      <c r="L420" s="167" t="str">
        <f>IF(K420&lt;&gt;"",VLOOKUP(K420,'Catálogo SAP'!A:F,3,FALSE),"")</f>
        <v/>
      </c>
      <c r="M420" s="162" t="str">
        <f>IF(K420&lt;&gt;"",VLOOKUP(K420,'Catálogo SAP'!A:F,4,FALSE),"")</f>
        <v/>
      </c>
      <c r="N420" s="168" t="str">
        <f>IF(K420&lt;&gt;"",VLOOKUP(K420,'Catálogo SAP'!A:F,5,FALSE),"")</f>
        <v/>
      </c>
      <c r="O420" s="231"/>
      <c r="P420" s="70" t="str">
        <f t="shared" si="190"/>
        <v>-</v>
      </c>
      <c r="Q420" s="163" t="str">
        <f t="shared" si="196"/>
        <v>-</v>
      </c>
      <c r="R420" s="44" t="str">
        <f>IF(J420&lt;&gt;"",VLOOKUP(J420,'RESUMO DR'!$B$4:$E$253,4,FALSE),"-")</f>
        <v>-</v>
      </c>
      <c r="S420" s="58" t="str">
        <f>IF(J420&lt;&gt;"",VLOOKUP(J420,'RESUMO DR'!$B$4:$E$253,3,FALSE),"-")</f>
        <v>-</v>
      </c>
      <c r="T420" s="129"/>
      <c r="U420" s="129"/>
      <c r="V420" s="129"/>
      <c r="W420" s="128"/>
      <c r="X420" s="127"/>
      <c r="Y420" s="127"/>
      <c r="Z420" s="4"/>
    </row>
    <row r="421" spans="1:26" ht="18" customHeight="1">
      <c r="A421" s="5"/>
      <c r="B421" s="222">
        <v>45657</v>
      </c>
      <c r="C421" s="21" t="s">
        <v>312</v>
      </c>
      <c r="D421" s="74" t="str">
        <f t="shared" si="197"/>
        <v>ter</v>
      </c>
      <c r="E421" s="169" t="str">
        <f>IF(K421&lt;&gt;"",VLOOKUP(K421,'Catálogo SAP'!$A$1:$F$245,2,FALSE),"-")</f>
        <v>-</v>
      </c>
      <c r="F421" s="225"/>
      <c r="G421" s="225"/>
      <c r="H421" s="226"/>
      <c r="I421" s="230"/>
      <c r="J421" s="162" t="str">
        <f t="shared" si="185"/>
        <v/>
      </c>
      <c r="K421" s="225"/>
      <c r="L421" s="167" t="str">
        <f>IF(K421&lt;&gt;"",VLOOKUP(K421,'Catálogo SAP'!A:F,3,FALSE),"")</f>
        <v/>
      </c>
      <c r="M421" s="162" t="str">
        <f>IF(K421&lt;&gt;"",VLOOKUP(K421,'Catálogo SAP'!A:F,4,FALSE),"")</f>
        <v/>
      </c>
      <c r="N421" s="168" t="str">
        <f>IF(K421&lt;&gt;"",VLOOKUP(K421,'Catálogo SAP'!A:F,5,FALSE),"")</f>
        <v/>
      </c>
      <c r="O421" s="231"/>
      <c r="P421" s="70" t="str">
        <f t="shared" si="190"/>
        <v>-</v>
      </c>
      <c r="Q421" s="163" t="str">
        <f t="shared" si="196"/>
        <v>-</v>
      </c>
      <c r="R421" s="44" t="str">
        <f>IF(J421&lt;&gt;"",VLOOKUP(J421,'RESUMO DR'!$B$4:$E$253,4,FALSE),"-")</f>
        <v>-</v>
      </c>
      <c r="S421" s="58" t="str">
        <f>IF(J421&lt;&gt;"",VLOOKUP(J421,'RESUMO DR'!$B$4:$E$253,3,FALSE),"-")</f>
        <v>-</v>
      </c>
      <c r="T421" s="129"/>
      <c r="U421" s="129"/>
      <c r="V421" s="129"/>
      <c r="W421" s="128"/>
      <c r="X421" s="127"/>
      <c r="Y421" s="127"/>
      <c r="Z421" s="4"/>
    </row>
    <row r="422" spans="1:26" ht="18" customHeight="1">
      <c r="A422" s="5">
        <v>1914</v>
      </c>
      <c r="B422" s="222">
        <v>45657</v>
      </c>
      <c r="C422" s="21" t="s">
        <v>313</v>
      </c>
      <c r="D422" s="74" t="str">
        <f t="shared" si="197"/>
        <v>ter</v>
      </c>
      <c r="E422" s="169">
        <f>IF(K422&lt;&gt;"",VLOOKUP(K422,'Catálogo SAP'!$A$1:$F$245,2,FALSE),"-")</f>
        <v>200</v>
      </c>
      <c r="F422" s="225">
        <v>61727</v>
      </c>
      <c r="G422" s="225">
        <v>62011</v>
      </c>
      <c r="H422" s="226"/>
      <c r="I422" s="230">
        <v>59</v>
      </c>
      <c r="J422" s="162" t="str">
        <f t="shared" si="185"/>
        <v>JOÃO LISBOA</v>
      </c>
      <c r="K422" s="225">
        <v>200</v>
      </c>
      <c r="L422" s="167" t="str">
        <f>IF(K422&lt;&gt;"",VLOOKUP(K422,'Catálogo SAP'!A:F,3,FALSE),"")</f>
        <v>S.VP-01445</v>
      </c>
      <c r="M422" s="162" t="str">
        <f>IF(K422&lt;&gt;"",VLOOKUP(K422,'Catálogo SAP'!A:F,4,FALSE),"")</f>
        <v>Km Rodado Caminhão Basculante - C/Motorista</v>
      </c>
      <c r="N422" s="168" t="str">
        <f>IF(K422&lt;&gt;"",VLOOKUP(K422,'Catálogo SAP'!A:F,5,FALSE),"")</f>
        <v>KM</v>
      </c>
      <c r="O422" s="231">
        <v>284</v>
      </c>
      <c r="P422" s="70">
        <f t="shared" si="190"/>
        <v>284</v>
      </c>
      <c r="Q422" s="163" t="e">
        <f t="shared" si="196"/>
        <v>#VALUE!</v>
      </c>
      <c r="R422" s="44" t="str">
        <f>IF(J422&lt;&gt;"",VLOOKUP(J422,'RESUMO DR'!$B$4:$E$253,4,FALSE),"-")</f>
        <v>T-01</v>
      </c>
      <c r="S422" s="58" t="str">
        <f>IF(J422&lt;&gt;"",VLOOKUP(J422,'RESUMO DR'!$B$4:$E$253,3,FALSE),"-")</f>
        <v>IMPERATRIZ</v>
      </c>
      <c r="T422" s="129"/>
      <c r="U422" s="129"/>
      <c r="V422" s="129"/>
      <c r="W422" s="128"/>
      <c r="X422" s="127"/>
      <c r="Y422" s="127"/>
      <c r="Z422" s="4"/>
    </row>
    <row r="423" spans="1:26" ht="18" customHeight="1">
      <c r="A423" s="5">
        <v>1911</v>
      </c>
      <c r="B423" s="222">
        <v>45657</v>
      </c>
      <c r="C423" s="21" t="s">
        <v>129</v>
      </c>
      <c r="D423" s="74" t="str">
        <f t="shared" si="197"/>
        <v>ter</v>
      </c>
      <c r="E423" s="169">
        <f>IF(K423&lt;&gt;"",VLOOKUP(K423,'Catálogo SAP'!$A$1:$F$245,2,FALSE),"-")</f>
        <v>200</v>
      </c>
      <c r="F423" s="225">
        <v>80935</v>
      </c>
      <c r="G423" s="225">
        <v>81028</v>
      </c>
      <c r="H423" s="226"/>
      <c r="I423" s="230">
        <v>574</v>
      </c>
      <c r="J423" s="162" t="str">
        <f t="shared" si="185"/>
        <v>Tupirama</v>
      </c>
      <c r="K423" s="225">
        <v>200</v>
      </c>
      <c r="L423" s="167" t="str">
        <f>IF(K423&lt;&gt;"",VLOOKUP(K423,'Catálogo SAP'!A:F,3,FALSE),"")</f>
        <v>S.VP-01445</v>
      </c>
      <c r="M423" s="162" t="str">
        <f>IF(K423&lt;&gt;"",VLOOKUP(K423,'Catálogo SAP'!A:F,4,FALSE),"")</f>
        <v>Km Rodado Caminhão Basculante - C/Motorista</v>
      </c>
      <c r="N423" s="168" t="str">
        <f>IF(K423&lt;&gt;"",VLOOKUP(K423,'Catálogo SAP'!A:F,5,FALSE),"")</f>
        <v>KM</v>
      </c>
      <c r="O423" s="231">
        <v>93</v>
      </c>
      <c r="P423" s="70">
        <f t="shared" si="190"/>
        <v>93</v>
      </c>
      <c r="Q423" s="163" t="e">
        <f t="shared" si="196"/>
        <v>#VALUE!</v>
      </c>
      <c r="R423" s="44" t="str">
        <f>IF(J423&lt;&gt;"",VLOOKUP(J423,'RESUMO DR'!$B$4:$E$253,4,FALSE),"-")</f>
        <v>T-03</v>
      </c>
      <c r="S423" s="58" t="str">
        <f>IF(J423&lt;&gt;"",VLOOKUP(J423,'RESUMO DR'!$B$4:$E$253,3,FALSE),"-")</f>
        <v>PALMAS</v>
      </c>
      <c r="T423" s="129"/>
      <c r="U423" s="129"/>
      <c r="V423" s="129"/>
      <c r="W423" s="128"/>
      <c r="X423" s="127"/>
      <c r="Y423" s="127"/>
      <c r="Z423" s="4"/>
    </row>
    <row r="424" spans="1:26" ht="18" customHeight="1">
      <c r="A424" s="5">
        <v>1938</v>
      </c>
      <c r="B424" s="222">
        <v>45657</v>
      </c>
      <c r="C424" s="21" t="s">
        <v>298</v>
      </c>
      <c r="D424" s="74" t="str">
        <f t="shared" si="197"/>
        <v>ter</v>
      </c>
      <c r="E424" s="169">
        <f>IF(K424&lt;&gt;"",VLOOKUP(K424,'Catálogo SAP'!$A$1:$F$245,2,FALSE),"-")</f>
        <v>170</v>
      </c>
      <c r="F424" s="225">
        <v>558</v>
      </c>
      <c r="G424" s="225">
        <v>558</v>
      </c>
      <c r="H424" s="226"/>
      <c r="I424" s="230">
        <v>148</v>
      </c>
      <c r="J424" s="162" t="str">
        <f t="shared" si="185"/>
        <v>RIBAMAR FIQUENE</v>
      </c>
      <c r="K424" s="225">
        <v>170</v>
      </c>
      <c r="L424" s="167" t="str">
        <f>IF(K424&lt;&gt;"",VLOOKUP(K424,'Catálogo SAP'!A:F,3,FALSE),"")</f>
        <v>S.VP-01442</v>
      </c>
      <c r="M424" s="162" t="str">
        <f>IF(K424&lt;&gt;"",VLOOKUP(K424,'Catálogo SAP'!A:F,4,FALSE),"")</f>
        <v>Hora Improdutiva Pa Carregadeira C/Operador</v>
      </c>
      <c r="N424" s="168" t="str">
        <f>IF(K424&lt;&gt;"",VLOOKUP(K424,'Catálogo SAP'!A:F,5,FALSE),"")</f>
        <v>H</v>
      </c>
      <c r="O424" s="231">
        <v>9</v>
      </c>
      <c r="P424" s="70">
        <f t="shared" si="190"/>
        <v>0</v>
      </c>
      <c r="Q424" s="163" t="e">
        <f t="shared" si="196"/>
        <v>#VALUE!</v>
      </c>
      <c r="R424" s="44" t="str">
        <f>IF(J424&lt;&gt;"",VLOOKUP(J424,'RESUMO DR'!$B$4:$E$253,4,FALSE),"-")</f>
        <v>T-01</v>
      </c>
      <c r="S424" s="58" t="str">
        <f>IF(J424&lt;&gt;"",VLOOKUP(J424,'RESUMO DR'!$B$4:$E$253,3,FALSE),"-")</f>
        <v>IMPERATRIZ</v>
      </c>
      <c r="T424" s="129"/>
      <c r="U424" s="129"/>
      <c r="V424" s="129"/>
      <c r="W424" s="128"/>
      <c r="X424" s="127"/>
      <c r="Y424" s="127"/>
      <c r="Z424" s="4"/>
    </row>
    <row r="425" spans="1:26" ht="18" customHeight="1">
      <c r="A425" s="5">
        <v>1916</v>
      </c>
      <c r="B425" s="222">
        <v>45657</v>
      </c>
      <c r="C425" s="21" t="s">
        <v>131</v>
      </c>
      <c r="D425" s="74" t="str">
        <f t="shared" si="197"/>
        <v>ter</v>
      </c>
      <c r="E425" s="169">
        <f>IF(K425&lt;&gt;"",VLOOKUP(K425,'Catálogo SAP'!$A$1:$F$245,2,FALSE),"-")</f>
        <v>520</v>
      </c>
      <c r="F425" s="225">
        <v>10585</v>
      </c>
      <c r="G425" s="225">
        <v>10593</v>
      </c>
      <c r="H425" s="226"/>
      <c r="I425" s="230">
        <v>195</v>
      </c>
      <c r="J425" s="162" t="str">
        <f t="shared" si="185"/>
        <v>PORTO FRANCO</v>
      </c>
      <c r="K425" s="225">
        <v>520</v>
      </c>
      <c r="L425" s="167" t="str">
        <f>IF(K425&lt;&gt;"",VLOOKUP(K425,'Catálogo SAP'!A:F,3,FALSE),"")</f>
        <v>S.VP-01469</v>
      </c>
      <c r="M425" s="162" t="str">
        <f>IF(K425&lt;&gt;"",VLOOKUP(K425,'Catálogo SAP'!A:F,4,FALSE),"")</f>
        <v>Hora Produtiva Escavadeira Hidraulica</v>
      </c>
      <c r="N425" s="168" t="str">
        <f>IF(K425&lt;&gt;"",VLOOKUP(K425,'Catálogo SAP'!A:F,5,FALSE),"")</f>
        <v>H</v>
      </c>
      <c r="O425" s="231">
        <v>8</v>
      </c>
      <c r="P425" s="70">
        <f t="shared" si="190"/>
        <v>8</v>
      </c>
      <c r="Q425" s="163" t="e">
        <f t="shared" si="196"/>
        <v>#VALUE!</v>
      </c>
      <c r="R425" s="44" t="str">
        <f>IF(J425&lt;&gt;"",VLOOKUP(J425,'RESUMO DR'!$B$4:$E$253,4,FALSE),"-")</f>
        <v>T-01</v>
      </c>
      <c r="S425" s="58" t="str">
        <f>IF(J425&lt;&gt;"",VLOOKUP(J425,'RESUMO DR'!$B$4:$E$253,3,FALSE),"-")</f>
        <v>IMPERATRIZ</v>
      </c>
      <c r="T425" s="129"/>
      <c r="U425" s="129"/>
      <c r="V425" s="129"/>
      <c r="W425" s="128"/>
      <c r="X425" s="127"/>
      <c r="Y425" s="127"/>
      <c r="Z425" s="4"/>
    </row>
    <row r="426" spans="1:26" ht="18" customHeight="1">
      <c r="A426" s="5">
        <v>1916</v>
      </c>
      <c r="B426" s="222">
        <v>45657</v>
      </c>
      <c r="C426" s="21" t="s">
        <v>131</v>
      </c>
      <c r="D426" s="74" t="str">
        <f t="shared" si="197"/>
        <v>ter</v>
      </c>
      <c r="E426" s="169">
        <f>IF(K426&lt;&gt;"",VLOOKUP(K426,'Catálogo SAP'!$A$1:$F$245,2,FALSE),"-")</f>
        <v>530</v>
      </c>
      <c r="F426" s="225">
        <v>10593</v>
      </c>
      <c r="G426" s="225">
        <v>10593</v>
      </c>
      <c r="H426" s="226"/>
      <c r="I426" s="230">
        <v>195</v>
      </c>
      <c r="J426" s="162" t="str">
        <f t="shared" si="185"/>
        <v>PORTO FRANCO</v>
      </c>
      <c r="K426" s="225">
        <v>530</v>
      </c>
      <c r="L426" s="167" t="str">
        <f>IF(K426&lt;&gt;"",VLOOKUP(K426,'Catálogo SAP'!A:F,3,FALSE),"")</f>
        <v>S.VP-01470</v>
      </c>
      <c r="M426" s="162" t="str">
        <f>IF(K426&lt;&gt;"",VLOOKUP(K426,'Catálogo SAP'!A:F,4,FALSE),"")</f>
        <v>Hora Improdutiva Escavadeira Hidraulica</v>
      </c>
      <c r="N426" s="168" t="str">
        <f>IF(K426&lt;&gt;"",VLOOKUP(K426,'Catálogo SAP'!A:F,5,FALSE),"")</f>
        <v>H</v>
      </c>
      <c r="O426" s="231">
        <v>1</v>
      </c>
      <c r="P426" s="70">
        <f t="shared" si="190"/>
        <v>0</v>
      </c>
      <c r="Q426" s="163" t="e">
        <f t="shared" si="196"/>
        <v>#VALUE!</v>
      </c>
      <c r="R426" s="44" t="str">
        <f>IF(J426&lt;&gt;"",VLOOKUP(J426,'RESUMO DR'!$B$4:$E$253,4,FALSE),"-")</f>
        <v>T-01</v>
      </c>
      <c r="S426" s="58" t="str">
        <f>IF(J426&lt;&gt;"",VLOOKUP(J426,'RESUMO DR'!$B$4:$E$253,3,FALSE),"-")</f>
        <v>IMPERATRIZ</v>
      </c>
      <c r="T426" s="129"/>
      <c r="U426" s="129"/>
      <c r="V426" s="129"/>
      <c r="W426" s="128"/>
      <c r="X426" s="127"/>
      <c r="Y426" s="127"/>
      <c r="Z426" s="4"/>
    </row>
    <row r="427" spans="1:26" ht="18" customHeight="1">
      <c r="A427" s="5"/>
      <c r="B427" s="222">
        <v>45657</v>
      </c>
      <c r="C427" s="21" t="s">
        <v>132</v>
      </c>
      <c r="D427" s="74" t="str">
        <f t="shared" si="197"/>
        <v>ter</v>
      </c>
      <c r="E427" s="169" t="str">
        <f>IF(K427&lt;&gt;"",VLOOKUP(K427,'Catálogo SAP'!$A$1:$F$245,2,FALSE),"-")</f>
        <v>-</v>
      </c>
      <c r="F427" s="225"/>
      <c r="G427" s="225"/>
      <c r="H427" s="226"/>
      <c r="I427" s="230"/>
      <c r="J427" s="162" t="str">
        <f t="shared" si="185"/>
        <v/>
      </c>
      <c r="K427" s="225"/>
      <c r="L427" s="167" t="str">
        <f>IF(K427&lt;&gt;"",VLOOKUP(K427,'Catálogo SAP'!A:F,3,FALSE),"")</f>
        <v/>
      </c>
      <c r="M427" s="162" t="str">
        <f>IF(K427&lt;&gt;"",VLOOKUP(K427,'Catálogo SAP'!A:F,4,FALSE),"")</f>
        <v/>
      </c>
      <c r="N427" s="168" t="str">
        <f>IF(K427&lt;&gt;"",VLOOKUP(K427,'Catálogo SAP'!A:F,5,FALSE),"")</f>
        <v/>
      </c>
      <c r="O427" s="231"/>
      <c r="P427" s="70" t="str">
        <f t="shared" si="190"/>
        <v>-</v>
      </c>
      <c r="Q427" s="163" t="str">
        <f t="shared" si="196"/>
        <v>-</v>
      </c>
      <c r="R427" s="44" t="str">
        <f>IF(J427&lt;&gt;"",VLOOKUP(J427,'RESUMO DR'!$B$4:$E$253,4,FALSE),"-")</f>
        <v>-</v>
      </c>
      <c r="S427" s="58" t="str">
        <f>IF(J427&lt;&gt;"",VLOOKUP(J427,'RESUMO DR'!$B$4:$E$253,3,FALSE),"-")</f>
        <v>-</v>
      </c>
      <c r="T427" s="129"/>
      <c r="U427" s="129"/>
      <c r="V427" s="129"/>
      <c r="W427" s="128"/>
      <c r="X427" s="127"/>
      <c r="Y427" s="127"/>
      <c r="Z427" s="4"/>
    </row>
    <row r="428" spans="1:26" ht="18" customHeight="1">
      <c r="A428" s="5"/>
      <c r="B428" s="222">
        <v>45657</v>
      </c>
      <c r="C428" s="21" t="s">
        <v>132</v>
      </c>
      <c r="D428" s="74" t="str">
        <f t="shared" si="197"/>
        <v>ter</v>
      </c>
      <c r="E428" s="169" t="str">
        <f>IF(K428&lt;&gt;"",VLOOKUP(K428,'Catálogo SAP'!$A$1:$F$245,2,FALSE),"-")</f>
        <v>-</v>
      </c>
      <c r="F428" s="225"/>
      <c r="G428" s="225"/>
      <c r="H428" s="226"/>
      <c r="I428" s="230"/>
      <c r="J428" s="162" t="str">
        <f t="shared" si="185"/>
        <v/>
      </c>
      <c r="K428" s="225"/>
      <c r="L428" s="167" t="str">
        <f>IF(K428&lt;&gt;"",VLOOKUP(K428,'Catálogo SAP'!A:F,3,FALSE),"")</f>
        <v/>
      </c>
      <c r="M428" s="162" t="str">
        <f>IF(K428&lt;&gt;"",VLOOKUP(K428,'Catálogo SAP'!A:F,4,FALSE),"")</f>
        <v/>
      </c>
      <c r="N428" s="168" t="str">
        <f>IF(K428&lt;&gt;"",VLOOKUP(K428,'Catálogo SAP'!A:F,5,FALSE),"")</f>
        <v/>
      </c>
      <c r="O428" s="231"/>
      <c r="P428" s="70" t="str">
        <f t="shared" si="190"/>
        <v>-</v>
      </c>
      <c r="Q428" s="163" t="str">
        <f t="shared" si="196"/>
        <v>-</v>
      </c>
      <c r="R428" s="44" t="str">
        <f>IF(J428&lt;&gt;"",VLOOKUP(J428,'RESUMO DR'!$B$4:$E$253,4,FALSE),"-")</f>
        <v>-</v>
      </c>
      <c r="S428" s="58" t="str">
        <f>IF(J428&lt;&gt;"",VLOOKUP(J428,'RESUMO DR'!$B$4:$E$253,3,FALSE),"-")</f>
        <v>-</v>
      </c>
      <c r="T428" s="129"/>
      <c r="U428" s="129"/>
      <c r="V428" s="129"/>
      <c r="W428" s="128"/>
      <c r="X428" s="127"/>
      <c r="Y428" s="127"/>
      <c r="Z428" s="4"/>
    </row>
    <row r="429" spans="1:26" ht="18" customHeight="1">
      <c r="A429" s="5"/>
      <c r="B429" s="222">
        <v>45657</v>
      </c>
      <c r="C429" s="21" t="s">
        <v>305</v>
      </c>
      <c r="D429" s="74" t="str">
        <f t="shared" si="197"/>
        <v>ter</v>
      </c>
      <c r="E429" s="169" t="str">
        <f>IF(K429&lt;&gt;"",VLOOKUP(K429,'Catálogo SAP'!$A$1:$F$245,2,FALSE),"-")</f>
        <v>-</v>
      </c>
      <c r="F429" s="225"/>
      <c r="G429" s="225"/>
      <c r="H429" s="226"/>
      <c r="I429" s="230"/>
      <c r="J429" s="162" t="str">
        <f t="shared" si="185"/>
        <v/>
      </c>
      <c r="K429" s="225"/>
      <c r="L429" s="167" t="str">
        <f>IF(K429&lt;&gt;"",VLOOKUP(K429,'Catálogo SAP'!A:F,3,FALSE),"")</f>
        <v/>
      </c>
      <c r="M429" s="162" t="str">
        <f>IF(K429&lt;&gt;"",VLOOKUP(K429,'Catálogo SAP'!A:F,4,FALSE),"")</f>
        <v/>
      </c>
      <c r="N429" s="168" t="str">
        <f>IF(K429&lt;&gt;"",VLOOKUP(K429,'Catálogo SAP'!A:F,5,FALSE),"")</f>
        <v/>
      </c>
      <c r="O429" s="231"/>
      <c r="P429" s="70" t="str">
        <f t="shared" si="190"/>
        <v>-</v>
      </c>
      <c r="Q429" s="163" t="str">
        <f t="shared" si="196"/>
        <v>-</v>
      </c>
      <c r="R429" s="44" t="str">
        <f>IF(J429&lt;&gt;"",VLOOKUP(J429,'RESUMO DR'!$B$4:$E$253,4,FALSE),"-")</f>
        <v>-</v>
      </c>
      <c r="S429" s="58" t="str">
        <f>IF(J429&lt;&gt;"",VLOOKUP(J429,'RESUMO DR'!$B$4:$E$253,3,FALSE),"-")</f>
        <v>-</v>
      </c>
      <c r="T429" s="129"/>
      <c r="U429" s="129"/>
      <c r="V429" s="129"/>
      <c r="W429" s="128"/>
      <c r="X429" s="127"/>
      <c r="Y429" s="127"/>
      <c r="Z429" s="4"/>
    </row>
    <row r="430" spans="1:26" ht="18" customHeight="1">
      <c r="A430" s="5"/>
      <c r="B430" s="222">
        <v>45657</v>
      </c>
      <c r="C430" s="21" t="s">
        <v>305</v>
      </c>
      <c r="D430" s="74" t="str">
        <f t="shared" si="197"/>
        <v>ter</v>
      </c>
      <c r="E430" s="169" t="str">
        <f>IF(K430&lt;&gt;"",VLOOKUP(K430,'Catálogo SAP'!$A$1:$F$245,2,FALSE),"-")</f>
        <v>-</v>
      </c>
      <c r="F430" s="225"/>
      <c r="G430" s="225"/>
      <c r="H430" s="226"/>
      <c r="I430" s="230"/>
      <c r="J430" s="162" t="str">
        <f t="shared" si="185"/>
        <v/>
      </c>
      <c r="K430" s="225"/>
      <c r="L430" s="167" t="str">
        <f>IF(K430&lt;&gt;"",VLOOKUP(K430,'Catálogo SAP'!A:F,3,FALSE),"")</f>
        <v/>
      </c>
      <c r="M430" s="162" t="str">
        <f>IF(K430&lt;&gt;"",VLOOKUP(K430,'Catálogo SAP'!A:F,4,FALSE),"")</f>
        <v/>
      </c>
      <c r="N430" s="168" t="str">
        <f>IF(K430&lt;&gt;"",VLOOKUP(K430,'Catálogo SAP'!A:F,5,FALSE),"")</f>
        <v/>
      </c>
      <c r="O430" s="231"/>
      <c r="P430" s="70" t="str">
        <f t="shared" si="190"/>
        <v>-</v>
      </c>
      <c r="Q430" s="163" t="str">
        <f t="shared" si="196"/>
        <v>-</v>
      </c>
      <c r="R430" s="44" t="str">
        <f>IF(J430&lt;&gt;"",VLOOKUP(J430,'RESUMO DR'!$B$4:$E$253,4,FALSE),"-")</f>
        <v>-</v>
      </c>
      <c r="S430" s="58" t="str">
        <f>IF(J430&lt;&gt;"",VLOOKUP(J430,'RESUMO DR'!$B$4:$E$253,3,FALSE),"-")</f>
        <v>-</v>
      </c>
      <c r="T430" s="129"/>
      <c r="U430" s="129"/>
      <c r="V430" s="129"/>
      <c r="W430" s="128"/>
      <c r="X430" s="127"/>
      <c r="Y430" s="127"/>
      <c r="Z430" s="4"/>
    </row>
    <row r="431" spans="1:26" ht="18" customHeight="1">
      <c r="A431" s="5">
        <v>1912</v>
      </c>
      <c r="B431" s="222">
        <v>45657</v>
      </c>
      <c r="C431" s="21" t="s">
        <v>300</v>
      </c>
      <c r="D431" s="74" t="str">
        <f t="shared" si="197"/>
        <v>ter</v>
      </c>
      <c r="E431" s="169">
        <f>IF(K431&lt;&gt;"",VLOOKUP(K431,'Catálogo SAP'!$A$1:$F$245,2,FALSE),"-")</f>
        <v>170</v>
      </c>
      <c r="F431" s="225">
        <v>137</v>
      </c>
      <c r="G431" s="225">
        <v>137</v>
      </c>
      <c r="H431" s="226"/>
      <c r="I431" s="230">
        <v>563</v>
      </c>
      <c r="J431" s="162" t="str">
        <f t="shared" si="185"/>
        <v>Tupirama</v>
      </c>
      <c r="K431" s="225">
        <v>170</v>
      </c>
      <c r="L431" s="167" t="str">
        <f>IF(K431&lt;&gt;"",VLOOKUP(K431,'Catálogo SAP'!A:F,3,FALSE),"")</f>
        <v>S.VP-01442</v>
      </c>
      <c r="M431" s="162" t="str">
        <f>IF(K431&lt;&gt;"",VLOOKUP(K431,'Catálogo SAP'!A:F,4,FALSE),"")</f>
        <v>Hora Improdutiva Pa Carregadeira C/Operador</v>
      </c>
      <c r="N431" s="168" t="str">
        <f>IF(K431&lt;&gt;"",VLOOKUP(K431,'Catálogo SAP'!A:F,5,FALSE),"")</f>
        <v>H</v>
      </c>
      <c r="O431" s="231">
        <v>9</v>
      </c>
      <c r="P431" s="70">
        <f t="shared" si="190"/>
        <v>0</v>
      </c>
      <c r="Q431" s="163" t="e">
        <f t="shared" si="196"/>
        <v>#VALUE!</v>
      </c>
      <c r="R431" s="44" t="str">
        <f>IF(J431&lt;&gt;"",VLOOKUP(J431,'RESUMO DR'!$B$4:$E$253,4,FALSE),"-")</f>
        <v>T-03</v>
      </c>
      <c r="S431" s="58" t="str">
        <f>IF(J431&lt;&gt;"",VLOOKUP(J431,'RESUMO DR'!$B$4:$E$253,3,FALSE),"-")</f>
        <v>PALMAS</v>
      </c>
      <c r="T431" s="129"/>
      <c r="U431" s="129"/>
      <c r="V431" s="129"/>
      <c r="W431" s="128"/>
      <c r="X431" s="127"/>
      <c r="Y431" s="127"/>
      <c r="Z431" s="4"/>
    </row>
    <row r="432" spans="1:26" ht="18" customHeight="1">
      <c r="A432" s="5"/>
      <c r="B432" s="222">
        <v>45657</v>
      </c>
      <c r="C432" s="21" t="s">
        <v>300</v>
      </c>
      <c r="D432" s="74" t="str">
        <f t="shared" si="197"/>
        <v>ter</v>
      </c>
      <c r="E432" s="169" t="str">
        <f>IF(K432&lt;&gt;"",VLOOKUP(K432,'Catálogo SAP'!$A$1:$F$245,2,FALSE),"-")</f>
        <v>-</v>
      </c>
      <c r="F432" s="225"/>
      <c r="G432" s="225"/>
      <c r="H432" s="226"/>
      <c r="I432" s="230"/>
      <c r="J432" s="162" t="str">
        <f t="shared" si="185"/>
        <v/>
      </c>
      <c r="K432" s="225"/>
      <c r="L432" s="167" t="str">
        <f>IF(K432&lt;&gt;"",VLOOKUP(K432,'Catálogo SAP'!A:F,3,FALSE),"")</f>
        <v/>
      </c>
      <c r="M432" s="162" t="str">
        <f>IF(K432&lt;&gt;"",VLOOKUP(K432,'Catálogo SAP'!A:F,4,FALSE),"")</f>
        <v/>
      </c>
      <c r="N432" s="168" t="str">
        <f>IF(K432&lt;&gt;"",VLOOKUP(K432,'Catálogo SAP'!A:F,5,FALSE),"")</f>
        <v/>
      </c>
      <c r="O432" s="231"/>
      <c r="P432" s="70" t="str">
        <f t="shared" si="190"/>
        <v>-</v>
      </c>
      <c r="Q432" s="163" t="str">
        <f t="shared" si="196"/>
        <v>-</v>
      </c>
      <c r="R432" s="44" t="str">
        <f>IF(J432&lt;&gt;"",VLOOKUP(J432,'RESUMO DR'!$B$4:$E$253,4,FALSE),"-")</f>
        <v>-</v>
      </c>
      <c r="S432" s="58" t="str">
        <f>IF(J432&lt;&gt;"",VLOOKUP(J432,'RESUMO DR'!$B$4:$E$253,3,FALSE),"-")</f>
        <v>-</v>
      </c>
      <c r="T432" s="129"/>
      <c r="U432" s="129"/>
      <c r="V432" s="129"/>
      <c r="W432" s="128"/>
      <c r="X432" s="127"/>
      <c r="Y432" s="127"/>
      <c r="Z432" s="4"/>
    </row>
    <row r="433" spans="1:27" ht="18" customHeight="1">
      <c r="A433" s="5">
        <v>1914</v>
      </c>
      <c r="B433" s="222">
        <v>45657</v>
      </c>
      <c r="C433" s="21" t="s">
        <v>134</v>
      </c>
      <c r="D433" s="74" t="str">
        <f t="shared" si="197"/>
        <v>ter</v>
      </c>
      <c r="E433" s="169">
        <f>IF(K433&lt;&gt;"",VLOOKUP(K433,'Catálogo SAP'!$A$1:$F$245,2,FALSE),"-")</f>
        <v>480</v>
      </c>
      <c r="F433" s="225">
        <v>3399</v>
      </c>
      <c r="G433" s="225">
        <v>3403</v>
      </c>
      <c r="H433" s="226"/>
      <c r="I433" s="230">
        <v>59</v>
      </c>
      <c r="J433" s="162" t="str">
        <f t="shared" si="185"/>
        <v>JOÃO LISBOA</v>
      </c>
      <c r="K433" s="225">
        <v>480</v>
      </c>
      <c r="L433" s="167" t="str">
        <f>IF(K433&lt;&gt;"",VLOOKUP(K433,'Catálogo SAP'!A:F,3,FALSE),"")</f>
        <v>S.VP-01465</v>
      </c>
      <c r="M433" s="162" t="str">
        <f>IF(K433&lt;&gt;"",VLOOKUP(K433,'Catálogo SAP'!A:F,4,FALSE),"")</f>
        <v>Hora Produtiva Miniescavadeira Hidraulica C/ Operador</v>
      </c>
      <c r="N433" s="168" t="str">
        <f>IF(K433&lt;&gt;"",VLOOKUP(K433,'Catálogo SAP'!A:F,5,FALSE),"")</f>
        <v>H</v>
      </c>
      <c r="O433" s="231">
        <v>4</v>
      </c>
      <c r="P433" s="70">
        <f t="shared" si="190"/>
        <v>4</v>
      </c>
      <c r="Q433" s="163" t="e">
        <f t="shared" si="196"/>
        <v>#VALUE!</v>
      </c>
      <c r="R433" s="44" t="str">
        <f>IF(J433&lt;&gt;"",VLOOKUP(J433,'RESUMO DR'!$B$4:$E$253,4,FALSE),"-")</f>
        <v>T-01</v>
      </c>
      <c r="S433" s="58" t="str">
        <f>IF(J433&lt;&gt;"",VLOOKUP(J433,'RESUMO DR'!$B$4:$E$253,3,FALSE),"-")</f>
        <v>IMPERATRIZ</v>
      </c>
      <c r="T433" s="129"/>
      <c r="U433" s="129"/>
      <c r="V433" s="129"/>
      <c r="W433" s="128"/>
      <c r="X433" s="127"/>
      <c r="Y433" s="127"/>
      <c r="Z433" s="4"/>
    </row>
    <row r="434" spans="1:27" ht="18" customHeight="1">
      <c r="A434" s="5">
        <v>1914</v>
      </c>
      <c r="B434" s="222">
        <v>45657</v>
      </c>
      <c r="C434" s="21" t="s">
        <v>134</v>
      </c>
      <c r="D434" s="74" t="str">
        <f t="shared" si="197"/>
        <v>ter</v>
      </c>
      <c r="E434" s="169">
        <f>IF(K434&lt;&gt;"",VLOOKUP(K434,'Catálogo SAP'!$A$1:$F$245,2,FALSE),"-")</f>
        <v>490</v>
      </c>
      <c r="F434" s="225">
        <v>3403</v>
      </c>
      <c r="G434" s="225">
        <v>3403</v>
      </c>
      <c r="H434" s="226"/>
      <c r="I434" s="230">
        <v>59</v>
      </c>
      <c r="J434" s="162" t="str">
        <f t="shared" si="185"/>
        <v>JOÃO LISBOA</v>
      </c>
      <c r="K434" s="225">
        <v>490</v>
      </c>
      <c r="L434" s="167" t="str">
        <f>IF(K434&lt;&gt;"",VLOOKUP(K434,'Catálogo SAP'!A:F,3,FALSE),"")</f>
        <v>S.VP-01466</v>
      </c>
      <c r="M434" s="162" t="str">
        <f>IF(K434&lt;&gt;"",VLOOKUP(K434,'Catálogo SAP'!A:F,4,FALSE),"")</f>
        <v>Hora Improdutiva Miniescavadeira Hidraulica C/ Operador</v>
      </c>
      <c r="N434" s="168" t="str">
        <f>IF(K434&lt;&gt;"",VLOOKUP(K434,'Catálogo SAP'!A:F,5,FALSE),"")</f>
        <v>H</v>
      </c>
      <c r="O434" s="231">
        <v>5</v>
      </c>
      <c r="P434" s="70">
        <f t="shared" si="190"/>
        <v>0</v>
      </c>
      <c r="Q434" s="163" t="e">
        <f t="shared" si="196"/>
        <v>#VALUE!</v>
      </c>
      <c r="R434" s="44" t="str">
        <f>IF(J434&lt;&gt;"",VLOOKUP(J434,'RESUMO DR'!$B$4:$E$253,4,FALSE),"-")</f>
        <v>T-01</v>
      </c>
      <c r="S434" s="58" t="str">
        <f>IF(J434&lt;&gt;"",VLOOKUP(J434,'RESUMO DR'!$B$4:$E$253,3,FALSE),"-")</f>
        <v>IMPERATRIZ</v>
      </c>
      <c r="T434" s="129"/>
      <c r="U434" s="129"/>
      <c r="V434" s="129"/>
      <c r="W434" s="128"/>
      <c r="X434" s="127"/>
      <c r="Y434" s="127"/>
      <c r="Z434" s="4"/>
    </row>
    <row r="435" spans="1:27" ht="18" customHeight="1">
      <c r="A435" s="5"/>
      <c r="B435" s="222">
        <v>45657</v>
      </c>
      <c r="C435" s="21" t="s">
        <v>316</v>
      </c>
      <c r="D435" s="74" t="str">
        <f t="shared" si="197"/>
        <v>ter</v>
      </c>
      <c r="E435" s="169" t="str">
        <f>IF(K435&lt;&gt;"",VLOOKUP(K435,'Catálogo SAP'!$A$1:$F$245,2,FALSE),"-")</f>
        <v>-</v>
      </c>
      <c r="F435" s="225"/>
      <c r="G435" s="225"/>
      <c r="H435" s="226"/>
      <c r="I435" s="230"/>
      <c r="J435" s="162" t="str">
        <f t="shared" si="185"/>
        <v/>
      </c>
      <c r="K435" s="225"/>
      <c r="L435" s="167" t="str">
        <f>IF(K435&lt;&gt;"",VLOOKUP(K435,'Catálogo SAP'!A:F,3,FALSE),"")</f>
        <v/>
      </c>
      <c r="M435" s="162" t="str">
        <f>IF(K435&lt;&gt;"",VLOOKUP(K435,'Catálogo SAP'!A:F,4,FALSE),"")</f>
        <v/>
      </c>
      <c r="N435" s="168" t="str">
        <f>IF(K435&lt;&gt;"",VLOOKUP(K435,'Catálogo SAP'!A:F,5,FALSE),"")</f>
        <v/>
      </c>
      <c r="O435" s="231"/>
      <c r="P435" s="70" t="str">
        <f t="shared" si="190"/>
        <v>-</v>
      </c>
      <c r="Q435" s="163" t="str">
        <f t="shared" si="196"/>
        <v>-</v>
      </c>
      <c r="R435" s="44" t="str">
        <f>IF(J435&lt;&gt;"",VLOOKUP(J435,'RESUMO DR'!$B$4:$E$253,4,FALSE),"-")</f>
        <v>-</v>
      </c>
      <c r="S435" s="58" t="str">
        <f>IF(J435&lt;&gt;"",VLOOKUP(J435,'RESUMO DR'!$B$4:$E$253,3,FALSE),"-")</f>
        <v>-</v>
      </c>
      <c r="T435" s="129"/>
      <c r="U435" s="129"/>
      <c r="V435" s="129"/>
      <c r="W435" s="128"/>
      <c r="X435" s="127"/>
      <c r="Y435" s="127"/>
      <c r="Z435" s="4"/>
    </row>
    <row r="436" spans="1:27" ht="18" customHeight="1">
      <c r="A436" s="5"/>
      <c r="B436" s="222">
        <v>45657</v>
      </c>
      <c r="C436" s="21" t="s">
        <v>316</v>
      </c>
      <c r="D436" s="74" t="str">
        <f t="shared" si="197"/>
        <v>ter</v>
      </c>
      <c r="E436" s="169" t="str">
        <f>IF(K436&lt;&gt;"",VLOOKUP(K436,'Catálogo SAP'!$A$1:$F$245,2,FALSE),"-")</f>
        <v>-</v>
      </c>
      <c r="F436" s="225"/>
      <c r="G436" s="225"/>
      <c r="H436" s="226"/>
      <c r="I436" s="230"/>
      <c r="J436" s="162" t="str">
        <f t="shared" si="185"/>
        <v/>
      </c>
      <c r="K436" s="225"/>
      <c r="L436" s="167" t="str">
        <f>IF(K436&lt;&gt;"",VLOOKUP(K436,'Catálogo SAP'!A:F,3,FALSE),"")</f>
        <v/>
      </c>
      <c r="M436" s="162" t="str">
        <f>IF(K436&lt;&gt;"",VLOOKUP(K436,'Catálogo SAP'!A:F,4,FALSE),"")</f>
        <v/>
      </c>
      <c r="N436" s="168" t="str">
        <f>IF(K436&lt;&gt;"",VLOOKUP(K436,'Catálogo SAP'!A:F,5,FALSE),"")</f>
        <v/>
      </c>
      <c r="O436" s="231"/>
      <c r="P436" s="70" t="str">
        <f t="shared" si="190"/>
        <v>-</v>
      </c>
      <c r="Q436" s="163" t="str">
        <f t="shared" si="196"/>
        <v>-</v>
      </c>
      <c r="R436" s="44" t="str">
        <f>IF(J436&lt;&gt;"",VLOOKUP(J436,'RESUMO DR'!$B$4:$E$253,4,FALSE),"-")</f>
        <v>-</v>
      </c>
      <c r="S436" s="58" t="str">
        <f>IF(J436&lt;&gt;"",VLOOKUP(J436,'RESUMO DR'!$B$4:$E$253,3,FALSE),"-")</f>
        <v>-</v>
      </c>
      <c r="T436" s="129"/>
      <c r="U436" s="129"/>
      <c r="V436" s="129"/>
      <c r="W436" s="128"/>
      <c r="X436" s="127"/>
      <c r="Y436" s="127"/>
      <c r="Z436" s="4"/>
    </row>
    <row r="437" spans="1:27" ht="18" customHeight="1">
      <c r="A437" s="5">
        <v>1911</v>
      </c>
      <c r="B437" s="222">
        <v>45657</v>
      </c>
      <c r="C437" s="21" t="s">
        <v>306</v>
      </c>
      <c r="D437" s="74" t="str">
        <f t="shared" si="197"/>
        <v>ter</v>
      </c>
      <c r="E437" s="169">
        <f>IF(K437&lt;&gt;"",VLOOKUP(K437,'Catálogo SAP'!$A$1:$F$245,2,FALSE),"-")</f>
        <v>280</v>
      </c>
      <c r="F437" s="225">
        <v>320</v>
      </c>
      <c r="G437" s="225">
        <v>329</v>
      </c>
      <c r="H437" s="226"/>
      <c r="I437" s="230">
        <v>574</v>
      </c>
      <c r="J437" s="162" t="str">
        <f t="shared" si="185"/>
        <v>Tupirama</v>
      </c>
      <c r="K437" s="225">
        <v>280</v>
      </c>
      <c r="L437" s="167" t="str">
        <f>IF(K437&lt;&gt;"",VLOOKUP(K437,'Catálogo SAP'!A:F,3,FALSE),"")</f>
        <v>S.VP-01453</v>
      </c>
      <c r="M437" s="162" t="str">
        <f>IF(K437&lt;&gt;"",VLOOKUP(K437,'Catálogo SAP'!A:F,4,FALSE),"")</f>
        <v>Hora Produtiva Motoniveladora C/Operador</v>
      </c>
      <c r="N437" s="168" t="str">
        <f>IF(K437&lt;&gt;"",VLOOKUP(K437,'Catálogo SAP'!A:F,5,FALSE),"")</f>
        <v>H</v>
      </c>
      <c r="O437" s="231">
        <v>9</v>
      </c>
      <c r="P437" s="70">
        <f t="shared" si="190"/>
        <v>9</v>
      </c>
      <c r="Q437" s="163" t="e">
        <f t="shared" si="196"/>
        <v>#VALUE!</v>
      </c>
      <c r="R437" s="44" t="str">
        <f>IF(J437&lt;&gt;"",VLOOKUP(J437,'RESUMO DR'!$B$4:$E$253,4,FALSE),"-")</f>
        <v>T-03</v>
      </c>
      <c r="S437" s="58" t="str">
        <f>IF(J437&lt;&gt;"",VLOOKUP(J437,'RESUMO DR'!$B$4:$E$253,3,FALSE),"-")</f>
        <v>PALMAS</v>
      </c>
      <c r="T437" s="129"/>
      <c r="U437" s="129"/>
      <c r="V437" s="129"/>
      <c r="W437" s="128"/>
      <c r="X437" s="127"/>
      <c r="Y437" s="127"/>
      <c r="Z437" s="4"/>
    </row>
    <row r="438" spans="1:27" ht="18" customHeight="1">
      <c r="A438" s="5"/>
      <c r="B438" s="222">
        <v>45657</v>
      </c>
      <c r="C438" s="21" t="s">
        <v>306</v>
      </c>
      <c r="D438" s="74" t="str">
        <f t="shared" si="197"/>
        <v>ter</v>
      </c>
      <c r="E438" s="169" t="str">
        <f>IF(K438&lt;&gt;"",VLOOKUP(K438,'Catálogo SAP'!$A$1:$F$245,2,FALSE),"-")</f>
        <v>-</v>
      </c>
      <c r="F438" s="225"/>
      <c r="G438" s="225"/>
      <c r="H438" s="226"/>
      <c r="I438" s="230"/>
      <c r="J438" s="162" t="str">
        <f t="shared" si="185"/>
        <v/>
      </c>
      <c r="K438" s="225"/>
      <c r="L438" s="167" t="str">
        <f>IF(K438&lt;&gt;"",VLOOKUP(K438,'Catálogo SAP'!A:F,3,FALSE),"")</f>
        <v/>
      </c>
      <c r="M438" s="162" t="str">
        <f>IF(K438&lt;&gt;"",VLOOKUP(K438,'Catálogo SAP'!A:F,4,FALSE),"")</f>
        <v/>
      </c>
      <c r="N438" s="168" t="str">
        <f>IF(K438&lt;&gt;"",VLOOKUP(K438,'Catálogo SAP'!A:F,5,FALSE),"")</f>
        <v/>
      </c>
      <c r="O438" s="231"/>
      <c r="P438" s="70" t="str">
        <f t="shared" si="190"/>
        <v>-</v>
      </c>
      <c r="Q438" s="163" t="str">
        <f t="shared" si="196"/>
        <v>-</v>
      </c>
      <c r="R438" s="44" t="str">
        <f>IF(J438&lt;&gt;"",VLOOKUP(J438,'RESUMO DR'!$B$4:$E$253,4,FALSE),"-")</f>
        <v>-</v>
      </c>
      <c r="S438" s="58" t="str">
        <f>IF(J438&lt;&gt;"",VLOOKUP(J438,'RESUMO DR'!$B$4:$E$253,3,FALSE),"-")</f>
        <v>-</v>
      </c>
      <c r="T438" s="129"/>
      <c r="U438" s="129"/>
      <c r="V438" s="129"/>
      <c r="W438" s="128"/>
      <c r="X438" s="127"/>
      <c r="Y438" s="127"/>
      <c r="Z438" s="4"/>
    </row>
    <row r="439" spans="1:27" ht="18" customHeight="1">
      <c r="A439" s="5"/>
      <c r="B439" s="222">
        <v>45657</v>
      </c>
      <c r="C439" s="21" t="s">
        <v>311</v>
      </c>
      <c r="D439" s="74" t="str">
        <f t="shared" si="197"/>
        <v>ter</v>
      </c>
      <c r="E439" s="169" t="str">
        <f>IF(K439&lt;&gt;"",VLOOKUP(K439,'Catálogo SAP'!$A$1:$F$245,2,FALSE),"-")</f>
        <v>-</v>
      </c>
      <c r="F439" s="225"/>
      <c r="G439" s="225"/>
      <c r="H439" s="226"/>
      <c r="I439" s="230"/>
      <c r="J439" s="162" t="str">
        <f t="shared" si="185"/>
        <v/>
      </c>
      <c r="K439" s="225"/>
      <c r="L439" s="167" t="str">
        <f>IF(K439&lt;&gt;"",VLOOKUP(K439,'Catálogo SAP'!A:F,3,FALSE),"")</f>
        <v/>
      </c>
      <c r="M439" s="162" t="str">
        <f>IF(K439&lt;&gt;"",VLOOKUP(K439,'Catálogo SAP'!A:F,4,FALSE),"")</f>
        <v/>
      </c>
      <c r="N439" s="168" t="str">
        <f>IF(K439&lt;&gt;"",VLOOKUP(K439,'Catálogo SAP'!A:F,5,FALSE),"")</f>
        <v/>
      </c>
      <c r="O439" s="231"/>
      <c r="P439" s="70" t="str">
        <f t="shared" si="190"/>
        <v>-</v>
      </c>
      <c r="Q439" s="163" t="str">
        <f t="shared" si="196"/>
        <v>-</v>
      </c>
      <c r="R439" s="44" t="str">
        <f>IF(J439&lt;&gt;"",VLOOKUP(J439,'RESUMO DR'!$B$4:$E$253,4,FALSE),"-")</f>
        <v>-</v>
      </c>
      <c r="S439" s="58" t="str">
        <f>IF(J439&lt;&gt;"",VLOOKUP(J439,'RESUMO DR'!$B$4:$E$253,3,FALSE),"-")</f>
        <v>-</v>
      </c>
      <c r="T439" s="129"/>
      <c r="U439" s="129"/>
      <c r="V439" s="129"/>
      <c r="W439" s="128"/>
      <c r="X439" s="127"/>
      <c r="Y439" s="127"/>
      <c r="Z439" s="4"/>
    </row>
    <row r="440" spans="1:27" ht="18" customHeight="1">
      <c r="A440" s="5"/>
      <c r="B440" s="222">
        <v>45657</v>
      </c>
      <c r="C440" s="21" t="s">
        <v>311</v>
      </c>
      <c r="D440" s="74" t="str">
        <f t="shared" si="197"/>
        <v>ter</v>
      </c>
      <c r="E440" s="169" t="str">
        <f>IF(K440&lt;&gt;"",VLOOKUP(K440,'Catálogo SAP'!$A$1:$F$245,2,FALSE),"-")</f>
        <v>-</v>
      </c>
      <c r="F440" s="225"/>
      <c r="G440" s="225"/>
      <c r="H440" s="226"/>
      <c r="I440" s="230"/>
      <c r="J440" s="162" t="str">
        <f t="shared" si="185"/>
        <v/>
      </c>
      <c r="K440" s="225"/>
      <c r="L440" s="167" t="str">
        <f>IF(K440&lt;&gt;"",VLOOKUP(K440,'Catálogo SAP'!A:F,3,FALSE),"")</f>
        <v/>
      </c>
      <c r="M440" s="162" t="str">
        <f>IF(K440&lt;&gt;"",VLOOKUP(K440,'Catálogo SAP'!A:F,4,FALSE),"")</f>
        <v/>
      </c>
      <c r="N440" s="168" t="str">
        <f>IF(K440&lt;&gt;"",VLOOKUP(K440,'Catálogo SAP'!A:F,5,FALSE),"")</f>
        <v/>
      </c>
      <c r="O440" s="231"/>
      <c r="P440" s="70" t="str">
        <f t="shared" si="190"/>
        <v>-</v>
      </c>
      <c r="Q440" s="163" t="str">
        <f t="shared" si="196"/>
        <v>-</v>
      </c>
      <c r="R440" s="44" t="str">
        <f>IF(J440&lt;&gt;"",VLOOKUP(J440,'RESUMO DR'!$B$4:$E$253,4,FALSE),"-")</f>
        <v>-</v>
      </c>
      <c r="S440" s="58" t="str">
        <f>IF(J440&lt;&gt;"",VLOOKUP(J440,'RESUMO DR'!$B$4:$E$253,3,FALSE),"-")</f>
        <v>-</v>
      </c>
      <c r="T440" s="129"/>
      <c r="U440" s="129"/>
      <c r="V440" s="129"/>
      <c r="W440" s="128"/>
      <c r="X440" s="127"/>
      <c r="Y440" s="127"/>
      <c r="Z440" s="4"/>
    </row>
    <row r="441" spans="1:27" ht="18" customHeight="1">
      <c r="A441" s="5">
        <v>1915</v>
      </c>
      <c r="B441" s="222">
        <v>45657</v>
      </c>
      <c r="C441" s="21" t="s">
        <v>314</v>
      </c>
      <c r="D441" s="74" t="str">
        <f t="shared" si="197"/>
        <v>ter</v>
      </c>
      <c r="E441" s="169">
        <f>IF(K441&lt;&gt;"",VLOOKUP(K441,'Catálogo SAP'!$A$1:$F$245,2,FALSE),"-")</f>
        <v>200</v>
      </c>
      <c r="F441" s="225">
        <v>65623</v>
      </c>
      <c r="G441" s="225">
        <v>65903</v>
      </c>
      <c r="H441" s="226"/>
      <c r="I441" s="230">
        <v>83</v>
      </c>
      <c r="J441" s="162" t="str">
        <f t="shared" si="185"/>
        <v>IMPERATRIZ</v>
      </c>
      <c r="K441" s="225">
        <v>200</v>
      </c>
      <c r="L441" s="167" t="str">
        <f>IF(K441&lt;&gt;"",VLOOKUP(K441,'Catálogo SAP'!A:F,3,FALSE),"")</f>
        <v>S.VP-01445</v>
      </c>
      <c r="M441" s="162" t="str">
        <f>IF(K441&lt;&gt;"",VLOOKUP(K441,'Catálogo SAP'!A:F,4,FALSE),"")</f>
        <v>Km Rodado Caminhão Basculante - C/Motorista</v>
      </c>
      <c r="N441" s="168" t="str">
        <f>IF(K441&lt;&gt;"",VLOOKUP(K441,'Catálogo SAP'!A:F,5,FALSE),"")</f>
        <v>KM</v>
      </c>
      <c r="O441" s="231">
        <v>280</v>
      </c>
      <c r="P441" s="70">
        <f t="shared" si="190"/>
        <v>280</v>
      </c>
      <c r="Q441" s="163" t="e">
        <f t="shared" si="196"/>
        <v>#VALUE!</v>
      </c>
      <c r="R441" s="44" t="str">
        <f>IF(J441&lt;&gt;"",VLOOKUP(J441,'RESUMO DR'!$B$4:$E$253,4,FALSE),"-")</f>
        <v>T-01</v>
      </c>
      <c r="S441" s="58" t="str">
        <f>IF(J441&lt;&gt;"",VLOOKUP(J441,'RESUMO DR'!$B$4:$E$253,3,FALSE),"-")</f>
        <v>IMPERATRIZ</v>
      </c>
      <c r="T441" s="129"/>
      <c r="U441" s="129"/>
      <c r="V441" s="129"/>
      <c r="W441" s="128"/>
      <c r="X441" s="127"/>
      <c r="Y441" s="127"/>
      <c r="Z441" s="4"/>
    </row>
    <row r="442" spans="1:27" ht="18" customHeight="1">
      <c r="A442" s="5">
        <v>1914</v>
      </c>
      <c r="B442" s="222">
        <v>45657</v>
      </c>
      <c r="C442" s="21" t="s">
        <v>315</v>
      </c>
      <c r="D442" s="74" t="str">
        <f t="shared" si="197"/>
        <v>ter</v>
      </c>
      <c r="E442" s="169">
        <f>IF(K442&lt;&gt;"",VLOOKUP(K442,'Catálogo SAP'!$A$1:$F$245,2,FALSE),"-")</f>
        <v>170</v>
      </c>
      <c r="F442" s="225">
        <v>1389</v>
      </c>
      <c r="G442" s="225">
        <v>1389</v>
      </c>
      <c r="H442" s="226"/>
      <c r="I442" s="230">
        <v>59</v>
      </c>
      <c r="J442" s="162" t="str">
        <f t="shared" si="185"/>
        <v>JOÃO LISBOA</v>
      </c>
      <c r="K442" s="225">
        <v>170</v>
      </c>
      <c r="L442" s="167" t="str">
        <f>IF(K442&lt;&gt;"",VLOOKUP(K442,'Catálogo SAP'!A:F,3,FALSE),"")</f>
        <v>S.VP-01442</v>
      </c>
      <c r="M442" s="162" t="str">
        <f>IF(K442&lt;&gt;"",VLOOKUP(K442,'Catálogo SAP'!A:F,4,FALSE),"")</f>
        <v>Hora Improdutiva Pa Carregadeira C/Operador</v>
      </c>
      <c r="N442" s="168" t="str">
        <f>IF(K442&lt;&gt;"",VLOOKUP(K442,'Catálogo SAP'!A:F,5,FALSE),"")</f>
        <v>H</v>
      </c>
      <c r="O442" s="231">
        <v>9</v>
      </c>
      <c r="P442" s="70">
        <f t="shared" si="190"/>
        <v>0</v>
      </c>
      <c r="Q442" s="163" t="e">
        <f t="shared" si="196"/>
        <v>#VALUE!</v>
      </c>
      <c r="R442" s="44" t="str">
        <f>IF(J442&lt;&gt;"",VLOOKUP(J442,'RESUMO DR'!$B$4:$E$253,4,FALSE),"-")</f>
        <v>T-01</v>
      </c>
      <c r="S442" s="58" t="str">
        <f>IF(J442&lt;&gt;"",VLOOKUP(J442,'RESUMO DR'!$B$4:$E$253,3,FALSE),"-")</f>
        <v>IMPERATRIZ</v>
      </c>
      <c r="T442" s="129"/>
      <c r="U442" s="129"/>
      <c r="V442" s="129"/>
      <c r="W442" s="128"/>
      <c r="X442" s="127"/>
      <c r="Y442" s="127"/>
      <c r="Z442" s="4"/>
    </row>
    <row r="443" spans="1:27" ht="18" customHeight="1">
      <c r="A443" s="5"/>
      <c r="B443" s="222">
        <v>45657</v>
      </c>
      <c r="C443" s="21" t="s">
        <v>139</v>
      </c>
      <c r="D443" s="74" t="str">
        <f t="shared" si="197"/>
        <v>ter</v>
      </c>
      <c r="E443" s="169" t="str">
        <f>IF(K443&lt;&gt;"",VLOOKUP(K443,'Catálogo SAP'!$A$1:$F$245,2,FALSE),"-")</f>
        <v>-</v>
      </c>
      <c r="F443" s="225"/>
      <c r="G443" s="225"/>
      <c r="H443" s="226"/>
      <c r="I443" s="230"/>
      <c r="J443" s="162" t="str">
        <f t="shared" si="185"/>
        <v/>
      </c>
      <c r="K443" s="225"/>
      <c r="L443" s="167" t="str">
        <f>IF(K443&lt;&gt;"",VLOOKUP(K443,'Catálogo SAP'!A:F,3,FALSE),"")</f>
        <v/>
      </c>
      <c r="M443" s="162" t="str">
        <f>IF(K443&lt;&gt;"",VLOOKUP(K443,'Catálogo SAP'!A:F,4,FALSE),"")</f>
        <v/>
      </c>
      <c r="N443" s="168" t="str">
        <f>IF(K443&lt;&gt;"",VLOOKUP(K443,'Catálogo SAP'!A:F,5,FALSE),"")</f>
        <v/>
      </c>
      <c r="O443" s="231"/>
      <c r="P443" s="70" t="str">
        <f t="shared" si="190"/>
        <v>-</v>
      </c>
      <c r="Q443" s="163" t="str">
        <f t="shared" si="196"/>
        <v>-</v>
      </c>
      <c r="R443" s="44" t="str">
        <f>IF(J443&lt;&gt;"",VLOOKUP(J443,'RESUMO DR'!$B$4:$E$253,4,FALSE),"-")</f>
        <v>-</v>
      </c>
      <c r="S443" s="58" t="str">
        <f>IF(J443&lt;&gt;"",VLOOKUP(J443,'RESUMO DR'!$B$4:$E$253,3,FALSE),"-")</f>
        <v>-</v>
      </c>
      <c r="T443" s="129"/>
      <c r="U443" s="129"/>
      <c r="V443" s="129"/>
      <c r="W443" s="128"/>
      <c r="X443" s="127"/>
      <c r="Y443" s="127"/>
      <c r="Z443" s="4"/>
    </row>
    <row r="444" spans="1:27" ht="18" customHeight="1">
      <c r="A444" s="5"/>
      <c r="B444" s="222"/>
      <c r="C444" s="222"/>
      <c r="D444" s="74" t="str">
        <f t="shared" si="197"/>
        <v>-</v>
      </c>
      <c r="E444" s="169" t="str">
        <f>IF(K444&lt;&gt;"",VLOOKUP(K444,'Catálogo SAP'!$A$1:$F$245,2,FALSE),"-")</f>
        <v>-</v>
      </c>
      <c r="F444" s="225"/>
      <c r="G444" s="225"/>
      <c r="H444" s="226"/>
      <c r="I444" s="230"/>
      <c r="J444" s="162" t="str">
        <f t="shared" si="185"/>
        <v/>
      </c>
      <c r="K444" s="225"/>
      <c r="L444" s="167" t="str">
        <f>IF(K444&lt;&gt;"",VLOOKUP(K444,'Catálogo SAP'!A:F,3,FALSE),"")</f>
        <v/>
      </c>
      <c r="M444" s="162" t="str">
        <f>IF(K444&lt;&gt;"",VLOOKUP(K444,'Catálogo SAP'!A:F,4,FALSE),"")</f>
        <v/>
      </c>
      <c r="N444" s="168" t="str">
        <f>IF(K444&lt;&gt;"",VLOOKUP(K444,'Catálogo SAP'!A:F,5,FALSE),"")</f>
        <v/>
      </c>
      <c r="O444" s="231"/>
      <c r="P444" s="70" t="str">
        <f t="shared" si="190"/>
        <v>-</v>
      </c>
      <c r="Q444" s="163" t="str">
        <f t="shared" si="196"/>
        <v>-</v>
      </c>
      <c r="R444" s="44" t="str">
        <f>IF(J444&lt;&gt;"",VLOOKUP(J444,'RESUMO DR'!$B$4:$E$253,4,FALSE),"-")</f>
        <v>-</v>
      </c>
      <c r="S444" s="58" t="str">
        <f>IF(J444&lt;&gt;"",VLOOKUP(J444,'RESUMO DR'!$B$4:$E$253,3,FALSE),"-")</f>
        <v>-</v>
      </c>
      <c r="T444" s="129"/>
      <c r="U444" s="129"/>
      <c r="V444" s="129"/>
      <c r="W444" s="128"/>
      <c r="X444" s="127"/>
      <c r="Y444" s="127"/>
      <c r="Z444" s="4"/>
    </row>
    <row r="445" spans="1:27" ht="18" customHeight="1">
      <c r="A445" s="5"/>
      <c r="B445" s="21"/>
      <c r="C445" s="21"/>
      <c r="D445" s="74" t="str">
        <f t="shared" si="197"/>
        <v>-</v>
      </c>
      <c r="E445" s="169" t="str">
        <f>IF(K445&lt;&gt;"",VLOOKUP(K445,'Catálogo SAP'!$A$1:$F$245,2,FALSE),"-")</f>
        <v>-</v>
      </c>
      <c r="F445" s="16"/>
      <c r="G445" s="16"/>
      <c r="H445" s="22"/>
      <c r="I445" s="133"/>
      <c r="J445" s="162" t="str">
        <f t="shared" si="185"/>
        <v/>
      </c>
      <c r="K445" s="16"/>
      <c r="L445" s="167" t="str">
        <f>IF(K445&lt;&gt;"",VLOOKUP(K445,'Catálogo SAP'!A:F,3,FALSE),"")</f>
        <v/>
      </c>
      <c r="M445" s="162" t="str">
        <f>IF(K445&lt;&gt;"",VLOOKUP(K445,'Catálogo SAP'!A:F,4,FALSE),"")</f>
        <v/>
      </c>
      <c r="N445" s="168" t="str">
        <f>IF(K445&lt;&gt;"",VLOOKUP(K445,'Catálogo SAP'!A:F,5,FALSE),"")</f>
        <v/>
      </c>
      <c r="O445" s="160"/>
      <c r="P445" s="70" t="str">
        <f t="shared" si="190"/>
        <v>-</v>
      </c>
      <c r="Q445" s="163" t="str">
        <f t="shared" si="196"/>
        <v>-</v>
      </c>
      <c r="R445" s="44" t="str">
        <f>IF(J445&lt;&gt;"",VLOOKUP(J445,'RESUMO DR'!$B$4:$E$253,4,FALSE),"-")</f>
        <v>-</v>
      </c>
      <c r="S445" s="58" t="str">
        <f>IF(J445&lt;&gt;"",VLOOKUP(J445,'RESUMO DR'!$B$4:$E$253,3,FALSE),"-")</f>
        <v>-</v>
      </c>
      <c r="T445" s="129"/>
      <c r="U445" s="129"/>
      <c r="V445" s="129"/>
      <c r="W445" s="128"/>
      <c r="X445" s="127"/>
      <c r="Y445" s="127"/>
      <c r="Z445" s="4"/>
      <c r="AA445" s="38"/>
    </row>
    <row r="446" spans="1:27" ht="18" customHeight="1">
      <c r="A446" s="5">
        <v>1567</v>
      </c>
      <c r="B446" s="21">
        <v>45659</v>
      </c>
      <c r="C446" s="21" t="s">
        <v>121</v>
      </c>
      <c r="D446" s="74" t="str">
        <f t="shared" si="197"/>
        <v>qui</v>
      </c>
      <c r="E446" s="169">
        <f>IF(K446&lt;&gt;"",VLOOKUP(K446,'Catálogo SAP'!$A$1:$F$245,2,FALSE),"-")</f>
        <v>120</v>
      </c>
      <c r="F446" s="225">
        <v>8710</v>
      </c>
      <c r="G446" s="225">
        <v>8717</v>
      </c>
      <c r="H446" s="226"/>
      <c r="I446" s="230">
        <v>300</v>
      </c>
      <c r="J446" s="162" t="str">
        <f t="shared" si="185"/>
        <v>SAO LUIS</v>
      </c>
      <c r="K446" s="16">
        <v>120</v>
      </c>
      <c r="L446" s="167" t="str">
        <f>IF(K446&lt;&gt;"",VLOOKUP(K446,'Catálogo SAP'!A:F,3,FALSE),"")</f>
        <v>S.VP-01437</v>
      </c>
      <c r="M446" s="162" t="str">
        <f>IF(K446&lt;&gt;"",VLOOKUP(K446,'Catálogo SAP'!A:F,4,FALSE),"")</f>
        <v>Hr Produtiva Retroescavadeira C/Operador</v>
      </c>
      <c r="N446" s="168" t="str">
        <f>IF(K446&lt;&gt;"",VLOOKUP(K446,'Catálogo SAP'!A:F,5,FALSE),"")</f>
        <v>H</v>
      </c>
      <c r="O446" s="160">
        <v>7</v>
      </c>
      <c r="P446" s="70">
        <f t="shared" si="190"/>
        <v>7</v>
      </c>
      <c r="Q446" s="163" t="e">
        <f t="shared" si="191"/>
        <v>#VALUE!</v>
      </c>
      <c r="R446" s="44" t="str">
        <f>IF(J446&lt;&gt;"",VLOOKUP(J446,'RESUMO DR'!$B$4:$E$253,4,FALSE),"-")</f>
        <v>T-02</v>
      </c>
      <c r="S446" s="58" t="str">
        <f>IF(J446&lt;&gt;"",VLOOKUP(J446,'RESUMO DR'!$B$4:$E$253,3,FALSE),"-")</f>
        <v>ARAGUAINA</v>
      </c>
      <c r="T446" s="129"/>
      <c r="U446" s="129"/>
      <c r="V446" s="129"/>
      <c r="W446" s="128"/>
      <c r="X446" s="127"/>
      <c r="Y446" s="127"/>
      <c r="Z446" s="4"/>
      <c r="AA446" s="38"/>
    </row>
    <row r="447" spans="1:27" ht="18" customHeight="1">
      <c r="A447" s="5">
        <v>1567</v>
      </c>
      <c r="B447" s="21">
        <v>45659</v>
      </c>
      <c r="C447" s="21" t="s">
        <v>121</v>
      </c>
      <c r="D447" s="74" t="str">
        <f t="shared" si="197"/>
        <v>qui</v>
      </c>
      <c r="E447" s="169">
        <f>IF(K447&lt;&gt;"",VLOOKUP(K447,'Catálogo SAP'!$A$1:$F$245,2,FALSE),"-")</f>
        <v>130</v>
      </c>
      <c r="F447" s="225">
        <v>8717</v>
      </c>
      <c r="G447" s="225">
        <v>8717</v>
      </c>
      <c r="H447" s="226"/>
      <c r="I447" s="230">
        <v>300</v>
      </c>
      <c r="J447" s="162" t="str">
        <f t="shared" si="185"/>
        <v>SAO LUIS</v>
      </c>
      <c r="K447" s="16">
        <v>130</v>
      </c>
      <c r="L447" s="167" t="str">
        <f>IF(K447&lt;&gt;"",VLOOKUP(K447,'Catálogo SAP'!A:F,3,FALSE),"")</f>
        <v>S.VP-01438</v>
      </c>
      <c r="M447" s="162" t="str">
        <f>IF(K447&lt;&gt;"",VLOOKUP(K447,'Catálogo SAP'!A:F,4,FALSE),"")</f>
        <v>Hr Improdutiva Retroescavadeira C/Operador</v>
      </c>
      <c r="N447" s="168" t="str">
        <f>IF(K447&lt;&gt;"",VLOOKUP(K447,'Catálogo SAP'!A:F,5,FALSE),"")</f>
        <v>H</v>
      </c>
      <c r="O447" s="160">
        <v>2</v>
      </c>
      <c r="P447" s="70">
        <f t="shared" si="190"/>
        <v>0</v>
      </c>
      <c r="Q447" s="163" t="e">
        <f t="shared" si="191"/>
        <v>#VALUE!</v>
      </c>
      <c r="R447" s="44" t="str">
        <f>IF(J447&lt;&gt;"",VLOOKUP(J447,'RESUMO DR'!$B$4:$E$253,4,FALSE),"-")</f>
        <v>T-02</v>
      </c>
      <c r="S447" s="58" t="str">
        <f>IF(J447&lt;&gt;"",VLOOKUP(J447,'RESUMO DR'!$B$4:$E$253,3,FALSE),"-")</f>
        <v>ARAGUAINA</v>
      </c>
      <c r="T447" s="129"/>
      <c r="U447" s="129"/>
      <c r="V447" s="129"/>
      <c r="W447" s="128"/>
      <c r="X447" s="127"/>
      <c r="Y447" s="127"/>
      <c r="Z447" s="4"/>
      <c r="AA447" s="38"/>
    </row>
    <row r="448" spans="1:27" ht="18" customHeight="1">
      <c r="A448" s="5"/>
      <c r="B448" s="21">
        <v>45659</v>
      </c>
      <c r="C448" s="21" t="s">
        <v>122</v>
      </c>
      <c r="D448" s="74" t="str">
        <f t="shared" si="197"/>
        <v>qui</v>
      </c>
      <c r="E448" s="169" t="str">
        <f>IF(K448&lt;&gt;"",VLOOKUP(K448,'Catálogo SAP'!$A$1:$F$245,2,FALSE),"-")</f>
        <v>-</v>
      </c>
      <c r="F448" s="16"/>
      <c r="G448" s="16"/>
      <c r="H448" s="22"/>
      <c r="I448" s="133"/>
      <c r="J448" s="162" t="str">
        <f t="shared" si="185"/>
        <v/>
      </c>
      <c r="K448" s="16"/>
      <c r="L448" s="167" t="str">
        <f>IF(K448&lt;&gt;"",VLOOKUP(K448,'Catálogo SAP'!A:F,3,FALSE),"")</f>
        <v/>
      </c>
      <c r="M448" s="162" t="str">
        <f>IF(K448&lt;&gt;"",VLOOKUP(K448,'Catálogo SAP'!A:F,4,FALSE),"")</f>
        <v/>
      </c>
      <c r="N448" s="168" t="str">
        <f>IF(K448&lt;&gt;"",VLOOKUP(K448,'Catálogo SAP'!A:F,5,FALSE),"")</f>
        <v/>
      </c>
      <c r="O448" s="160"/>
      <c r="P448" s="70" t="str">
        <f t="shared" si="190"/>
        <v>-</v>
      </c>
      <c r="Q448" s="163" t="str">
        <f t="shared" ref="Q448:Q451" si="198">IF(K448="","-",N448*O448)</f>
        <v>-</v>
      </c>
      <c r="R448" s="44" t="str">
        <f>IF(J448&lt;&gt;"",VLOOKUP(J448,'RESUMO DR'!$B$4:$E$253,4,FALSE),"-")</f>
        <v>-</v>
      </c>
      <c r="S448" s="58" t="str">
        <f>IF(J448&lt;&gt;"",VLOOKUP(J448,'RESUMO DR'!$B$4:$E$253,3,FALSE),"-")</f>
        <v>-</v>
      </c>
      <c r="T448" s="129"/>
      <c r="U448" s="129"/>
      <c r="V448" s="129"/>
      <c r="W448" s="128"/>
      <c r="X448" s="127"/>
      <c r="Y448" s="127"/>
      <c r="Z448" s="4"/>
      <c r="AA448" s="38"/>
    </row>
    <row r="449" spans="1:27" ht="18" customHeight="1">
      <c r="A449" s="5"/>
      <c r="B449" s="21">
        <v>45659</v>
      </c>
      <c r="C449" s="21" t="s">
        <v>123</v>
      </c>
      <c r="D449" s="74" t="str">
        <f t="shared" si="197"/>
        <v>qui</v>
      </c>
      <c r="E449" s="169" t="str">
        <f>IF(K449&lt;&gt;"",VLOOKUP(K449,'Catálogo SAP'!$A$1:$F$245,2,FALSE),"-")</f>
        <v>-</v>
      </c>
      <c r="F449" s="16"/>
      <c r="G449" s="16"/>
      <c r="H449" s="22"/>
      <c r="I449" s="133"/>
      <c r="J449" s="162" t="str">
        <f t="shared" si="185"/>
        <v/>
      </c>
      <c r="K449" s="16"/>
      <c r="L449" s="167" t="str">
        <f>IF(K449&lt;&gt;"",VLOOKUP(K449,'Catálogo SAP'!A:F,3,FALSE),"")</f>
        <v/>
      </c>
      <c r="M449" s="162" t="str">
        <f>IF(K449&lt;&gt;"",VLOOKUP(K449,'Catálogo SAP'!A:F,4,FALSE),"")</f>
        <v/>
      </c>
      <c r="N449" s="168" t="str">
        <f>IF(K449&lt;&gt;"",VLOOKUP(K449,'Catálogo SAP'!A:F,5,FALSE),"")</f>
        <v/>
      </c>
      <c r="O449" s="160"/>
      <c r="P449" s="70" t="str">
        <f t="shared" si="190"/>
        <v>-</v>
      </c>
      <c r="Q449" s="163" t="str">
        <f t="shared" si="198"/>
        <v>-</v>
      </c>
      <c r="R449" s="44" t="str">
        <f>IF(J449&lt;&gt;"",VLOOKUP(J449,'RESUMO DR'!$B$4:$E$253,4,FALSE),"-")</f>
        <v>-</v>
      </c>
      <c r="S449" s="58" t="str">
        <f>IF(J449&lt;&gt;"",VLOOKUP(J449,'RESUMO DR'!$B$4:$E$253,3,FALSE),"-")</f>
        <v>-</v>
      </c>
      <c r="T449" s="129"/>
      <c r="U449" s="129"/>
      <c r="V449" s="129"/>
      <c r="W449" s="128"/>
      <c r="X449" s="127"/>
      <c r="Y449" s="127"/>
      <c r="Z449" s="4"/>
      <c r="AA449" s="38"/>
    </row>
    <row r="450" spans="1:27" ht="13.95" customHeight="1">
      <c r="A450" s="5">
        <v>1922</v>
      </c>
      <c r="B450" s="21">
        <v>45659</v>
      </c>
      <c r="C450" s="21" t="s">
        <v>124</v>
      </c>
      <c r="D450" s="74" t="str">
        <f t="shared" si="197"/>
        <v>qui</v>
      </c>
      <c r="E450" s="169">
        <f>IF(K450&lt;&gt;"",VLOOKUP(K450,'Catálogo SAP'!$A$1:$F$245,2,FALSE),"-")</f>
        <v>410</v>
      </c>
      <c r="F450" s="225">
        <v>418654</v>
      </c>
      <c r="G450" s="225">
        <v>418654</v>
      </c>
      <c r="H450" s="226"/>
      <c r="I450" s="230">
        <v>91</v>
      </c>
      <c r="J450" s="162" t="str">
        <f t="shared" si="185"/>
        <v>IMPERATRIZ</v>
      </c>
      <c r="K450" s="16">
        <v>410</v>
      </c>
      <c r="L450" s="167" t="str">
        <f>IF(K450&lt;&gt;"",VLOOKUP(K450,'Catálogo SAP'!A:F,3,FALSE),"")</f>
        <v>S.VP-01462</v>
      </c>
      <c r="M450" s="162" t="str">
        <f>IF(K450&lt;&gt;"",VLOOKUP(K450,'Catálogo SAP'!A:F,4,FALSE),"")</f>
        <v>Hora Improdutiva Carreta Prancha - C/ Motorista</v>
      </c>
      <c r="N450" s="168" t="str">
        <f>IF(K450&lt;&gt;"",VLOOKUP(K450,'Catálogo SAP'!A:F,5,FALSE),"")</f>
        <v>H</v>
      </c>
      <c r="O450" s="160">
        <v>9</v>
      </c>
      <c r="P450" s="70">
        <f t="shared" si="190"/>
        <v>0</v>
      </c>
      <c r="Q450" s="163" t="e">
        <f t="shared" ref="Q450" si="199">IF(K450="","-",N450*O450)</f>
        <v>#VALUE!</v>
      </c>
      <c r="R450" s="44" t="str">
        <f>IF(J450&lt;&gt;"",VLOOKUP(J450,'RESUMO DR'!$B$4:$E$253,4,FALSE),"-")</f>
        <v>T-01</v>
      </c>
      <c r="S450" s="58" t="str">
        <f>IF(J450&lt;&gt;"",VLOOKUP(J450,'RESUMO DR'!$B$4:$E$253,3,FALSE),"-")</f>
        <v>IMPERATRIZ</v>
      </c>
      <c r="T450" s="129"/>
      <c r="U450" s="129"/>
      <c r="V450" s="129"/>
      <c r="W450" s="128"/>
      <c r="X450" s="127"/>
      <c r="Y450" s="127"/>
      <c r="Z450" s="4"/>
      <c r="AA450" s="38"/>
    </row>
    <row r="451" spans="1:27" ht="18" customHeight="1">
      <c r="A451" s="5"/>
      <c r="B451" s="21">
        <v>45659</v>
      </c>
      <c r="C451" s="21" t="s">
        <v>123</v>
      </c>
      <c r="D451" s="74" t="str">
        <f t="shared" si="197"/>
        <v>qui</v>
      </c>
      <c r="E451" s="169" t="str">
        <f>IF(K451&lt;&gt;"",VLOOKUP(K451,'Catálogo SAP'!$A$1:$F$245,2,FALSE),"-")</f>
        <v>-</v>
      </c>
      <c r="F451" s="16"/>
      <c r="G451" s="16"/>
      <c r="H451" s="22"/>
      <c r="I451" s="133"/>
      <c r="J451" s="162" t="str">
        <f t="shared" si="185"/>
        <v/>
      </c>
      <c r="K451" s="16"/>
      <c r="L451" s="167" t="str">
        <f>IF(K451&lt;&gt;"",VLOOKUP(K451,'Catálogo SAP'!A:F,3,FALSE),"")</f>
        <v/>
      </c>
      <c r="M451" s="162" t="str">
        <f>IF(K451&lt;&gt;"",VLOOKUP(K451,'Catálogo SAP'!A:F,4,FALSE),"")</f>
        <v/>
      </c>
      <c r="N451" s="168" t="str">
        <f>IF(K451&lt;&gt;"",VLOOKUP(K451,'Catálogo SAP'!A:F,5,FALSE),"")</f>
        <v/>
      </c>
      <c r="O451" s="160"/>
      <c r="P451" s="70" t="str">
        <f t="shared" si="190"/>
        <v>-</v>
      </c>
      <c r="Q451" s="163" t="str">
        <f t="shared" si="198"/>
        <v>-</v>
      </c>
      <c r="R451" s="44" t="str">
        <f>IF(J451&lt;&gt;"",VLOOKUP(J451,'RESUMO DR'!$B$4:$E$253,4,FALSE),"-")</f>
        <v>-</v>
      </c>
      <c r="S451" s="58" t="str">
        <f>IF(J451&lt;&gt;"",VLOOKUP(J451,'RESUMO DR'!$B$4:$E$253,3,FALSE),"-")</f>
        <v>-</v>
      </c>
      <c r="T451" s="129"/>
      <c r="U451" s="129"/>
      <c r="V451" s="129"/>
      <c r="W451" s="128"/>
      <c r="X451" s="127"/>
      <c r="Y451" s="127"/>
      <c r="Z451" s="4"/>
      <c r="AA451" s="38"/>
    </row>
    <row r="452" spans="1:27" ht="18" customHeight="1">
      <c r="A452" s="5">
        <v>1922</v>
      </c>
      <c r="B452" s="21">
        <v>45659</v>
      </c>
      <c r="C452" s="21" t="s">
        <v>313</v>
      </c>
      <c r="D452" s="74" t="str">
        <f t="shared" si="197"/>
        <v>qui</v>
      </c>
      <c r="E452" s="169">
        <f>IF(K452&lt;&gt;"",VLOOKUP(K452,'Catálogo SAP'!$A$1:$F$245,2,FALSE),"-")</f>
        <v>210</v>
      </c>
      <c r="F452" s="225">
        <v>62011</v>
      </c>
      <c r="G452" s="225">
        <v>62011</v>
      </c>
      <c r="H452" s="226"/>
      <c r="I452" s="230">
        <v>91</v>
      </c>
      <c r="J452" s="162" t="str">
        <f t="shared" si="185"/>
        <v>IMPERATRIZ</v>
      </c>
      <c r="K452" s="16">
        <v>210</v>
      </c>
      <c r="L452" s="167" t="str">
        <f>IF(K452&lt;&gt;"",VLOOKUP(K452,'Catálogo SAP'!A:F,3,FALSE),"")</f>
        <v>S.VP-01446</v>
      </c>
      <c r="M452" s="162" t="str">
        <f>IF(K452&lt;&gt;"",VLOOKUP(K452,'Catálogo SAP'!A:F,4,FALSE),"")</f>
        <v>Hora Improdutiva Basculante - C/Motorista</v>
      </c>
      <c r="N452" s="168" t="str">
        <f>IF(K452&lt;&gt;"",VLOOKUP(K452,'Catálogo SAP'!A:F,5,FALSE),"")</f>
        <v>H</v>
      </c>
      <c r="O452" s="160">
        <v>9</v>
      </c>
      <c r="P452" s="70">
        <f t="shared" si="190"/>
        <v>0</v>
      </c>
      <c r="Q452" s="163" t="e">
        <f t="shared" si="191"/>
        <v>#VALUE!</v>
      </c>
      <c r="R452" s="44" t="str">
        <f>IF(J452&lt;&gt;"",VLOOKUP(J452,'RESUMO DR'!$B$4:$E$253,4,FALSE),"-")</f>
        <v>T-01</v>
      </c>
      <c r="S452" s="58" t="str">
        <f>IF(J452&lt;&gt;"",VLOOKUP(J452,'RESUMO DR'!$B$4:$E$253,3,FALSE),"-")</f>
        <v>IMPERATRIZ</v>
      </c>
      <c r="T452" s="129"/>
      <c r="U452" s="129"/>
      <c r="V452" s="129"/>
      <c r="W452" s="128"/>
      <c r="X452" s="127"/>
      <c r="Y452" s="127"/>
      <c r="Z452" s="4"/>
      <c r="AA452" s="38"/>
    </row>
    <row r="453" spans="1:27" ht="18" customHeight="1">
      <c r="A453" s="5">
        <v>1922</v>
      </c>
      <c r="B453" s="21">
        <v>45659</v>
      </c>
      <c r="C453" s="21" t="s">
        <v>314</v>
      </c>
      <c r="D453" s="74" t="str">
        <f t="shared" si="197"/>
        <v>qui</v>
      </c>
      <c r="E453" s="169">
        <f>IF(K453&lt;&gt;"",VLOOKUP(K453,'Catálogo SAP'!$A$1:$F$245,2,FALSE),"-")</f>
        <v>210</v>
      </c>
      <c r="F453" s="225">
        <v>65903</v>
      </c>
      <c r="G453" s="225">
        <v>65903</v>
      </c>
      <c r="H453" s="226"/>
      <c r="I453" s="230">
        <v>91</v>
      </c>
      <c r="J453" s="162" t="str">
        <f t="shared" si="185"/>
        <v>IMPERATRIZ</v>
      </c>
      <c r="K453" s="16">
        <v>210</v>
      </c>
      <c r="L453" s="167" t="str">
        <f>IF(K453&lt;&gt;"",VLOOKUP(K453,'Catálogo SAP'!A:F,3,FALSE),"")</f>
        <v>S.VP-01446</v>
      </c>
      <c r="M453" s="162" t="str">
        <f>IF(K453&lt;&gt;"",VLOOKUP(K453,'Catálogo SAP'!A:F,4,FALSE),"")</f>
        <v>Hora Improdutiva Basculante - C/Motorista</v>
      </c>
      <c r="N453" s="168" t="str">
        <f>IF(K453&lt;&gt;"",VLOOKUP(K453,'Catálogo SAP'!A:F,5,FALSE),"")</f>
        <v>H</v>
      </c>
      <c r="O453" s="160">
        <v>9</v>
      </c>
      <c r="P453" s="70">
        <f t="shared" si="190"/>
        <v>0</v>
      </c>
      <c r="Q453" s="163" t="e">
        <f t="shared" si="191"/>
        <v>#VALUE!</v>
      </c>
      <c r="R453" s="44" t="str">
        <f>IF(J453&lt;&gt;"",VLOOKUP(J453,'RESUMO DR'!$B$4:$E$253,4,FALSE),"-")</f>
        <v>T-01</v>
      </c>
      <c r="S453" s="58" t="str">
        <f>IF(J453&lt;&gt;"",VLOOKUP(J453,'RESUMO DR'!$B$4:$E$253,3,FALSE),"-")</f>
        <v>IMPERATRIZ</v>
      </c>
      <c r="T453" s="129"/>
      <c r="U453" s="129"/>
      <c r="V453" s="129"/>
      <c r="W453" s="128"/>
      <c r="X453" s="127"/>
      <c r="Y453" s="127"/>
      <c r="Z453" s="4"/>
      <c r="AA453" s="38"/>
    </row>
    <row r="454" spans="1:27" ht="18" customHeight="1">
      <c r="A454" s="5">
        <v>1922</v>
      </c>
      <c r="B454" s="21">
        <v>45659</v>
      </c>
      <c r="C454" s="21" t="s">
        <v>307</v>
      </c>
      <c r="D454" s="74" t="str">
        <f t="shared" si="197"/>
        <v>qui</v>
      </c>
      <c r="E454" s="169">
        <f>IF(K454&lt;&gt;"",VLOOKUP(K454,'Catálogo SAP'!$A$1:$F$245,2,FALSE),"-")</f>
        <v>210</v>
      </c>
      <c r="F454" s="225">
        <v>66438</v>
      </c>
      <c r="G454" s="225">
        <v>66438</v>
      </c>
      <c r="H454" s="226"/>
      <c r="I454" s="230">
        <v>91</v>
      </c>
      <c r="J454" s="162" t="str">
        <f t="shared" si="185"/>
        <v>IMPERATRIZ</v>
      </c>
      <c r="K454" s="16">
        <v>210</v>
      </c>
      <c r="L454" s="167" t="str">
        <f>IF(K454&lt;&gt;"",VLOOKUP(K454,'Catálogo SAP'!A:F,3,FALSE),"")</f>
        <v>S.VP-01446</v>
      </c>
      <c r="M454" s="162" t="str">
        <f>IF(K454&lt;&gt;"",VLOOKUP(K454,'Catálogo SAP'!A:F,4,FALSE),"")</f>
        <v>Hora Improdutiva Basculante - C/Motorista</v>
      </c>
      <c r="N454" s="168" t="str">
        <f>IF(K454&lt;&gt;"",VLOOKUP(K454,'Catálogo SAP'!A:F,5,FALSE),"")</f>
        <v>H</v>
      </c>
      <c r="O454" s="160">
        <v>9</v>
      </c>
      <c r="P454" s="70">
        <f t="shared" ref="P454:P517" si="200">IF(G454="","-",G454-F454)</f>
        <v>0</v>
      </c>
      <c r="Q454" s="163" t="e">
        <f t="shared" si="191"/>
        <v>#VALUE!</v>
      </c>
      <c r="R454" s="44" t="str">
        <f>IF(J454&lt;&gt;"",VLOOKUP(J454,'RESUMO DR'!$B$4:$E$253,4,FALSE),"-")</f>
        <v>T-01</v>
      </c>
      <c r="S454" s="58" t="str">
        <f>IF(J454&lt;&gt;"",VLOOKUP(J454,'RESUMO DR'!$B$4:$E$253,3,FALSE),"-")</f>
        <v>IMPERATRIZ</v>
      </c>
      <c r="T454" s="129"/>
      <c r="U454" s="129"/>
      <c r="V454" s="129"/>
      <c r="W454" s="128"/>
      <c r="X454" s="127"/>
      <c r="Y454" s="127"/>
      <c r="Z454" s="4"/>
      <c r="AA454" s="172"/>
    </row>
    <row r="455" spans="1:27" ht="18" customHeight="1">
      <c r="A455" s="5">
        <v>1922</v>
      </c>
      <c r="B455" s="21">
        <v>45659</v>
      </c>
      <c r="C455" s="21" t="s">
        <v>308</v>
      </c>
      <c r="D455" s="74" t="str">
        <f t="shared" si="197"/>
        <v>qui</v>
      </c>
      <c r="E455" s="169">
        <f>IF(K455&lt;&gt;"",VLOOKUP(K455,'Catálogo SAP'!$A$1:$F$245,2,FALSE),"-")</f>
        <v>210</v>
      </c>
      <c r="F455" s="225">
        <v>66181</v>
      </c>
      <c r="G455" s="225">
        <v>66181</v>
      </c>
      <c r="H455" s="226"/>
      <c r="I455" s="230">
        <v>91</v>
      </c>
      <c r="J455" s="162" t="str">
        <f t="shared" si="185"/>
        <v>IMPERATRIZ</v>
      </c>
      <c r="K455" s="16">
        <v>210</v>
      </c>
      <c r="L455" s="167" t="str">
        <f>IF(K455&lt;&gt;"",VLOOKUP(K455,'Catálogo SAP'!A:F,3,FALSE),"")</f>
        <v>S.VP-01446</v>
      </c>
      <c r="M455" s="162" t="str">
        <f>IF(K455&lt;&gt;"",VLOOKUP(K455,'Catálogo SAP'!A:F,4,FALSE),"")</f>
        <v>Hora Improdutiva Basculante - C/Motorista</v>
      </c>
      <c r="N455" s="168" t="str">
        <f>IF(K455&lt;&gt;"",VLOOKUP(K455,'Catálogo SAP'!A:F,5,FALSE),"")</f>
        <v>H</v>
      </c>
      <c r="O455" s="160">
        <v>9</v>
      </c>
      <c r="P455" s="70">
        <f t="shared" si="200"/>
        <v>0</v>
      </c>
      <c r="Q455" s="163" t="e">
        <f t="shared" si="191"/>
        <v>#VALUE!</v>
      </c>
      <c r="R455" s="44" t="str">
        <f>IF(J455&lt;&gt;"",VLOOKUP(J455,'RESUMO DR'!$B$4:$E$253,4,FALSE),"-")</f>
        <v>T-01</v>
      </c>
      <c r="S455" s="58" t="str">
        <f>IF(J455&lt;&gt;"",VLOOKUP(J455,'RESUMO DR'!$B$4:$E$253,3,FALSE),"-")</f>
        <v>IMPERATRIZ</v>
      </c>
      <c r="T455" s="129"/>
      <c r="U455" s="129"/>
      <c r="V455" s="129"/>
      <c r="W455" s="128"/>
      <c r="X455" s="127"/>
      <c r="Y455" s="127"/>
      <c r="Z455" s="4"/>
      <c r="AA455" s="38"/>
    </row>
    <row r="456" spans="1:27" ht="18" customHeight="1">
      <c r="A456" s="5">
        <v>1918</v>
      </c>
      <c r="B456" s="21">
        <v>45659</v>
      </c>
      <c r="C456" s="21" t="s">
        <v>127</v>
      </c>
      <c r="D456" s="74" t="str">
        <f t="shared" si="197"/>
        <v>qui</v>
      </c>
      <c r="E456" s="169">
        <f>IF(K456&lt;&gt;"",VLOOKUP(K456,'Catálogo SAP'!$A$1:$F$245,2,FALSE),"-")</f>
        <v>210</v>
      </c>
      <c r="F456" s="16">
        <v>49810</v>
      </c>
      <c r="G456" s="16">
        <v>49810</v>
      </c>
      <c r="H456" s="22"/>
      <c r="I456" s="133">
        <v>442</v>
      </c>
      <c r="J456" s="162" t="str">
        <f t="shared" si="185"/>
        <v>Palmeirante</v>
      </c>
      <c r="K456" s="16">
        <v>210</v>
      </c>
      <c r="L456" s="167" t="str">
        <f>IF(K456&lt;&gt;"",VLOOKUP(K456,'Catálogo SAP'!A:F,3,FALSE),"")</f>
        <v>S.VP-01446</v>
      </c>
      <c r="M456" s="162" t="str">
        <f>IF(K456&lt;&gt;"",VLOOKUP(K456,'Catálogo SAP'!A:F,4,FALSE),"")</f>
        <v>Hora Improdutiva Basculante - C/Motorista</v>
      </c>
      <c r="N456" s="168" t="str">
        <f>IF(K456&lt;&gt;"",VLOOKUP(K456,'Catálogo SAP'!A:F,5,FALSE),"")</f>
        <v>H</v>
      </c>
      <c r="O456" s="160">
        <v>4</v>
      </c>
      <c r="P456" s="70">
        <f t="shared" si="200"/>
        <v>0</v>
      </c>
      <c r="Q456" s="163" t="e">
        <f t="shared" si="191"/>
        <v>#VALUE!</v>
      </c>
      <c r="R456" s="44" t="str">
        <f>IF(J456&lt;&gt;"",VLOOKUP(J456,'RESUMO DR'!$B$4:$E$253,4,FALSE),"-")</f>
        <v>T-02</v>
      </c>
      <c r="S456" s="58" t="str">
        <f>IF(J456&lt;&gt;"",VLOOKUP(J456,'RESUMO DR'!$B$4:$E$253,3,FALSE),"-")</f>
        <v>ARAGUAINA</v>
      </c>
      <c r="T456" s="129"/>
      <c r="U456" s="129"/>
      <c r="V456" s="129"/>
      <c r="W456" s="128"/>
      <c r="X456" s="127"/>
      <c r="Y456" s="127"/>
      <c r="Z456" s="4"/>
    </row>
    <row r="457" spans="1:27" ht="18" customHeight="1">
      <c r="A457" s="5"/>
      <c r="B457" s="21">
        <v>45659</v>
      </c>
      <c r="C457" s="21" t="s">
        <v>129</v>
      </c>
      <c r="D457" s="74" t="str">
        <f t="shared" si="197"/>
        <v>qui</v>
      </c>
      <c r="E457" s="169" t="str">
        <f>IF(K457&lt;&gt;"",VLOOKUP(K457,'Catálogo SAP'!$A$1:$F$245,2,FALSE),"-")</f>
        <v>-</v>
      </c>
      <c r="F457" s="16"/>
      <c r="G457" s="16"/>
      <c r="H457" s="22"/>
      <c r="I457" s="133"/>
      <c r="J457" s="162" t="str">
        <f t="shared" si="185"/>
        <v/>
      </c>
      <c r="K457" s="16"/>
      <c r="L457" s="167" t="str">
        <f>IF(K457&lt;&gt;"",VLOOKUP(K457,'Catálogo SAP'!A:F,3,FALSE),"")</f>
        <v/>
      </c>
      <c r="M457" s="162" t="str">
        <f>IF(K457&lt;&gt;"",VLOOKUP(K457,'Catálogo SAP'!A:F,4,FALSE),"")</f>
        <v/>
      </c>
      <c r="N457" s="168" t="str">
        <f>IF(K457&lt;&gt;"",VLOOKUP(K457,'Catálogo SAP'!A:F,5,FALSE),"")</f>
        <v/>
      </c>
      <c r="O457" s="160"/>
      <c r="P457" s="70" t="str">
        <f t="shared" si="200"/>
        <v>-</v>
      </c>
      <c r="Q457" s="163" t="str">
        <f t="shared" si="191"/>
        <v>-</v>
      </c>
      <c r="R457" s="44" t="str">
        <f>IF(J457&lt;&gt;"",VLOOKUP(J457,'RESUMO DR'!$B$4:$E$253,4,FALSE),"-")</f>
        <v>-</v>
      </c>
      <c r="S457" s="58" t="str">
        <f>IF(J457&lt;&gt;"",VLOOKUP(J457,'RESUMO DR'!$B$4:$E$253,3,FALSE),"-")</f>
        <v>-</v>
      </c>
      <c r="T457" s="129"/>
      <c r="U457" s="129"/>
      <c r="V457" s="129"/>
      <c r="W457" s="128"/>
      <c r="X457" s="127"/>
      <c r="Y457" s="127"/>
      <c r="Z457" s="4"/>
    </row>
    <row r="458" spans="1:27" ht="18" customHeight="1">
      <c r="A458" s="5">
        <v>1939</v>
      </c>
      <c r="B458" s="21">
        <v>45659</v>
      </c>
      <c r="C458" s="21" t="s">
        <v>298</v>
      </c>
      <c r="D458" s="74" t="str">
        <f t="shared" si="197"/>
        <v>qui</v>
      </c>
      <c r="E458" s="169">
        <f>IF(K458&lt;&gt;"",VLOOKUP(K458,'Catálogo SAP'!$A$1:$F$245,2,FALSE),"-")</f>
        <v>170</v>
      </c>
      <c r="F458" s="225">
        <v>558</v>
      </c>
      <c r="G458" s="225">
        <v>558</v>
      </c>
      <c r="H458" s="226"/>
      <c r="I458" s="230">
        <v>148</v>
      </c>
      <c r="J458" s="162" t="str">
        <f t="shared" si="185"/>
        <v>RIBAMAR FIQUENE</v>
      </c>
      <c r="K458" s="16">
        <v>170</v>
      </c>
      <c r="L458" s="167" t="str">
        <f>IF(K458&lt;&gt;"",VLOOKUP(K458,'Catálogo SAP'!A:F,3,FALSE),"")</f>
        <v>S.VP-01442</v>
      </c>
      <c r="M458" s="162" t="str">
        <f>IF(K458&lt;&gt;"",VLOOKUP(K458,'Catálogo SAP'!A:F,4,FALSE),"")</f>
        <v>Hora Improdutiva Pa Carregadeira C/Operador</v>
      </c>
      <c r="N458" s="168" t="str">
        <f>IF(K458&lt;&gt;"",VLOOKUP(K458,'Catálogo SAP'!A:F,5,FALSE),"")</f>
        <v>H</v>
      </c>
      <c r="O458" s="160">
        <v>9</v>
      </c>
      <c r="P458" s="70">
        <f t="shared" si="200"/>
        <v>0</v>
      </c>
      <c r="Q458" s="163" t="e">
        <f t="shared" si="191"/>
        <v>#VALUE!</v>
      </c>
      <c r="R458" s="44" t="str">
        <f>IF(J458&lt;&gt;"",VLOOKUP(J458,'RESUMO DR'!$B$4:$E$253,4,FALSE),"-")</f>
        <v>T-01</v>
      </c>
      <c r="S458" s="58" t="str">
        <f>IF(J458&lt;&gt;"",VLOOKUP(J458,'RESUMO DR'!$B$4:$E$253,3,FALSE),"-")</f>
        <v>IMPERATRIZ</v>
      </c>
      <c r="T458" s="129"/>
      <c r="U458" s="129"/>
      <c r="V458" s="129"/>
      <c r="W458" s="128"/>
      <c r="X458" s="127"/>
      <c r="Y458" s="127"/>
      <c r="Z458" s="4"/>
    </row>
    <row r="459" spans="1:27" ht="18" customHeight="1">
      <c r="A459" s="5">
        <v>1925</v>
      </c>
      <c r="B459" s="21">
        <v>45659</v>
      </c>
      <c r="C459" s="21" t="s">
        <v>131</v>
      </c>
      <c r="D459" s="74" t="str">
        <f t="shared" si="197"/>
        <v>qui</v>
      </c>
      <c r="E459" s="169">
        <f>IF(K459&lt;&gt;"",VLOOKUP(K459,'Catálogo SAP'!$A$1:$F$245,2,FALSE),"-")</f>
        <v>530</v>
      </c>
      <c r="F459" s="16">
        <v>10593</v>
      </c>
      <c r="G459" s="16">
        <v>10593</v>
      </c>
      <c r="H459" s="22"/>
      <c r="I459" s="133">
        <v>195</v>
      </c>
      <c r="J459" s="162" t="str">
        <f t="shared" si="185"/>
        <v>PORTO FRANCO</v>
      </c>
      <c r="K459" s="16">
        <v>530</v>
      </c>
      <c r="L459" s="167" t="str">
        <f>IF(K459&lt;&gt;"",VLOOKUP(K459,'Catálogo SAP'!A:F,3,FALSE),"")</f>
        <v>S.VP-01470</v>
      </c>
      <c r="M459" s="162" t="str">
        <f>IF(K459&lt;&gt;"",VLOOKUP(K459,'Catálogo SAP'!A:F,4,FALSE),"")</f>
        <v>Hora Improdutiva Escavadeira Hidraulica</v>
      </c>
      <c r="N459" s="168" t="str">
        <f>IF(K459&lt;&gt;"",VLOOKUP(K459,'Catálogo SAP'!A:F,5,FALSE),"")</f>
        <v>H</v>
      </c>
      <c r="O459" s="160">
        <v>9</v>
      </c>
      <c r="P459" s="70">
        <f t="shared" si="200"/>
        <v>0</v>
      </c>
      <c r="Q459" s="163" t="e">
        <f t="shared" si="191"/>
        <v>#VALUE!</v>
      </c>
      <c r="R459" s="44" t="str">
        <f>IF(J459&lt;&gt;"",VLOOKUP(J459,'RESUMO DR'!$B$4:$E$253,4,FALSE),"-")</f>
        <v>T-01</v>
      </c>
      <c r="S459" s="58" t="str">
        <f>IF(J459&lt;&gt;"",VLOOKUP(J459,'RESUMO DR'!$B$4:$E$253,3,FALSE),"-")</f>
        <v>IMPERATRIZ</v>
      </c>
      <c r="T459" s="129"/>
      <c r="U459" s="129"/>
      <c r="V459" s="129"/>
      <c r="W459" s="128"/>
      <c r="X459" s="127"/>
      <c r="Y459" s="127"/>
      <c r="Z459" s="4"/>
    </row>
    <row r="460" spans="1:27" ht="18" customHeight="1">
      <c r="A460" s="5"/>
      <c r="B460" s="21">
        <v>45659</v>
      </c>
      <c r="C460" s="21" t="s">
        <v>131</v>
      </c>
      <c r="D460" s="74" t="str">
        <f t="shared" si="197"/>
        <v>qui</v>
      </c>
      <c r="E460" s="169" t="str">
        <f>IF(K460&lt;&gt;"",VLOOKUP(K460,'Catálogo SAP'!$A$1:$F$245,2,FALSE),"-")</f>
        <v>-</v>
      </c>
      <c r="F460" s="225"/>
      <c r="G460" s="225"/>
      <c r="H460" s="226"/>
      <c r="I460" s="230"/>
      <c r="J460" s="162" t="str">
        <f t="shared" si="185"/>
        <v/>
      </c>
      <c r="K460" s="16"/>
      <c r="L460" s="167" t="str">
        <f>IF(K460&lt;&gt;"",VLOOKUP(K460,'Catálogo SAP'!A:F,3,FALSE),"")</f>
        <v/>
      </c>
      <c r="M460" s="162" t="str">
        <f>IF(K460&lt;&gt;"",VLOOKUP(K460,'Catálogo SAP'!A:F,4,FALSE),"")</f>
        <v/>
      </c>
      <c r="N460" s="168" t="str">
        <f>IF(K460&lt;&gt;"",VLOOKUP(K460,'Catálogo SAP'!A:F,5,FALSE),"")</f>
        <v/>
      </c>
      <c r="O460" s="160"/>
      <c r="P460" s="70" t="str">
        <f t="shared" si="200"/>
        <v>-</v>
      </c>
      <c r="Q460" s="163" t="str">
        <f t="shared" si="191"/>
        <v>-</v>
      </c>
      <c r="R460" s="44" t="str">
        <f>IF(J460&lt;&gt;"",VLOOKUP(J460,'RESUMO DR'!$B$4:$E$253,4,FALSE),"-")</f>
        <v>-</v>
      </c>
      <c r="S460" s="58" t="str">
        <f>IF(J460&lt;&gt;"",VLOOKUP(J460,'RESUMO DR'!$B$4:$E$253,3,FALSE),"-")</f>
        <v>-</v>
      </c>
      <c r="T460" s="129"/>
      <c r="U460" s="129"/>
      <c r="V460" s="129"/>
      <c r="W460" s="128"/>
      <c r="X460" s="127"/>
      <c r="Y460" s="127"/>
      <c r="Z460" s="4"/>
    </row>
    <row r="461" spans="1:27" ht="18" customHeight="1">
      <c r="A461" s="5">
        <v>1918</v>
      </c>
      <c r="B461" s="21">
        <v>45659</v>
      </c>
      <c r="C461" s="21" t="s">
        <v>311</v>
      </c>
      <c r="D461" s="74" t="str">
        <f t="shared" si="197"/>
        <v>qui</v>
      </c>
      <c r="E461" s="169">
        <f>IF(K461&lt;&gt;"",VLOOKUP(K461,'Catálogo SAP'!$A$1:$F$245,2,FALSE),"-")</f>
        <v>130</v>
      </c>
      <c r="F461" s="16">
        <v>1172</v>
      </c>
      <c r="G461" s="16">
        <v>1172</v>
      </c>
      <c r="H461" s="22"/>
      <c r="I461" s="133">
        <v>442</v>
      </c>
      <c r="J461" s="162" t="str">
        <f t="shared" si="185"/>
        <v>Palmeirante</v>
      </c>
      <c r="K461" s="16">
        <v>130</v>
      </c>
      <c r="L461" s="167" t="str">
        <f>IF(K461&lt;&gt;"",VLOOKUP(K461,'Catálogo SAP'!A:F,3,FALSE),"")</f>
        <v>S.VP-01438</v>
      </c>
      <c r="M461" s="162" t="str">
        <f>IF(K461&lt;&gt;"",VLOOKUP(K461,'Catálogo SAP'!A:F,4,FALSE),"")</f>
        <v>Hr Improdutiva Retroescavadeira C/Operador</v>
      </c>
      <c r="N461" s="168" t="str">
        <f>IF(K461&lt;&gt;"",VLOOKUP(K461,'Catálogo SAP'!A:F,5,FALSE),"")</f>
        <v>H</v>
      </c>
      <c r="O461" s="160">
        <v>4</v>
      </c>
      <c r="P461" s="70">
        <f t="shared" si="200"/>
        <v>0</v>
      </c>
      <c r="Q461" s="163" t="e">
        <f t="shared" si="191"/>
        <v>#VALUE!</v>
      </c>
      <c r="R461" s="44" t="str">
        <f>IF(J461&lt;&gt;"",VLOOKUP(J461,'RESUMO DR'!$B$4:$E$253,4,FALSE),"-")</f>
        <v>T-02</v>
      </c>
      <c r="S461" s="58" t="str">
        <f>IF(J461&lt;&gt;"",VLOOKUP(J461,'RESUMO DR'!$B$4:$E$253,3,FALSE),"-")</f>
        <v>ARAGUAINA</v>
      </c>
      <c r="T461" s="129"/>
      <c r="U461" s="129"/>
      <c r="V461" s="129"/>
      <c r="W461" s="128"/>
      <c r="X461" s="127"/>
      <c r="Y461" s="127"/>
      <c r="Z461" s="4"/>
    </row>
    <row r="462" spans="1:27" ht="18" customHeight="1">
      <c r="A462" s="5"/>
      <c r="B462" s="21">
        <v>45659</v>
      </c>
      <c r="C462" s="21" t="s">
        <v>311</v>
      </c>
      <c r="D462" s="74" t="str">
        <f t="shared" si="197"/>
        <v>qui</v>
      </c>
      <c r="E462" s="169" t="str">
        <f>IF(K462&lt;&gt;"",VLOOKUP(K462,'Catálogo SAP'!$A$1:$F$245,2,FALSE),"-")</f>
        <v>-</v>
      </c>
      <c r="F462" s="16"/>
      <c r="G462" s="16"/>
      <c r="H462" s="22"/>
      <c r="I462" s="133"/>
      <c r="J462" s="162" t="str">
        <f t="shared" si="185"/>
        <v/>
      </c>
      <c r="K462" s="16"/>
      <c r="L462" s="167" t="str">
        <f>IF(K462&lt;&gt;"",VLOOKUP(K462,'Catálogo SAP'!A:F,3,FALSE),"")</f>
        <v/>
      </c>
      <c r="M462" s="162" t="str">
        <f>IF(K462&lt;&gt;"",VLOOKUP(K462,'Catálogo SAP'!A:F,4,FALSE),"")</f>
        <v/>
      </c>
      <c r="N462" s="168" t="str">
        <f>IF(K462&lt;&gt;"",VLOOKUP(K462,'Catálogo SAP'!A:F,5,FALSE),"")</f>
        <v/>
      </c>
      <c r="O462" s="160"/>
      <c r="P462" s="70" t="str">
        <f t="shared" si="200"/>
        <v>-</v>
      </c>
      <c r="Q462" s="163" t="str">
        <f t="shared" si="191"/>
        <v>-</v>
      </c>
      <c r="R462" s="44" t="str">
        <f>IF(J462&lt;&gt;"",VLOOKUP(J462,'RESUMO DR'!$B$4:$E$253,4,FALSE),"-")</f>
        <v>-</v>
      </c>
      <c r="S462" s="58" t="str">
        <f>IF(J462&lt;&gt;"",VLOOKUP(J462,'RESUMO DR'!$B$4:$E$253,3,FALSE),"-")</f>
        <v>-</v>
      </c>
      <c r="T462" s="129"/>
      <c r="U462" s="129"/>
      <c r="V462" s="129"/>
      <c r="W462" s="128"/>
      <c r="X462" s="127"/>
      <c r="Y462" s="127"/>
      <c r="Z462" s="4"/>
    </row>
    <row r="463" spans="1:27" ht="18" customHeight="1">
      <c r="A463" s="5">
        <v>1918</v>
      </c>
      <c r="B463" s="21">
        <v>45659</v>
      </c>
      <c r="C463" s="21" t="s">
        <v>305</v>
      </c>
      <c r="D463" s="74" t="str">
        <f t="shared" si="197"/>
        <v>qui</v>
      </c>
      <c r="E463" s="169">
        <f>IF(K463&lt;&gt;"",VLOOKUP(K463,'Catálogo SAP'!$A$1:$F$245,2,FALSE),"-")</f>
        <v>290</v>
      </c>
      <c r="F463" s="16">
        <v>221</v>
      </c>
      <c r="G463" s="16">
        <v>221</v>
      </c>
      <c r="H463" s="22"/>
      <c r="I463" s="133">
        <v>442</v>
      </c>
      <c r="J463" s="162" t="str">
        <f t="shared" si="185"/>
        <v>Palmeirante</v>
      </c>
      <c r="K463" s="16">
        <v>290</v>
      </c>
      <c r="L463" s="167" t="str">
        <f>IF(K463&lt;&gt;"",VLOOKUP(K463,'Catálogo SAP'!A:F,3,FALSE),"")</f>
        <v>S.VP-01454</v>
      </c>
      <c r="M463" s="162" t="str">
        <f>IF(K463&lt;&gt;"",VLOOKUP(K463,'Catálogo SAP'!A:F,4,FALSE),"")</f>
        <v>Hora Improdutiva Motoniveladora C/Operador</v>
      </c>
      <c r="N463" s="168" t="str">
        <f>IF(K463&lt;&gt;"",VLOOKUP(K463,'Catálogo SAP'!A:F,5,FALSE),"")</f>
        <v>H</v>
      </c>
      <c r="O463" s="160">
        <v>4</v>
      </c>
      <c r="P463" s="70">
        <f t="shared" si="200"/>
        <v>0</v>
      </c>
      <c r="Q463" s="163" t="e">
        <f t="shared" si="191"/>
        <v>#VALUE!</v>
      </c>
      <c r="R463" s="44" t="str">
        <f>IF(J463&lt;&gt;"",VLOOKUP(J463,'RESUMO DR'!$B$4:$E$253,4,FALSE),"-")</f>
        <v>T-02</v>
      </c>
      <c r="S463" s="58" t="str">
        <f>IF(J463&lt;&gt;"",VLOOKUP(J463,'RESUMO DR'!$B$4:$E$253,3,FALSE),"-")</f>
        <v>ARAGUAINA</v>
      </c>
      <c r="T463" s="129"/>
      <c r="U463" s="129"/>
      <c r="V463" s="129"/>
      <c r="W463" s="128"/>
      <c r="X463" s="127"/>
      <c r="Y463" s="127"/>
      <c r="Z463" s="4"/>
    </row>
    <row r="464" spans="1:27" ht="18" customHeight="1">
      <c r="A464" s="5"/>
      <c r="B464" s="21">
        <v>45659</v>
      </c>
      <c r="C464" s="21" t="s">
        <v>305</v>
      </c>
      <c r="D464" s="74" t="str">
        <f t="shared" si="197"/>
        <v>qui</v>
      </c>
      <c r="E464" s="169" t="str">
        <f>IF(K464&lt;&gt;"",VLOOKUP(K464,'Catálogo SAP'!$A$1:$F$245,2,FALSE),"-")</f>
        <v>-</v>
      </c>
      <c r="F464" s="16"/>
      <c r="G464" s="16"/>
      <c r="H464" s="22"/>
      <c r="I464" s="133"/>
      <c r="J464" s="162" t="str">
        <f t="shared" si="185"/>
        <v/>
      </c>
      <c r="K464" s="16"/>
      <c r="L464" s="167" t="str">
        <f>IF(K464&lt;&gt;"",VLOOKUP(K464,'Catálogo SAP'!A:F,3,FALSE),"")</f>
        <v/>
      </c>
      <c r="M464" s="162" t="str">
        <f>IF(K464&lt;&gt;"",VLOOKUP(K464,'Catálogo SAP'!A:F,4,FALSE),"")</f>
        <v/>
      </c>
      <c r="N464" s="168" t="str">
        <f>IF(K464&lt;&gt;"",VLOOKUP(K464,'Catálogo SAP'!A:F,5,FALSE),"")</f>
        <v/>
      </c>
      <c r="O464" s="160"/>
      <c r="P464" s="70" t="str">
        <f t="shared" si="200"/>
        <v>-</v>
      </c>
      <c r="Q464" s="163" t="str">
        <f t="shared" si="191"/>
        <v>-</v>
      </c>
      <c r="R464" s="44" t="str">
        <f>IF(J464&lt;&gt;"",VLOOKUP(J464,'RESUMO DR'!$B$4:$E$253,4,FALSE),"-")</f>
        <v>-</v>
      </c>
      <c r="S464" s="58" t="str">
        <f>IF(J464&lt;&gt;"",VLOOKUP(J464,'RESUMO DR'!$B$4:$E$253,3,FALSE),"-")</f>
        <v>-</v>
      </c>
      <c r="T464" s="129"/>
      <c r="U464" s="129"/>
      <c r="V464" s="129"/>
      <c r="W464" s="128"/>
      <c r="X464" s="127"/>
      <c r="Y464" s="127"/>
      <c r="Z464" s="4"/>
    </row>
    <row r="465" spans="1:26" ht="18" customHeight="1">
      <c r="A465" s="5">
        <v>1921</v>
      </c>
      <c r="B465" s="21">
        <v>45659</v>
      </c>
      <c r="C465" s="21" t="s">
        <v>299</v>
      </c>
      <c r="D465" s="74" t="str">
        <f t="shared" si="197"/>
        <v>qui</v>
      </c>
      <c r="E465" s="169">
        <f>IF(K465&lt;&gt;"",VLOOKUP(K465,'Catálogo SAP'!$A$1:$F$245,2,FALSE),"-")</f>
        <v>170</v>
      </c>
      <c r="F465" s="225">
        <v>137</v>
      </c>
      <c r="G465" s="225">
        <v>137</v>
      </c>
      <c r="H465" s="226"/>
      <c r="I465" s="230">
        <v>563</v>
      </c>
      <c r="J465" s="162" t="str">
        <f t="shared" si="185"/>
        <v>Tupirama</v>
      </c>
      <c r="K465" s="16">
        <v>170</v>
      </c>
      <c r="L465" s="167" t="str">
        <f>IF(K465&lt;&gt;"",VLOOKUP(K465,'Catálogo SAP'!A:F,3,FALSE),"")</f>
        <v>S.VP-01442</v>
      </c>
      <c r="M465" s="162" t="str">
        <f>IF(K465&lt;&gt;"",VLOOKUP(K465,'Catálogo SAP'!A:F,4,FALSE),"")</f>
        <v>Hora Improdutiva Pa Carregadeira C/Operador</v>
      </c>
      <c r="N465" s="168" t="str">
        <f>IF(K465&lt;&gt;"",VLOOKUP(K465,'Catálogo SAP'!A:F,5,FALSE),"")</f>
        <v>H</v>
      </c>
      <c r="O465" s="160">
        <v>9</v>
      </c>
      <c r="P465" s="70">
        <f t="shared" si="200"/>
        <v>0</v>
      </c>
      <c r="Q465" s="163" t="e">
        <f t="shared" si="191"/>
        <v>#VALUE!</v>
      </c>
      <c r="R465" s="44" t="str">
        <f>IF(J465&lt;&gt;"",VLOOKUP(J465,'RESUMO DR'!$B$4:$E$253,4,FALSE),"-")</f>
        <v>T-03</v>
      </c>
      <c r="S465" s="58" t="str">
        <f>IF(J465&lt;&gt;"",VLOOKUP(J465,'RESUMO DR'!$B$4:$E$253,3,FALSE),"-")</f>
        <v>PALMAS</v>
      </c>
      <c r="T465" s="129"/>
      <c r="U465" s="129"/>
      <c r="V465" s="129"/>
      <c r="W465" s="128"/>
      <c r="X465" s="127"/>
      <c r="Y465" s="127"/>
      <c r="Z465" s="4"/>
    </row>
    <row r="466" spans="1:26" ht="18" customHeight="1">
      <c r="A466" s="5"/>
      <c r="B466" s="21">
        <v>45659</v>
      </c>
      <c r="C466" s="21" t="s">
        <v>300</v>
      </c>
      <c r="D466" s="74" t="str">
        <f t="shared" si="197"/>
        <v>qui</v>
      </c>
      <c r="E466" s="169" t="str">
        <f>IF(K466&lt;&gt;"",VLOOKUP(K466,'Catálogo SAP'!$A$1:$F$245,2,FALSE),"-")</f>
        <v>-</v>
      </c>
      <c r="F466" s="225"/>
      <c r="G466" s="225"/>
      <c r="H466" s="226"/>
      <c r="I466" s="230"/>
      <c r="J466" s="162" t="str">
        <f t="shared" si="185"/>
        <v/>
      </c>
      <c r="K466" s="16"/>
      <c r="L466" s="167" t="str">
        <f>IF(K466&lt;&gt;"",VLOOKUP(K466,'Catálogo SAP'!A:F,3,FALSE),"")</f>
        <v/>
      </c>
      <c r="M466" s="162" t="str">
        <f>IF(K466&lt;&gt;"",VLOOKUP(K466,'Catálogo SAP'!A:F,4,FALSE),"")</f>
        <v/>
      </c>
      <c r="N466" s="168" t="str">
        <f>IF(K466&lt;&gt;"",VLOOKUP(K466,'Catálogo SAP'!A:F,5,FALSE),"")</f>
        <v/>
      </c>
      <c r="O466" s="160"/>
      <c r="P466" s="70" t="str">
        <f t="shared" si="200"/>
        <v>-</v>
      </c>
      <c r="Q466" s="163" t="str">
        <f t="shared" si="191"/>
        <v>-</v>
      </c>
      <c r="R466" s="44" t="str">
        <f>IF(J466&lt;&gt;"",VLOOKUP(J466,'RESUMO DR'!$B$4:$E$253,4,FALSE),"-")</f>
        <v>-</v>
      </c>
      <c r="S466" s="58" t="str">
        <f>IF(J466&lt;&gt;"",VLOOKUP(J466,'RESUMO DR'!$B$4:$E$253,3,FALSE),"-")</f>
        <v>-</v>
      </c>
      <c r="T466" s="129"/>
      <c r="U466" s="129"/>
      <c r="V466" s="129"/>
      <c r="W466" s="128"/>
      <c r="X466" s="127"/>
      <c r="Y466" s="127"/>
      <c r="Z466" s="4"/>
    </row>
    <row r="467" spans="1:26" ht="18" customHeight="1">
      <c r="A467" s="5">
        <v>1922</v>
      </c>
      <c r="B467" s="21">
        <v>45659</v>
      </c>
      <c r="C467" s="21" t="s">
        <v>134</v>
      </c>
      <c r="D467" s="74" t="str">
        <f t="shared" si="197"/>
        <v>qui</v>
      </c>
      <c r="E467" s="169">
        <f>IF(K467&lt;&gt;"",VLOOKUP(K467,'Catálogo SAP'!$A$1:$F$245,2,FALSE),"-")</f>
        <v>490</v>
      </c>
      <c r="F467" s="225">
        <v>3403</v>
      </c>
      <c r="G467" s="225">
        <v>3403</v>
      </c>
      <c r="H467" s="226"/>
      <c r="I467" s="230">
        <v>91</v>
      </c>
      <c r="J467" s="162" t="str">
        <f t="shared" si="185"/>
        <v>IMPERATRIZ</v>
      </c>
      <c r="K467" s="16">
        <v>490</v>
      </c>
      <c r="L467" s="167" t="str">
        <f>IF(K467&lt;&gt;"",VLOOKUP(K467,'Catálogo SAP'!A:F,3,FALSE),"")</f>
        <v>S.VP-01466</v>
      </c>
      <c r="M467" s="162" t="str">
        <f>IF(K467&lt;&gt;"",VLOOKUP(K467,'Catálogo SAP'!A:F,4,FALSE),"")</f>
        <v>Hora Improdutiva Miniescavadeira Hidraulica C/ Operador</v>
      </c>
      <c r="N467" s="168" t="str">
        <f>IF(K467&lt;&gt;"",VLOOKUP(K467,'Catálogo SAP'!A:F,5,FALSE),"")</f>
        <v>H</v>
      </c>
      <c r="O467" s="160">
        <v>9</v>
      </c>
      <c r="P467" s="70">
        <f t="shared" si="200"/>
        <v>0</v>
      </c>
      <c r="Q467" s="163" t="e">
        <f t="shared" si="191"/>
        <v>#VALUE!</v>
      </c>
      <c r="R467" s="44" t="str">
        <f>IF(J467&lt;&gt;"",VLOOKUP(J467,'RESUMO DR'!$B$4:$E$253,4,FALSE),"-")</f>
        <v>T-01</v>
      </c>
      <c r="S467" s="58" t="str">
        <f>IF(J467&lt;&gt;"",VLOOKUP(J467,'RESUMO DR'!$B$4:$E$253,3,FALSE),"-")</f>
        <v>IMPERATRIZ</v>
      </c>
      <c r="T467" s="129"/>
      <c r="U467" s="129"/>
      <c r="V467" s="129"/>
      <c r="W467" s="128"/>
      <c r="X467" s="127"/>
      <c r="Y467" s="127"/>
      <c r="Z467" s="4"/>
    </row>
    <row r="468" spans="1:26" ht="18" customHeight="1">
      <c r="A468" s="5"/>
      <c r="B468" s="21">
        <v>45659</v>
      </c>
      <c r="C468" s="21" t="s">
        <v>134</v>
      </c>
      <c r="D468" s="74" t="str">
        <f t="shared" si="197"/>
        <v>qui</v>
      </c>
      <c r="E468" s="169" t="str">
        <f>IF(K468&lt;&gt;"",VLOOKUP(K468,'Catálogo SAP'!$A$1:$F$245,2,FALSE),"-")</f>
        <v>-</v>
      </c>
      <c r="F468" s="225"/>
      <c r="G468" s="225"/>
      <c r="H468" s="226"/>
      <c r="I468" s="230"/>
      <c r="J468" s="162" t="str">
        <f t="shared" si="185"/>
        <v/>
      </c>
      <c r="K468" s="16"/>
      <c r="L468" s="167" t="str">
        <f>IF(K468&lt;&gt;"",VLOOKUP(K468,'Catálogo SAP'!A:F,3,FALSE),"")</f>
        <v/>
      </c>
      <c r="M468" s="162" t="str">
        <f>IF(K468&lt;&gt;"",VLOOKUP(K468,'Catálogo SAP'!A:F,4,FALSE),"")</f>
        <v/>
      </c>
      <c r="N468" s="168" t="str">
        <f>IF(K468&lt;&gt;"",VLOOKUP(K468,'Catálogo SAP'!A:F,5,FALSE),"")</f>
        <v/>
      </c>
      <c r="O468" s="160"/>
      <c r="P468" s="70" t="str">
        <f t="shared" si="200"/>
        <v>-</v>
      </c>
      <c r="Q468" s="163" t="str">
        <f t="shared" si="191"/>
        <v>-</v>
      </c>
      <c r="R468" s="44" t="str">
        <f>IF(J468&lt;&gt;"",VLOOKUP(J468,'RESUMO DR'!$B$4:$E$253,4,FALSE),"-")</f>
        <v>-</v>
      </c>
      <c r="S468" s="58" t="str">
        <f>IF(J468&lt;&gt;"",VLOOKUP(J468,'RESUMO DR'!$B$4:$E$253,3,FALSE),"-")</f>
        <v>-</v>
      </c>
      <c r="T468" s="129"/>
      <c r="U468" s="129"/>
      <c r="V468" s="129"/>
      <c r="W468" s="128"/>
      <c r="X468" s="127"/>
      <c r="Y468" s="127"/>
      <c r="Z468" s="4"/>
    </row>
    <row r="469" spans="1:26" ht="18" customHeight="1">
      <c r="A469" s="5">
        <v>1924</v>
      </c>
      <c r="B469" s="21">
        <v>45659</v>
      </c>
      <c r="C469" s="21" t="s">
        <v>315</v>
      </c>
      <c r="D469" s="74" t="str">
        <f t="shared" si="197"/>
        <v>qui</v>
      </c>
      <c r="E469" s="169">
        <f>IF(K469&lt;&gt;"",VLOOKUP(K469,'Catálogo SAP'!$A$1:$F$245,2,FALSE),"-")</f>
        <v>170</v>
      </c>
      <c r="F469" s="225">
        <v>1389</v>
      </c>
      <c r="G469" s="225">
        <v>1389</v>
      </c>
      <c r="H469" s="226"/>
      <c r="I469" s="230">
        <v>59</v>
      </c>
      <c r="J469" s="162" t="str">
        <f t="shared" si="185"/>
        <v>JOÃO LISBOA</v>
      </c>
      <c r="K469" s="16">
        <v>170</v>
      </c>
      <c r="L469" s="167" t="str">
        <f>IF(K469&lt;&gt;"",VLOOKUP(K469,'Catálogo SAP'!A:F,3,FALSE),"")</f>
        <v>S.VP-01442</v>
      </c>
      <c r="M469" s="162" t="str">
        <f>IF(K469&lt;&gt;"",VLOOKUP(K469,'Catálogo SAP'!A:F,4,FALSE),"")</f>
        <v>Hora Improdutiva Pa Carregadeira C/Operador</v>
      </c>
      <c r="N469" s="168" t="str">
        <f>IF(K469&lt;&gt;"",VLOOKUP(K469,'Catálogo SAP'!A:F,5,FALSE),"")</f>
        <v>H</v>
      </c>
      <c r="O469" s="160">
        <v>9</v>
      </c>
      <c r="P469" s="70">
        <f t="shared" si="200"/>
        <v>0</v>
      </c>
      <c r="Q469" s="163" t="e">
        <f t="shared" si="191"/>
        <v>#VALUE!</v>
      </c>
      <c r="R469" s="44" t="str">
        <f>IF(J469&lt;&gt;"",VLOOKUP(J469,'RESUMO DR'!$B$4:$E$253,4,FALSE),"-")</f>
        <v>T-01</v>
      </c>
      <c r="S469" s="58" t="str">
        <f>IF(J469&lt;&gt;"",VLOOKUP(J469,'RESUMO DR'!$B$4:$E$253,3,FALSE),"-")</f>
        <v>IMPERATRIZ</v>
      </c>
      <c r="T469" s="129"/>
      <c r="U469" s="129"/>
      <c r="V469" s="129"/>
      <c r="W469" s="128"/>
      <c r="X469" s="127"/>
      <c r="Y469" s="127"/>
      <c r="Z469" s="4"/>
    </row>
    <row r="470" spans="1:26" ht="18" customHeight="1">
      <c r="A470" s="5"/>
      <c r="B470" s="21">
        <v>45659</v>
      </c>
      <c r="C470" s="21" t="s">
        <v>315</v>
      </c>
      <c r="D470" s="74" t="str">
        <f t="shared" si="197"/>
        <v>qui</v>
      </c>
      <c r="E470" s="169" t="str">
        <f>IF(K470&lt;&gt;"",VLOOKUP(K470,'Catálogo SAP'!$A$1:$F$245,2,FALSE),"-")</f>
        <v>-</v>
      </c>
      <c r="F470" s="225"/>
      <c r="G470" s="225"/>
      <c r="H470" s="226"/>
      <c r="I470" s="230"/>
      <c r="J470" s="162" t="str">
        <f t="shared" si="185"/>
        <v/>
      </c>
      <c r="K470" s="225"/>
      <c r="L470" s="167" t="str">
        <f>IF(K470&lt;&gt;"",VLOOKUP(K470,'Catálogo SAP'!A:F,3,FALSE),"")</f>
        <v/>
      </c>
      <c r="M470" s="162" t="str">
        <f>IF(K470&lt;&gt;"",VLOOKUP(K470,'Catálogo SAP'!A:F,4,FALSE),"")</f>
        <v/>
      </c>
      <c r="N470" s="168" t="str">
        <f>IF(K470&lt;&gt;"",VLOOKUP(K470,'Catálogo SAP'!A:F,5,FALSE),"")</f>
        <v/>
      </c>
      <c r="O470" s="160"/>
      <c r="P470" s="70" t="str">
        <f t="shared" si="200"/>
        <v>-</v>
      </c>
      <c r="Q470" s="163" t="str">
        <f t="shared" ref="Q470:Q472" si="201">IF(K470="","-",N470*O470)</f>
        <v>-</v>
      </c>
      <c r="R470" s="44" t="str">
        <f>IF(J470&lt;&gt;"",VLOOKUP(J470,'RESUMO DR'!$B$4:$E$253,4,FALSE),"-")</f>
        <v>-</v>
      </c>
      <c r="S470" s="58" t="str">
        <f>IF(J470&lt;&gt;"",VLOOKUP(J470,'RESUMO DR'!$B$4:$E$253,3,FALSE),"-")</f>
        <v>-</v>
      </c>
      <c r="T470" s="129"/>
      <c r="U470" s="129"/>
      <c r="V470" s="129"/>
      <c r="W470" s="128"/>
      <c r="X470" s="127"/>
      <c r="Y470" s="127"/>
      <c r="Z470" s="4"/>
    </row>
    <row r="471" spans="1:26" ht="18" customHeight="1">
      <c r="A471" s="5"/>
      <c r="B471" s="21">
        <v>45659</v>
      </c>
      <c r="C471" s="21" t="s">
        <v>306</v>
      </c>
      <c r="D471" s="74" t="str">
        <f t="shared" si="197"/>
        <v>qui</v>
      </c>
      <c r="E471" s="169" t="str">
        <f>IF(K471&lt;&gt;"",VLOOKUP(K471,'Catálogo SAP'!$A$1:$F$245,2,FALSE),"-")</f>
        <v>-</v>
      </c>
      <c r="F471" s="16"/>
      <c r="G471" s="16"/>
      <c r="H471" s="22"/>
      <c r="I471" s="133"/>
      <c r="J471" s="162" t="str">
        <f t="shared" si="185"/>
        <v/>
      </c>
      <c r="K471" s="16"/>
      <c r="L471" s="167" t="str">
        <f>IF(K471&lt;&gt;"",VLOOKUP(K471,'Catálogo SAP'!A:F,3,FALSE),"")</f>
        <v/>
      </c>
      <c r="M471" s="162" t="str">
        <f>IF(K471&lt;&gt;"",VLOOKUP(K471,'Catálogo SAP'!A:F,4,FALSE),"")</f>
        <v/>
      </c>
      <c r="N471" s="168" t="str">
        <f>IF(K471&lt;&gt;"",VLOOKUP(K471,'Catálogo SAP'!A:F,5,FALSE),"")</f>
        <v/>
      </c>
      <c r="O471" s="160"/>
      <c r="P471" s="70" t="str">
        <f t="shared" si="200"/>
        <v>-</v>
      </c>
      <c r="Q471" s="163" t="str">
        <f t="shared" si="201"/>
        <v>-</v>
      </c>
      <c r="R471" s="44" t="str">
        <f>IF(J471&lt;&gt;"",VLOOKUP(J471,'RESUMO DR'!$B$4:$E$253,4,FALSE),"-")</f>
        <v>-</v>
      </c>
      <c r="S471" s="58" t="str">
        <f>IF(J471&lt;&gt;"",VLOOKUP(J471,'RESUMO DR'!$B$4:$E$253,3,FALSE),"-")</f>
        <v>-</v>
      </c>
      <c r="T471" s="129"/>
      <c r="U471" s="129"/>
      <c r="V471" s="129"/>
      <c r="W471" s="128"/>
      <c r="X471" s="127"/>
      <c r="Y471" s="127"/>
      <c r="Z471" s="4"/>
    </row>
    <row r="472" spans="1:26" ht="18" customHeight="1">
      <c r="A472" s="5"/>
      <c r="B472" s="21">
        <v>45659</v>
      </c>
      <c r="C472" s="21" t="s">
        <v>306</v>
      </c>
      <c r="D472" s="74" t="str">
        <f t="shared" si="197"/>
        <v>qui</v>
      </c>
      <c r="E472" s="169" t="str">
        <f>IF(K472&lt;&gt;"",VLOOKUP(K472,'Catálogo SAP'!$A$1:$F$245,2,FALSE),"-")</f>
        <v>-</v>
      </c>
      <c r="F472" s="16"/>
      <c r="G472" s="16"/>
      <c r="H472" s="22"/>
      <c r="I472" s="133"/>
      <c r="J472" s="162" t="str">
        <f t="shared" ref="J472:J497" si="202">IF(AND(I472&gt;=0.001,I472&lt;=16),"AÇAILÂNDIA","")&amp;IF(AND(I472&gt;=16.001,I472&lt;=44),"S.F. BREJÃO","")&amp;IF(AND(I472&gt;=44.001,I472&lt;=78),"JOÃO LISBOA","")&amp;IF(AND(I472&gt;=78.001,I472&lt;=96.397),"IMPERATRIZ","")&amp;IF(AND(I472&gt;=96.398,I472&lt;=122.82),"EDSON LOBÃO","")&amp;IF(AND(I472&gt;=122.821,I472&lt;=152.303),"RIBAMAR FIQUENE","")&amp;IF(AND(I472&gt;=152.304,I472&lt;=172.403),"CAMPESTRE","")&amp;IF(AND(I472&gt;=172.404,I472&lt;=195),"PORTO FRANCO","")&amp;IF(AND(I472&gt;=300,I472&lt;=300),"SAO LUIS","")&amp;IF(AND(I472&gt;=385.4,I472&lt;=465.4),"Palmeirante","")&amp;IF(AND(I472&gt;=465.401,I472&lt;=520.455),"Tupiratins","")&amp;IF(AND(I472&gt;=520.456,I472&lt;=536.741),"Guaraí","")&amp;IF(AND(I472&gt;=536.742,I472&lt;=580.293),"Tupirama","")&amp;IF(AND(I472&gt;=580.294,I472&lt;=608.637),"Rio dos Bois","")&amp;IF(AND(I472&gt;=608.638,I472&lt;=698.981),"Miracema","")&amp;IF(AND(I472&gt;=698.982,I472&lt;=735.6),"Porto Nacional","")&amp;IF(AND(I472&gt;=195.1,I472&lt;=213.603),"ESTREITO","")&amp;IF(AND(I472&gt;=213.604,I472&lt;=218.976),"AGUIARNÓPOLIS","")&amp;IF(AND(I472&gt;=218.977,I472&lt;=253.5),"PALMEIRAS DO TOCANTINS","")&amp;IF(AND(I472&gt;=253.501,I472&lt;=274.15),"DARCINÓPOLIS","")&amp;IF(AND(I472&gt;=274.151,I472&lt;=299.999),"BABAÇULÂNDIA","")&amp;IF(AND(I472&gt;=356.62,I472&lt;=385.4),"ARAGUAÍNA","")&amp;IF(AND(I472&gt;=300.001,I472&lt;=356.619),"BABAÇULÂNDIA","")&amp;IF(AND(I472&gt;=900,I472&lt;=902),"ENG. VLI","")</f>
        <v/>
      </c>
      <c r="K472" s="16"/>
      <c r="L472" s="167" t="str">
        <f>IF(K472&lt;&gt;"",VLOOKUP(K472,'Catálogo SAP'!A:F,3,FALSE),"")</f>
        <v/>
      </c>
      <c r="M472" s="162" t="str">
        <f>IF(K472&lt;&gt;"",VLOOKUP(K472,'Catálogo SAP'!A:F,4,FALSE),"")</f>
        <v/>
      </c>
      <c r="N472" s="168" t="str">
        <f>IF(K472&lt;&gt;"",VLOOKUP(K472,'Catálogo SAP'!A:F,5,FALSE),"")</f>
        <v/>
      </c>
      <c r="O472" s="160"/>
      <c r="P472" s="70" t="str">
        <f t="shared" si="200"/>
        <v>-</v>
      </c>
      <c r="Q472" s="163" t="str">
        <f t="shared" si="201"/>
        <v>-</v>
      </c>
      <c r="R472" s="44" t="str">
        <f>IF(J472&lt;&gt;"",VLOOKUP(J472,'RESUMO DR'!$B$4:$E$253,4,FALSE),"-")</f>
        <v>-</v>
      </c>
      <c r="S472" s="58" t="str">
        <f>IF(J472&lt;&gt;"",VLOOKUP(J472,'RESUMO DR'!$B$4:$E$253,3,FALSE),"-")</f>
        <v>-</v>
      </c>
      <c r="T472" s="129"/>
      <c r="U472" s="129"/>
      <c r="V472" s="129"/>
      <c r="W472" s="128"/>
      <c r="X472" s="127"/>
      <c r="Y472" s="127"/>
      <c r="Z472" s="4"/>
    </row>
    <row r="473" spans="1:26" ht="18" customHeight="1">
      <c r="A473" s="5">
        <v>1920</v>
      </c>
      <c r="B473" s="21">
        <v>45659</v>
      </c>
      <c r="C473" s="21" t="s">
        <v>310</v>
      </c>
      <c r="D473" s="74" t="str">
        <f t="shared" si="197"/>
        <v>qui</v>
      </c>
      <c r="E473" s="169">
        <f>IF(K473&lt;&gt;"",VLOOKUP(K473,'Catálogo SAP'!$A$1:$F$245,2,FALSE),"-")</f>
        <v>120</v>
      </c>
      <c r="F473" s="225">
        <v>138</v>
      </c>
      <c r="G473" s="16">
        <v>144</v>
      </c>
      <c r="H473" s="226"/>
      <c r="I473" s="230">
        <v>452</v>
      </c>
      <c r="J473" s="162" t="str">
        <f t="shared" si="202"/>
        <v>Palmeirante</v>
      </c>
      <c r="K473" s="16">
        <v>120</v>
      </c>
      <c r="L473" s="167" t="str">
        <f>IF(K473&lt;&gt;"",VLOOKUP(K473,'Catálogo SAP'!A:F,3,FALSE),"")</f>
        <v>S.VP-01437</v>
      </c>
      <c r="M473" s="162" t="str">
        <f>IF(K473&lt;&gt;"",VLOOKUP(K473,'Catálogo SAP'!A:F,4,FALSE),"")</f>
        <v>Hr Produtiva Retroescavadeira C/Operador</v>
      </c>
      <c r="N473" s="168" t="str">
        <f>IF(K473&lt;&gt;"",VLOOKUP(K473,'Catálogo SAP'!A:F,5,FALSE),"")</f>
        <v>H</v>
      </c>
      <c r="O473" s="160">
        <v>6</v>
      </c>
      <c r="P473" s="70">
        <f t="shared" si="200"/>
        <v>6</v>
      </c>
      <c r="Q473" s="163" t="e">
        <f t="shared" si="191"/>
        <v>#VALUE!</v>
      </c>
      <c r="R473" s="44" t="s">
        <v>192</v>
      </c>
      <c r="S473" s="58" t="s">
        <v>193</v>
      </c>
      <c r="T473" s="129"/>
      <c r="U473" s="129"/>
      <c r="V473" s="129"/>
      <c r="W473" s="128"/>
      <c r="X473" s="127"/>
      <c r="Y473" s="127"/>
      <c r="Z473" s="4"/>
    </row>
    <row r="474" spans="1:26" ht="18" customHeight="1">
      <c r="A474" s="5">
        <v>1920</v>
      </c>
      <c r="B474" s="21">
        <v>45659</v>
      </c>
      <c r="C474" s="21" t="s">
        <v>310</v>
      </c>
      <c r="D474" s="74" t="str">
        <f t="shared" ref="D474:D478" si="203">IF(B474="","-",TEXT(B474,"ddd"))</f>
        <v>qui</v>
      </c>
      <c r="E474" s="169">
        <f>IF(K474&lt;&gt;"",VLOOKUP(K474,'Catálogo SAP'!$A$1:$F$245,2,FALSE),"-")</f>
        <v>130</v>
      </c>
      <c r="F474" s="16">
        <v>144</v>
      </c>
      <c r="G474" s="16">
        <v>144</v>
      </c>
      <c r="H474" s="22"/>
      <c r="I474" s="133">
        <v>452</v>
      </c>
      <c r="J474" s="162" t="str">
        <f t="shared" si="202"/>
        <v>Palmeirante</v>
      </c>
      <c r="K474" s="16">
        <v>130</v>
      </c>
      <c r="L474" s="167" t="str">
        <f>IF(K474&lt;&gt;"",VLOOKUP(K474,'Catálogo SAP'!A:F,3,FALSE),"")</f>
        <v>S.VP-01438</v>
      </c>
      <c r="M474" s="162" t="str">
        <f>IF(K474&lt;&gt;"",VLOOKUP(K474,'Catálogo SAP'!A:F,4,FALSE),"")</f>
        <v>Hr Improdutiva Retroescavadeira C/Operador</v>
      </c>
      <c r="N474" s="168" t="str">
        <f>IF(K474&lt;&gt;"",VLOOKUP(K474,'Catálogo SAP'!A:F,5,FALSE),"")</f>
        <v>H</v>
      </c>
      <c r="O474" s="160">
        <v>3</v>
      </c>
      <c r="P474" s="70">
        <f t="shared" si="200"/>
        <v>0</v>
      </c>
      <c r="Q474" s="163" t="e">
        <f t="shared" si="191"/>
        <v>#VALUE!</v>
      </c>
      <c r="R474" s="44" t="s">
        <v>192</v>
      </c>
      <c r="S474" s="58" t="s">
        <v>193</v>
      </c>
      <c r="T474" s="129"/>
      <c r="U474" s="129"/>
      <c r="V474" s="129"/>
      <c r="W474" s="128"/>
      <c r="X474" s="127"/>
      <c r="Y474" s="127"/>
      <c r="Z474" s="4"/>
    </row>
    <row r="475" spans="1:26" ht="18" customHeight="1">
      <c r="A475" s="5">
        <v>1919</v>
      </c>
      <c r="B475" s="21">
        <v>45659</v>
      </c>
      <c r="C475" s="21" t="s">
        <v>312</v>
      </c>
      <c r="D475" s="74" t="str">
        <f t="shared" si="203"/>
        <v>qui</v>
      </c>
      <c r="E475" s="169">
        <f>IF(K475&lt;&gt;"",VLOOKUP(K475,'Catálogo SAP'!$A$1:$F$245,2,FALSE),"-")</f>
        <v>210</v>
      </c>
      <c r="F475" s="16">
        <v>72694</v>
      </c>
      <c r="G475" s="16">
        <v>72694</v>
      </c>
      <c r="H475" s="22"/>
      <c r="I475" s="133">
        <v>444</v>
      </c>
      <c r="J475" s="162" t="str">
        <f t="shared" si="202"/>
        <v>Palmeirante</v>
      </c>
      <c r="K475" s="16">
        <v>210</v>
      </c>
      <c r="L475" s="167" t="str">
        <f>IF(K475&lt;&gt;"",VLOOKUP(K475,'Catálogo SAP'!A:F,3,FALSE),"")</f>
        <v>S.VP-01446</v>
      </c>
      <c r="M475" s="162" t="str">
        <f>IF(K475&lt;&gt;"",VLOOKUP(K475,'Catálogo SAP'!A:F,4,FALSE),"")</f>
        <v>Hora Improdutiva Basculante - C/Motorista</v>
      </c>
      <c r="N475" s="168" t="str">
        <f>IF(K475&lt;&gt;"",VLOOKUP(K475,'Catálogo SAP'!A:F,5,FALSE),"")</f>
        <v>H</v>
      </c>
      <c r="O475" s="160">
        <v>4</v>
      </c>
      <c r="P475" s="70">
        <f t="shared" si="200"/>
        <v>0</v>
      </c>
      <c r="Q475" s="163" t="e">
        <f t="shared" si="191"/>
        <v>#VALUE!</v>
      </c>
      <c r="R475" s="44" t="str">
        <f>IF(J475&lt;&gt;"",VLOOKUP(J475,'RESUMO DR'!$B$4:$E$253,4,FALSE),"-")</f>
        <v>T-02</v>
      </c>
      <c r="S475" s="58" t="str">
        <f>IF(J475&lt;&gt;"",VLOOKUP(J475,'RESUMO DR'!$B$4:$E$253,3,FALSE),"-")</f>
        <v>ARAGUAINA</v>
      </c>
      <c r="T475" s="129"/>
      <c r="U475" s="129"/>
      <c r="V475" s="129"/>
      <c r="W475" s="128"/>
      <c r="X475" s="127"/>
      <c r="Y475" s="127"/>
      <c r="Z475" s="4"/>
    </row>
    <row r="476" spans="1:26" ht="18" customHeight="1">
      <c r="A476" s="5"/>
      <c r="B476" s="21">
        <v>45659</v>
      </c>
      <c r="C476" s="21" t="s">
        <v>315</v>
      </c>
      <c r="D476" s="74" t="str">
        <f t="shared" si="203"/>
        <v>qui</v>
      </c>
      <c r="E476" s="169" t="str">
        <f>IF(K476&lt;&gt;"",VLOOKUP(K476,'Catálogo SAP'!$A$1:$F$245,2,FALSE),"-")</f>
        <v>-</v>
      </c>
      <c r="F476" s="225"/>
      <c r="G476" s="225"/>
      <c r="H476" s="226"/>
      <c r="I476" s="230"/>
      <c r="J476" s="162" t="str">
        <f t="shared" si="202"/>
        <v/>
      </c>
      <c r="K476" s="16"/>
      <c r="L476" s="167" t="str">
        <f>IF(K476&lt;&gt;"",VLOOKUP(K476,'Catálogo SAP'!A:F,3,FALSE),"")</f>
        <v/>
      </c>
      <c r="M476" s="162" t="str">
        <f>IF(K476&lt;&gt;"",VLOOKUP(K476,'Catálogo SAP'!A:F,4,FALSE),"")</f>
        <v/>
      </c>
      <c r="N476" s="168" t="str">
        <f>IF(K476&lt;&gt;"",VLOOKUP(K476,'Catálogo SAP'!A:F,5,FALSE),"")</f>
        <v/>
      </c>
      <c r="O476" s="160"/>
      <c r="P476" s="70" t="str">
        <f t="shared" si="200"/>
        <v>-</v>
      </c>
      <c r="Q476" s="163" t="str">
        <f t="shared" si="191"/>
        <v>-</v>
      </c>
      <c r="R476" s="44" t="str">
        <f>IF(J476&lt;&gt;"",VLOOKUP(J476,'RESUMO DR'!$B$4:$E$253,4,FALSE),"-")</f>
        <v>-</v>
      </c>
      <c r="S476" s="58" t="str">
        <f>IF(J476&lt;&gt;"",VLOOKUP(J476,'RESUMO DR'!$B$4:$E$253,3,FALSE),"-")</f>
        <v>-</v>
      </c>
      <c r="T476" s="129"/>
      <c r="U476" s="129"/>
      <c r="V476" s="129"/>
      <c r="W476" s="128"/>
      <c r="X476" s="127"/>
      <c r="Y476" s="127"/>
      <c r="Z476" s="4"/>
    </row>
    <row r="477" spans="1:26" ht="18" customHeight="1">
      <c r="A477" s="5"/>
      <c r="B477" s="21">
        <v>45659</v>
      </c>
      <c r="C477" s="21" t="s">
        <v>138</v>
      </c>
      <c r="D477" s="74" t="str">
        <f t="shared" si="203"/>
        <v>qui</v>
      </c>
      <c r="E477" s="169" t="str">
        <f>IF(K477&lt;&gt;"",VLOOKUP(K477,'Catálogo SAP'!$A$1:$F$245,2,FALSE),"-")</f>
        <v>-</v>
      </c>
      <c r="F477" s="16"/>
      <c r="G477" s="16"/>
      <c r="H477" s="22"/>
      <c r="I477" s="133"/>
      <c r="J477" s="162" t="str">
        <f t="shared" si="202"/>
        <v/>
      </c>
      <c r="K477" s="16"/>
      <c r="L477" s="167" t="str">
        <f>IF(K477&lt;&gt;"",VLOOKUP(K477,'Catálogo SAP'!A:F,3,FALSE),"")</f>
        <v/>
      </c>
      <c r="M477" s="162" t="str">
        <f>IF(K477&lt;&gt;"",VLOOKUP(K477,'Catálogo SAP'!A:F,4,FALSE),"")</f>
        <v/>
      </c>
      <c r="N477" s="168" t="str">
        <f>IF(K477&lt;&gt;"",VLOOKUP(K477,'Catálogo SAP'!A:F,5,FALSE),"")</f>
        <v/>
      </c>
      <c r="O477" s="160"/>
      <c r="P477" s="70" t="str">
        <f t="shared" si="200"/>
        <v>-</v>
      </c>
      <c r="Q477" s="163" t="str">
        <f t="shared" ref="Q477" si="204">IF(K477="","-",N477*O477)</f>
        <v>-</v>
      </c>
      <c r="R477" s="44" t="str">
        <f>IF(J477&lt;&gt;"",VLOOKUP(J477,'RESUMO DR'!$B$4:$E$253,4,FALSE),"-")</f>
        <v>-</v>
      </c>
      <c r="S477" s="58" t="str">
        <f>IF(J477&lt;&gt;"",VLOOKUP(J477,'RESUMO DR'!$B$4:$E$253,3,FALSE),"-")</f>
        <v>-</v>
      </c>
      <c r="T477" s="129"/>
      <c r="U477" s="129"/>
      <c r="V477" s="129"/>
      <c r="W477" s="128"/>
      <c r="X477" s="127"/>
      <c r="Y477" s="127"/>
      <c r="Z477" s="4"/>
    </row>
    <row r="478" spans="1:26" ht="18" customHeight="1">
      <c r="A478" s="5"/>
      <c r="B478" s="222"/>
      <c r="C478" s="222"/>
      <c r="D478" s="74" t="str">
        <f t="shared" si="203"/>
        <v>-</v>
      </c>
      <c r="E478" s="169" t="str">
        <f>IF(K478&lt;&gt;"",VLOOKUP(K478,'Catálogo SAP'!$A$1:$F$245,2,FALSE),"-")</f>
        <v>-</v>
      </c>
      <c r="F478" s="225"/>
      <c r="G478" s="225"/>
      <c r="H478" s="226"/>
      <c r="I478" s="227"/>
      <c r="J478" s="162" t="str">
        <f t="shared" si="202"/>
        <v/>
      </c>
      <c r="K478" s="225"/>
      <c r="L478" s="167" t="str">
        <f>IF(K478&lt;&gt;"",VLOOKUP(K478,'Catálogo SAP'!A:F,3,FALSE),"")</f>
        <v/>
      </c>
      <c r="M478" s="162" t="str">
        <f>IF(K478&lt;&gt;"",VLOOKUP(K478,'Catálogo SAP'!A:F,4,FALSE),"")</f>
        <v/>
      </c>
      <c r="N478" s="168" t="str">
        <f>IF(K478&lt;&gt;"",VLOOKUP(K478,'Catálogo SAP'!A:F,5,FALSE),"")</f>
        <v/>
      </c>
      <c r="O478" s="231"/>
      <c r="P478" s="70" t="str">
        <f t="shared" si="200"/>
        <v>-</v>
      </c>
      <c r="Q478" s="229"/>
      <c r="R478" s="44" t="str">
        <f>IF(J478&lt;&gt;"",VLOOKUP(J478,'RESUMO DR'!$B$4:$E$253,4,FALSE),"-")</f>
        <v>-</v>
      </c>
      <c r="S478" s="58" t="str">
        <f>IF(J478&lt;&gt;"",VLOOKUP(J478,'RESUMO DR'!$B$4:$E$253,3,FALSE),"-")</f>
        <v>-</v>
      </c>
      <c r="T478" s="129"/>
      <c r="U478" s="129"/>
      <c r="V478" s="129"/>
      <c r="W478" s="128"/>
      <c r="X478" s="127"/>
      <c r="Y478" s="127"/>
      <c r="Z478" s="4"/>
    </row>
    <row r="479" spans="1:26" ht="18" customHeight="1">
      <c r="A479" s="5">
        <v>1568</v>
      </c>
      <c r="B479" s="21">
        <v>45660</v>
      </c>
      <c r="C479" s="21" t="s">
        <v>121</v>
      </c>
      <c r="D479" s="74" t="str">
        <f t="shared" ref="D479:D531" si="205">IF(B479="","-",TEXT(B479,"ddd"))</f>
        <v>sex</v>
      </c>
      <c r="E479" s="169">
        <f>IF(K479&lt;&gt;"",VLOOKUP(K479,'Catálogo SAP'!$A$1:$F$245,2,FALSE),"-")</f>
        <v>120</v>
      </c>
      <c r="F479" s="16">
        <v>8717</v>
      </c>
      <c r="G479" s="16">
        <v>8724</v>
      </c>
      <c r="H479" s="22"/>
      <c r="I479" s="133">
        <v>300</v>
      </c>
      <c r="J479" s="162" t="str">
        <f t="shared" si="202"/>
        <v>SAO LUIS</v>
      </c>
      <c r="K479" s="16">
        <v>120</v>
      </c>
      <c r="L479" s="167" t="str">
        <f>IF(K479&lt;&gt;"",VLOOKUP(K479,'Catálogo SAP'!A:F,3,FALSE),"")</f>
        <v>S.VP-01437</v>
      </c>
      <c r="M479" s="162" t="str">
        <f>IF(K479&lt;&gt;"",VLOOKUP(K479,'Catálogo SAP'!A:F,4,FALSE),"")</f>
        <v>Hr Produtiva Retroescavadeira C/Operador</v>
      </c>
      <c r="N479" s="168" t="str">
        <f>IF(K479&lt;&gt;"",VLOOKUP(K479,'Catálogo SAP'!A:F,5,FALSE),"")</f>
        <v>H</v>
      </c>
      <c r="O479" s="160">
        <v>7</v>
      </c>
      <c r="P479" s="70">
        <f t="shared" si="200"/>
        <v>7</v>
      </c>
      <c r="Q479" s="163" t="e">
        <f t="shared" si="191"/>
        <v>#VALUE!</v>
      </c>
      <c r="R479" s="44" t="str">
        <f>IF(J479&lt;&gt;"",VLOOKUP(J479,'RESUMO DR'!$B$4:$E$253,4,FALSE),"-")</f>
        <v>T-02</v>
      </c>
      <c r="S479" s="58" t="str">
        <f>IF(J479&lt;&gt;"",VLOOKUP(J479,'RESUMO DR'!$B$4:$E$253,3,FALSE),"-")</f>
        <v>ARAGUAINA</v>
      </c>
      <c r="T479" s="129"/>
      <c r="U479" s="129"/>
      <c r="V479" s="129"/>
      <c r="W479" s="128"/>
      <c r="X479" s="127"/>
      <c r="Y479" s="127"/>
      <c r="Z479" s="4"/>
    </row>
    <row r="480" spans="1:26" ht="18" customHeight="1">
      <c r="A480" s="5">
        <v>1568</v>
      </c>
      <c r="B480" s="21">
        <v>45660</v>
      </c>
      <c r="C480" s="21" t="s">
        <v>121</v>
      </c>
      <c r="D480" s="74" t="str">
        <f t="shared" si="205"/>
        <v>sex</v>
      </c>
      <c r="E480" s="169">
        <f>IF(K480&lt;&gt;"",VLOOKUP(K480,'Catálogo SAP'!$A$1:$F$245,2,FALSE),"-")</f>
        <v>130</v>
      </c>
      <c r="F480" s="16">
        <v>8724</v>
      </c>
      <c r="G480" s="16">
        <v>8724</v>
      </c>
      <c r="H480" s="22"/>
      <c r="I480" s="133">
        <v>300</v>
      </c>
      <c r="J480" s="162" t="str">
        <f t="shared" si="202"/>
        <v>SAO LUIS</v>
      </c>
      <c r="K480" s="16">
        <v>130</v>
      </c>
      <c r="L480" s="167" t="str">
        <f>IF(K480&lt;&gt;"",VLOOKUP(K480,'Catálogo SAP'!A:F,3,FALSE),"")</f>
        <v>S.VP-01438</v>
      </c>
      <c r="M480" s="162" t="str">
        <f>IF(K480&lt;&gt;"",VLOOKUP(K480,'Catálogo SAP'!A:F,4,FALSE),"")</f>
        <v>Hr Improdutiva Retroescavadeira C/Operador</v>
      </c>
      <c r="N480" s="168" t="str">
        <f>IF(K480&lt;&gt;"",VLOOKUP(K480,'Catálogo SAP'!A:F,5,FALSE),"")</f>
        <v>H</v>
      </c>
      <c r="O480" s="160">
        <v>1</v>
      </c>
      <c r="P480" s="70">
        <f t="shared" si="200"/>
        <v>0</v>
      </c>
      <c r="Q480" s="163" t="e">
        <f t="shared" si="191"/>
        <v>#VALUE!</v>
      </c>
      <c r="R480" s="44" t="str">
        <f>IF(J480&lt;&gt;"",VLOOKUP(J480,'RESUMO DR'!$B$4:$E$253,4,FALSE),"-")</f>
        <v>T-02</v>
      </c>
      <c r="S480" s="58" t="str">
        <f>IF(J480&lt;&gt;"",VLOOKUP(J480,'RESUMO DR'!$B$4:$E$253,3,FALSE),"-")</f>
        <v>ARAGUAINA</v>
      </c>
      <c r="T480" s="129"/>
      <c r="U480" s="129"/>
      <c r="V480" s="129"/>
      <c r="W480" s="128"/>
      <c r="X480" s="127"/>
      <c r="Y480" s="127"/>
      <c r="Z480" s="4"/>
    </row>
    <row r="481" spans="1:26" ht="18" customHeight="1">
      <c r="A481" s="5">
        <v>1933</v>
      </c>
      <c r="B481" s="21">
        <v>45660</v>
      </c>
      <c r="C481" s="21" t="s">
        <v>122</v>
      </c>
      <c r="D481" s="74" t="str">
        <f t="shared" si="205"/>
        <v>sex</v>
      </c>
      <c r="E481" s="169">
        <f>IF(K481&lt;&gt;"",VLOOKUP(K481,'Catálogo SAP'!$A$1:$F$245,2,FALSE),"-")</f>
        <v>120</v>
      </c>
      <c r="F481" s="225">
        <v>3857</v>
      </c>
      <c r="G481" s="225">
        <v>3865</v>
      </c>
      <c r="H481" s="226"/>
      <c r="I481" s="230">
        <v>378</v>
      </c>
      <c r="J481" s="162" t="str">
        <f t="shared" si="202"/>
        <v>ARAGUAÍNA</v>
      </c>
      <c r="K481" s="16">
        <v>120</v>
      </c>
      <c r="L481" s="167" t="str">
        <f>IF(K481&lt;&gt;"",VLOOKUP(K481,'Catálogo SAP'!A:F,3,FALSE),"")</f>
        <v>S.VP-01437</v>
      </c>
      <c r="M481" s="162" t="str">
        <f>IF(K481&lt;&gt;"",VLOOKUP(K481,'Catálogo SAP'!A:F,4,FALSE),"")</f>
        <v>Hr Produtiva Retroescavadeira C/Operador</v>
      </c>
      <c r="N481" s="168" t="str">
        <f>IF(K481&lt;&gt;"",VLOOKUP(K481,'Catálogo SAP'!A:F,5,FALSE),"")</f>
        <v>H</v>
      </c>
      <c r="O481" s="160">
        <v>8</v>
      </c>
      <c r="P481" s="70">
        <f t="shared" si="200"/>
        <v>8</v>
      </c>
      <c r="Q481" s="163" t="e">
        <f t="shared" si="191"/>
        <v>#VALUE!</v>
      </c>
      <c r="R481" s="44" t="str">
        <f>IF(J481&lt;&gt;"",VLOOKUP(J481,'RESUMO DR'!$B$4:$E$253,4,FALSE),"-")</f>
        <v>T-02</v>
      </c>
      <c r="S481" s="58" t="str">
        <f>IF(J481&lt;&gt;"",VLOOKUP(J481,'RESUMO DR'!$B$4:$E$253,3,FALSE),"-")</f>
        <v>ARAGUAINA</v>
      </c>
      <c r="T481" s="129"/>
      <c r="U481" s="129"/>
      <c r="V481" s="129"/>
      <c r="W481" s="128"/>
      <c r="X481" s="127"/>
      <c r="Y481" s="127"/>
      <c r="Z481" s="4"/>
    </row>
    <row r="482" spans="1:26" ht="18" customHeight="1">
      <c r="A482" s="5">
        <v>1929</v>
      </c>
      <c r="B482" s="21">
        <v>45660</v>
      </c>
      <c r="C482" s="21" t="s">
        <v>123</v>
      </c>
      <c r="D482" s="74" t="str">
        <f t="shared" si="205"/>
        <v>sex</v>
      </c>
      <c r="E482" s="169">
        <f>IF(K482&lt;&gt;"",VLOOKUP(K482,'Catálogo SAP'!$A$1:$F$245,2,FALSE),"-")</f>
        <v>120</v>
      </c>
      <c r="F482" s="225">
        <v>5873</v>
      </c>
      <c r="G482" s="225">
        <v>5881</v>
      </c>
      <c r="H482" s="226"/>
      <c r="I482" s="230">
        <v>574</v>
      </c>
      <c r="J482" s="162" t="str">
        <f t="shared" si="202"/>
        <v>Tupirama</v>
      </c>
      <c r="K482" s="16">
        <v>120</v>
      </c>
      <c r="L482" s="167" t="str">
        <f>IF(K482&lt;&gt;"",VLOOKUP(K482,'Catálogo SAP'!A:F,3,FALSE),"")</f>
        <v>S.VP-01437</v>
      </c>
      <c r="M482" s="162" t="str">
        <f>IF(K482&lt;&gt;"",VLOOKUP(K482,'Catálogo SAP'!A:F,4,FALSE),"")</f>
        <v>Hr Produtiva Retroescavadeira C/Operador</v>
      </c>
      <c r="N482" s="168" t="str">
        <f>IF(K482&lt;&gt;"",VLOOKUP(K482,'Catálogo SAP'!A:F,5,FALSE),"")</f>
        <v>H</v>
      </c>
      <c r="O482" s="160">
        <v>8</v>
      </c>
      <c r="P482" s="70">
        <f t="shared" si="200"/>
        <v>8</v>
      </c>
      <c r="Q482" s="163" t="e">
        <f t="shared" ref="Q482:Q483" si="206">IF(K482="","-",N482*O482)</f>
        <v>#VALUE!</v>
      </c>
      <c r="R482" s="44" t="str">
        <f>IF(J482&lt;&gt;"",VLOOKUP(J482,'RESUMO DR'!$B$4:$E$253,4,FALSE),"-")</f>
        <v>T-03</v>
      </c>
      <c r="S482" s="58" t="str">
        <f>IF(J482&lt;&gt;"",VLOOKUP(J482,'RESUMO DR'!$B$4:$E$253,3,FALSE),"-")</f>
        <v>PALMAS</v>
      </c>
      <c r="T482" s="129"/>
      <c r="U482" s="129"/>
      <c r="V482" s="129"/>
      <c r="W482" s="128"/>
      <c r="X482" s="127"/>
      <c r="Y482" s="127"/>
      <c r="Z482" s="4"/>
    </row>
    <row r="483" spans="1:26" ht="18" customHeight="1">
      <c r="A483" s="5"/>
      <c r="B483" s="21">
        <v>45660</v>
      </c>
      <c r="C483" s="21" t="s">
        <v>123</v>
      </c>
      <c r="D483" s="74" t="str">
        <f t="shared" ref="D483" si="207">IF(B483="","-",TEXT(B483,"ddd"))</f>
        <v>sex</v>
      </c>
      <c r="E483" s="169" t="str">
        <f>IF(K483&lt;&gt;"",VLOOKUP(K483,'Catálogo SAP'!$A$1:$F$245,2,FALSE),"-")</f>
        <v>-</v>
      </c>
      <c r="F483" s="16"/>
      <c r="G483" s="16"/>
      <c r="H483" s="22"/>
      <c r="I483" s="133"/>
      <c r="J483" s="162" t="str">
        <f t="shared" si="202"/>
        <v/>
      </c>
      <c r="K483" s="16"/>
      <c r="L483" s="167" t="str">
        <f>IF(K483&lt;&gt;"",VLOOKUP(K483,'Catálogo SAP'!A:F,3,FALSE),"")</f>
        <v/>
      </c>
      <c r="M483" s="162" t="str">
        <f>IF(K483&lt;&gt;"",VLOOKUP(K483,'Catálogo SAP'!A:F,4,FALSE),"")</f>
        <v/>
      </c>
      <c r="N483" s="168" t="str">
        <f>IF(K483&lt;&gt;"",VLOOKUP(K483,'Catálogo SAP'!A:F,5,FALSE),"")</f>
        <v/>
      </c>
      <c r="O483" s="160"/>
      <c r="P483" s="70" t="str">
        <f t="shared" si="200"/>
        <v>-</v>
      </c>
      <c r="Q483" s="163" t="str">
        <f t="shared" si="206"/>
        <v>-</v>
      </c>
      <c r="R483" s="44" t="str">
        <f>IF(J483&lt;&gt;"",VLOOKUP(J483,'RESUMO DR'!$B$4:$E$253,4,FALSE),"-")</f>
        <v>-</v>
      </c>
      <c r="S483" s="58" t="str">
        <f>IF(J483&lt;&gt;"",VLOOKUP(J483,'RESUMO DR'!$B$4:$E$253,3,FALSE),"-")</f>
        <v>-</v>
      </c>
      <c r="T483" s="129"/>
      <c r="U483" s="129"/>
      <c r="V483" s="129"/>
      <c r="W483" s="128"/>
      <c r="X483" s="127"/>
      <c r="Y483" s="127"/>
      <c r="Z483" s="4"/>
    </row>
    <row r="484" spans="1:26" ht="18" customHeight="1">
      <c r="A484" s="5">
        <v>1927</v>
      </c>
      <c r="B484" s="21">
        <v>45660</v>
      </c>
      <c r="C484" s="21" t="s">
        <v>124</v>
      </c>
      <c r="D484" s="74" t="str">
        <f t="shared" si="205"/>
        <v>sex</v>
      </c>
      <c r="E484" s="169">
        <f>IF(K484&lt;&gt;"",VLOOKUP(K484,'Catálogo SAP'!$A$1:$F$245,2,FALSE),"-")</f>
        <v>410</v>
      </c>
      <c r="F484" s="225">
        <v>418654</v>
      </c>
      <c r="G484" s="225">
        <v>418654</v>
      </c>
      <c r="H484" s="226"/>
      <c r="I484" s="230">
        <v>91</v>
      </c>
      <c r="J484" s="162" t="str">
        <f t="shared" si="202"/>
        <v>IMPERATRIZ</v>
      </c>
      <c r="K484" s="16">
        <v>410</v>
      </c>
      <c r="L484" s="167" t="str">
        <f>IF(K484&lt;&gt;"",VLOOKUP(K484,'Catálogo SAP'!A:F,3,FALSE),"")</f>
        <v>S.VP-01462</v>
      </c>
      <c r="M484" s="162" t="str">
        <f>IF(K484&lt;&gt;"",VLOOKUP(K484,'Catálogo SAP'!A:F,4,FALSE),"")</f>
        <v>Hora Improdutiva Carreta Prancha - C/ Motorista</v>
      </c>
      <c r="N484" s="168" t="str">
        <f>IF(K484&lt;&gt;"",VLOOKUP(K484,'Catálogo SAP'!A:F,5,FALSE),"")</f>
        <v>H</v>
      </c>
      <c r="O484" s="160">
        <v>8</v>
      </c>
      <c r="P484" s="70">
        <f t="shared" si="200"/>
        <v>0</v>
      </c>
      <c r="Q484" s="163" t="e">
        <f t="shared" si="191"/>
        <v>#VALUE!</v>
      </c>
      <c r="R484" s="44" t="str">
        <f>IF(J484&lt;&gt;"",VLOOKUP(J484,'RESUMO DR'!$B$4:$E$253,4,FALSE),"-")</f>
        <v>T-01</v>
      </c>
      <c r="S484" s="58" t="str">
        <f>IF(J484&lt;&gt;"",VLOOKUP(J484,'RESUMO DR'!$B$4:$E$253,3,FALSE),"-")</f>
        <v>IMPERATRIZ</v>
      </c>
      <c r="T484" s="129"/>
      <c r="U484" s="129"/>
      <c r="V484" s="129"/>
      <c r="W484" s="128"/>
      <c r="X484" s="127"/>
      <c r="Y484" s="127"/>
      <c r="Z484" s="4"/>
    </row>
    <row r="485" spans="1:26" ht="18" customHeight="1">
      <c r="A485" s="5"/>
      <c r="B485" s="21">
        <v>45660</v>
      </c>
      <c r="C485" s="21" t="s">
        <v>124</v>
      </c>
      <c r="D485" s="74" t="str">
        <f t="shared" si="205"/>
        <v>sex</v>
      </c>
      <c r="E485" s="169" t="str">
        <f>IF(K485&lt;&gt;"",VLOOKUP(K485,'Catálogo SAP'!$A$1:$F$245,2,FALSE),"-")</f>
        <v>-</v>
      </c>
      <c r="F485" s="225"/>
      <c r="G485" s="225"/>
      <c r="H485" s="226"/>
      <c r="I485" s="230"/>
      <c r="J485" s="162" t="str">
        <f t="shared" si="202"/>
        <v/>
      </c>
      <c r="K485" s="16"/>
      <c r="L485" s="167" t="str">
        <f>IF(K485&lt;&gt;"",VLOOKUP(K485,'Catálogo SAP'!A:F,3,FALSE),"")</f>
        <v/>
      </c>
      <c r="M485" s="162" t="str">
        <f>IF(K485&lt;&gt;"",VLOOKUP(K485,'Catálogo SAP'!A:F,4,FALSE),"")</f>
        <v/>
      </c>
      <c r="N485" s="168" t="str">
        <f>IF(K485&lt;&gt;"",VLOOKUP(K485,'Catálogo SAP'!A:F,5,FALSE),"")</f>
        <v/>
      </c>
      <c r="O485" s="160"/>
      <c r="P485" s="70" t="str">
        <f t="shared" si="200"/>
        <v>-</v>
      </c>
      <c r="Q485" s="163" t="str">
        <f t="shared" si="191"/>
        <v>-</v>
      </c>
      <c r="R485" s="44" t="str">
        <f>IF(J485&lt;&gt;"",VLOOKUP(J485,'RESUMO DR'!$B$4:$E$253,4,FALSE),"-")</f>
        <v>-</v>
      </c>
      <c r="S485" s="58" t="str">
        <f>IF(J485&lt;&gt;"",VLOOKUP(J485,'RESUMO DR'!$B$4:$E$253,3,FALSE),"-")</f>
        <v>-</v>
      </c>
      <c r="T485" s="129"/>
      <c r="U485" s="129"/>
      <c r="V485" s="129"/>
      <c r="W485" s="128"/>
      <c r="X485" s="127"/>
      <c r="Y485" s="127"/>
      <c r="Z485" s="4"/>
    </row>
    <row r="486" spans="1:26" ht="18" customHeight="1">
      <c r="A486" s="5">
        <v>1927</v>
      </c>
      <c r="B486" s="21">
        <v>45660</v>
      </c>
      <c r="C486" s="21" t="s">
        <v>307</v>
      </c>
      <c r="D486" s="74" t="str">
        <f t="shared" si="205"/>
        <v>sex</v>
      </c>
      <c r="E486" s="169">
        <f>IF(K486&lt;&gt;"",VLOOKUP(K486,'Catálogo SAP'!$A$1:$F$245,2,FALSE),"-")</f>
        <v>210</v>
      </c>
      <c r="F486" s="225">
        <v>66438</v>
      </c>
      <c r="G486" s="225">
        <v>66438</v>
      </c>
      <c r="H486" s="226"/>
      <c r="I486" s="230">
        <v>91</v>
      </c>
      <c r="J486" s="162" t="str">
        <f t="shared" si="202"/>
        <v>IMPERATRIZ</v>
      </c>
      <c r="K486" s="16">
        <v>210</v>
      </c>
      <c r="L486" s="167" t="str">
        <f>IF(K486&lt;&gt;"",VLOOKUP(K486,'Catálogo SAP'!A:F,3,FALSE),"")</f>
        <v>S.VP-01446</v>
      </c>
      <c r="M486" s="162" t="str">
        <f>IF(K486&lt;&gt;"",VLOOKUP(K486,'Catálogo SAP'!A:F,4,FALSE),"")</f>
        <v>Hora Improdutiva Basculante - C/Motorista</v>
      </c>
      <c r="N486" s="168" t="str">
        <f>IF(K486&lt;&gt;"",VLOOKUP(K486,'Catálogo SAP'!A:F,5,FALSE),"")</f>
        <v>H</v>
      </c>
      <c r="O486" s="160">
        <v>8</v>
      </c>
      <c r="P486" s="70">
        <f t="shared" si="200"/>
        <v>0</v>
      </c>
      <c r="Q486" s="163" t="e">
        <f t="shared" ref="Q486:Q490" si="208">IF(K486="","-",N486*O486)</f>
        <v>#VALUE!</v>
      </c>
      <c r="R486" s="44" t="str">
        <f>IF(J486&lt;&gt;"",VLOOKUP(J486,'RESUMO DR'!$B$4:$E$253,4,FALSE),"-")</f>
        <v>T-01</v>
      </c>
      <c r="S486" s="58" t="str">
        <f>IF(J486&lt;&gt;"",VLOOKUP(J486,'RESUMO DR'!$B$4:$E$253,3,FALSE),"-")</f>
        <v>IMPERATRIZ</v>
      </c>
      <c r="T486" s="129"/>
      <c r="U486" s="129"/>
      <c r="V486" s="129"/>
      <c r="W486" s="128"/>
      <c r="X486" s="127"/>
      <c r="Y486" s="127"/>
      <c r="Z486" s="4"/>
    </row>
    <row r="487" spans="1:26" ht="18" customHeight="1">
      <c r="A487" s="5">
        <v>1927</v>
      </c>
      <c r="B487" s="21">
        <v>45660</v>
      </c>
      <c r="C487" s="21" t="s">
        <v>308</v>
      </c>
      <c r="D487" s="74" t="str">
        <f t="shared" si="205"/>
        <v>sex</v>
      </c>
      <c r="E487" s="169">
        <f>IF(K487&lt;&gt;"",VLOOKUP(K487,'Catálogo SAP'!$A$1:$F$245,2,FALSE),"-")</f>
        <v>210</v>
      </c>
      <c r="F487" s="225">
        <v>66181</v>
      </c>
      <c r="G487" s="225">
        <v>66181</v>
      </c>
      <c r="H487" s="226"/>
      <c r="I487" s="230">
        <v>91</v>
      </c>
      <c r="J487" s="162" t="str">
        <f t="shared" si="202"/>
        <v>IMPERATRIZ</v>
      </c>
      <c r="K487" s="16">
        <v>210</v>
      </c>
      <c r="L487" s="167" t="str">
        <f>IF(K487&lt;&gt;"",VLOOKUP(K487,'Catálogo SAP'!A:F,3,FALSE),"")</f>
        <v>S.VP-01446</v>
      </c>
      <c r="M487" s="162" t="str">
        <f>IF(K487&lt;&gt;"",VLOOKUP(K487,'Catálogo SAP'!A:F,4,FALSE),"")</f>
        <v>Hora Improdutiva Basculante - C/Motorista</v>
      </c>
      <c r="N487" s="168" t="str">
        <f>IF(K487&lt;&gt;"",VLOOKUP(K487,'Catálogo SAP'!A:F,5,FALSE),"")</f>
        <v>H</v>
      </c>
      <c r="O487" s="160">
        <v>8</v>
      </c>
      <c r="P487" s="70">
        <f t="shared" si="200"/>
        <v>0</v>
      </c>
      <c r="Q487" s="163" t="e">
        <f t="shared" si="208"/>
        <v>#VALUE!</v>
      </c>
      <c r="R487" s="44" t="str">
        <f>IF(J487&lt;&gt;"",VLOOKUP(J487,'RESUMO DR'!$B$4:$E$253,4,FALSE),"-")</f>
        <v>T-01</v>
      </c>
      <c r="S487" s="58" t="str">
        <f>IF(J487&lt;&gt;"",VLOOKUP(J487,'RESUMO DR'!$B$4:$E$253,3,FALSE),"-")</f>
        <v>IMPERATRIZ</v>
      </c>
      <c r="T487" s="129"/>
      <c r="U487" s="129"/>
      <c r="V487" s="129"/>
      <c r="W487" s="128"/>
      <c r="X487" s="127"/>
      <c r="Y487" s="127"/>
      <c r="Z487" s="4"/>
    </row>
    <row r="488" spans="1:26" ht="18" customHeight="1">
      <c r="A488" s="5">
        <v>1932</v>
      </c>
      <c r="B488" s="21">
        <v>45660</v>
      </c>
      <c r="C488" s="21" t="s">
        <v>127</v>
      </c>
      <c r="D488" s="74" t="str">
        <f t="shared" si="205"/>
        <v>sex</v>
      </c>
      <c r="E488" s="169">
        <f>IF(K488&lt;&gt;"",VLOOKUP(K488,'Catálogo SAP'!$A$1:$F$245,2,FALSE),"-")</f>
        <v>200</v>
      </c>
      <c r="F488" s="225">
        <v>49810</v>
      </c>
      <c r="G488" s="225">
        <v>49850</v>
      </c>
      <c r="H488" s="226"/>
      <c r="I488" s="230">
        <v>442</v>
      </c>
      <c r="J488" s="162" t="str">
        <f t="shared" si="202"/>
        <v>Palmeirante</v>
      </c>
      <c r="K488" s="16">
        <v>200</v>
      </c>
      <c r="L488" s="167" t="str">
        <f>IF(K488&lt;&gt;"",VLOOKUP(K488,'Catálogo SAP'!A:F,3,FALSE),"")</f>
        <v>S.VP-01445</v>
      </c>
      <c r="M488" s="162" t="str">
        <f>IF(K488&lt;&gt;"",VLOOKUP(K488,'Catálogo SAP'!A:F,4,FALSE),"")</f>
        <v>Km Rodado Caminhão Basculante - C/Motorista</v>
      </c>
      <c r="N488" s="168" t="str">
        <f>IF(K488&lt;&gt;"",VLOOKUP(K488,'Catálogo SAP'!A:F,5,FALSE),"")</f>
        <v>KM</v>
      </c>
      <c r="O488" s="160">
        <v>40</v>
      </c>
      <c r="P488" s="70">
        <f t="shared" si="200"/>
        <v>40</v>
      </c>
      <c r="Q488" s="163" t="e">
        <f t="shared" si="208"/>
        <v>#VALUE!</v>
      </c>
      <c r="R488" s="44" t="str">
        <f>IF(J488&lt;&gt;"",VLOOKUP(J488,'RESUMO DR'!$B$4:$E$253,4,FALSE),"-")</f>
        <v>T-02</v>
      </c>
      <c r="S488" s="58" t="str">
        <f>IF(J488&lt;&gt;"",VLOOKUP(J488,'RESUMO DR'!$B$4:$E$253,3,FALSE),"-")</f>
        <v>ARAGUAINA</v>
      </c>
      <c r="T488" s="129"/>
      <c r="U488" s="129"/>
      <c r="V488" s="129"/>
      <c r="W488" s="128"/>
      <c r="X488" s="127"/>
      <c r="Y488" s="127"/>
      <c r="Z488" s="4"/>
    </row>
    <row r="489" spans="1:26" ht="18" customHeight="1">
      <c r="A489" s="5">
        <v>1935</v>
      </c>
      <c r="B489" s="21">
        <v>45660</v>
      </c>
      <c r="C489" s="21" t="s">
        <v>312</v>
      </c>
      <c r="D489" s="74" t="str">
        <f t="shared" si="205"/>
        <v>sex</v>
      </c>
      <c r="E489" s="169">
        <f>IF(K489&lt;&gt;"",VLOOKUP(K489,'Catálogo SAP'!$A$1:$F$245,2,FALSE),"-")</f>
        <v>200</v>
      </c>
      <c r="F489" s="225">
        <v>72694</v>
      </c>
      <c r="G489" s="225">
        <v>73126</v>
      </c>
      <c r="H489" s="226"/>
      <c r="I489" s="230">
        <v>442</v>
      </c>
      <c r="J489" s="162" t="str">
        <f t="shared" si="202"/>
        <v>Palmeirante</v>
      </c>
      <c r="K489" s="16">
        <v>200</v>
      </c>
      <c r="L489" s="167" t="str">
        <f>IF(K489&lt;&gt;"",VLOOKUP(K489,'Catálogo SAP'!A:F,3,FALSE),"")</f>
        <v>S.VP-01445</v>
      </c>
      <c r="M489" s="162" t="str">
        <f>IF(K489&lt;&gt;"",VLOOKUP(K489,'Catálogo SAP'!A:F,4,FALSE),"")</f>
        <v>Km Rodado Caminhão Basculante - C/Motorista</v>
      </c>
      <c r="N489" s="168" t="str">
        <f>IF(K489&lt;&gt;"",VLOOKUP(K489,'Catálogo SAP'!A:F,5,FALSE),"")</f>
        <v>KM</v>
      </c>
      <c r="O489" s="160">
        <v>432</v>
      </c>
      <c r="P489" s="70">
        <f t="shared" si="200"/>
        <v>432</v>
      </c>
      <c r="Q489" s="163" t="e">
        <f t="shared" si="208"/>
        <v>#VALUE!</v>
      </c>
      <c r="R489" s="44" t="str">
        <f>IF(J489&lt;&gt;"",VLOOKUP(J489,'RESUMO DR'!$B$4:$E$253,4,FALSE),"-")</f>
        <v>T-02</v>
      </c>
      <c r="S489" s="58" t="str">
        <f>IF(J489&lt;&gt;"",VLOOKUP(J489,'RESUMO DR'!$B$4:$E$253,3,FALSE),"-")</f>
        <v>ARAGUAINA</v>
      </c>
      <c r="T489" s="129"/>
      <c r="U489" s="129"/>
      <c r="V489" s="129"/>
      <c r="W489" s="128"/>
      <c r="X489" s="127"/>
      <c r="Y489" s="127"/>
      <c r="Z489" s="4"/>
    </row>
    <row r="490" spans="1:26" ht="18" customHeight="1">
      <c r="A490" s="5">
        <v>1927</v>
      </c>
      <c r="B490" s="21">
        <v>45660</v>
      </c>
      <c r="C490" s="21" t="s">
        <v>313</v>
      </c>
      <c r="D490" s="74" t="str">
        <f t="shared" si="205"/>
        <v>sex</v>
      </c>
      <c r="E490" s="169">
        <f>IF(K490&lt;&gt;"",VLOOKUP(K490,'Catálogo SAP'!$A$1:$F$245,2,FALSE),"-")</f>
        <v>210</v>
      </c>
      <c r="F490" s="225">
        <v>62011</v>
      </c>
      <c r="G490" s="225">
        <v>62011</v>
      </c>
      <c r="H490" s="226"/>
      <c r="I490" s="230">
        <v>91</v>
      </c>
      <c r="J490" s="162" t="str">
        <f t="shared" si="202"/>
        <v>IMPERATRIZ</v>
      </c>
      <c r="K490" s="16">
        <v>210</v>
      </c>
      <c r="L490" s="167" t="str">
        <f>IF(K490&lt;&gt;"",VLOOKUP(K490,'Catálogo SAP'!A:F,3,FALSE),"")</f>
        <v>S.VP-01446</v>
      </c>
      <c r="M490" s="162" t="str">
        <f>IF(K490&lt;&gt;"",VLOOKUP(K490,'Catálogo SAP'!A:F,4,FALSE),"")</f>
        <v>Hora Improdutiva Basculante - C/Motorista</v>
      </c>
      <c r="N490" s="168" t="str">
        <f>IF(K490&lt;&gt;"",VLOOKUP(K490,'Catálogo SAP'!A:F,5,FALSE),"")</f>
        <v>H</v>
      </c>
      <c r="O490" s="160">
        <v>8</v>
      </c>
      <c r="P490" s="70">
        <f t="shared" si="200"/>
        <v>0</v>
      </c>
      <c r="Q490" s="163" t="e">
        <f t="shared" si="208"/>
        <v>#VALUE!</v>
      </c>
      <c r="R490" s="44" t="str">
        <f>IF(J490&lt;&gt;"",VLOOKUP(J490,'RESUMO DR'!$B$4:$E$253,4,FALSE),"-")</f>
        <v>T-01</v>
      </c>
      <c r="S490" s="58" t="str">
        <f>IF(J490&lt;&gt;"",VLOOKUP(J490,'RESUMO DR'!$B$4:$E$253,3,FALSE),"-")</f>
        <v>IMPERATRIZ</v>
      </c>
      <c r="T490" s="129"/>
      <c r="U490" s="129"/>
      <c r="V490" s="129"/>
      <c r="W490" s="128"/>
      <c r="X490" s="127"/>
      <c r="Y490" s="127"/>
      <c r="Z490" s="4"/>
    </row>
    <row r="491" spans="1:26" ht="18" customHeight="1">
      <c r="A491" s="5">
        <v>1929</v>
      </c>
      <c r="B491" s="21">
        <v>45660</v>
      </c>
      <c r="C491" s="21" t="s">
        <v>129</v>
      </c>
      <c r="D491" s="74" t="str">
        <f t="shared" si="205"/>
        <v>sex</v>
      </c>
      <c r="E491" s="169">
        <f>IF(K491&lt;&gt;"",VLOOKUP(K491,'Catálogo SAP'!$A$1:$F$245,2,FALSE),"-")</f>
        <v>200</v>
      </c>
      <c r="F491" s="225">
        <v>81028</v>
      </c>
      <c r="G491" s="225">
        <v>81075</v>
      </c>
      <c r="H491" s="226"/>
      <c r="I491" s="230">
        <v>574</v>
      </c>
      <c r="J491" s="162" t="str">
        <f t="shared" si="202"/>
        <v>Tupirama</v>
      </c>
      <c r="K491" s="16">
        <v>200</v>
      </c>
      <c r="L491" s="167" t="str">
        <f>IF(K491&lt;&gt;"",VLOOKUP(K491,'Catálogo SAP'!A:F,3,FALSE),"")</f>
        <v>S.VP-01445</v>
      </c>
      <c r="M491" s="162" t="str">
        <f>IF(K491&lt;&gt;"",VLOOKUP(K491,'Catálogo SAP'!A:F,4,FALSE),"")</f>
        <v>Km Rodado Caminhão Basculante - C/Motorista</v>
      </c>
      <c r="N491" s="168" t="str">
        <f>IF(K491&lt;&gt;"",VLOOKUP(K491,'Catálogo SAP'!A:F,5,FALSE),"")</f>
        <v>KM</v>
      </c>
      <c r="O491" s="160">
        <v>47</v>
      </c>
      <c r="P491" s="70">
        <f t="shared" si="200"/>
        <v>47</v>
      </c>
      <c r="Q491" s="163" t="e">
        <f t="shared" si="191"/>
        <v>#VALUE!</v>
      </c>
      <c r="R491" s="44" t="str">
        <f>IF(J491&lt;&gt;"",VLOOKUP(J491,'RESUMO DR'!$B$4:$E$253,4,FALSE),"-")</f>
        <v>T-03</v>
      </c>
      <c r="S491" s="58" t="str">
        <f>IF(J491&lt;&gt;"",VLOOKUP(J491,'RESUMO DR'!$B$4:$E$253,3,FALSE),"-")</f>
        <v>PALMAS</v>
      </c>
      <c r="T491" s="129"/>
      <c r="U491" s="129"/>
      <c r="V491" s="129"/>
      <c r="W491" s="128"/>
      <c r="X491" s="127"/>
      <c r="Y491" s="127"/>
      <c r="Z491" s="4"/>
    </row>
    <row r="492" spans="1:26" ht="18" customHeight="1">
      <c r="A492" s="5">
        <v>1940</v>
      </c>
      <c r="B492" s="21">
        <v>45660</v>
      </c>
      <c r="C492" s="21" t="s">
        <v>298</v>
      </c>
      <c r="D492" s="74" t="str">
        <f t="shared" si="205"/>
        <v>sex</v>
      </c>
      <c r="E492" s="169">
        <f>IF(K492&lt;&gt;"",VLOOKUP(K492,'Catálogo SAP'!$A$1:$F$245,2,FALSE),"-")</f>
        <v>170</v>
      </c>
      <c r="F492" s="225">
        <v>558</v>
      </c>
      <c r="G492" s="225">
        <v>558</v>
      </c>
      <c r="H492" s="226"/>
      <c r="I492" s="230">
        <v>148</v>
      </c>
      <c r="J492" s="162" t="str">
        <f t="shared" si="202"/>
        <v>RIBAMAR FIQUENE</v>
      </c>
      <c r="K492" s="16">
        <v>170</v>
      </c>
      <c r="L492" s="167" t="str">
        <f>IF(K492&lt;&gt;"",VLOOKUP(K492,'Catálogo SAP'!A:F,3,FALSE),"")</f>
        <v>S.VP-01442</v>
      </c>
      <c r="M492" s="162" t="str">
        <f>IF(K492&lt;&gt;"",VLOOKUP(K492,'Catálogo SAP'!A:F,4,FALSE),"")</f>
        <v>Hora Improdutiva Pa Carregadeira C/Operador</v>
      </c>
      <c r="N492" s="168" t="str">
        <f>IF(K492&lt;&gt;"",VLOOKUP(K492,'Catálogo SAP'!A:F,5,FALSE),"")</f>
        <v>H</v>
      </c>
      <c r="O492" s="160">
        <v>8</v>
      </c>
      <c r="P492" s="70">
        <f t="shared" si="200"/>
        <v>0</v>
      </c>
      <c r="Q492" s="163" t="e">
        <f t="shared" si="191"/>
        <v>#VALUE!</v>
      </c>
      <c r="R492" s="44" t="str">
        <f>IF(J492&lt;&gt;"",VLOOKUP(J492,'RESUMO DR'!$B$4:$E$253,4,FALSE),"-")</f>
        <v>T-01</v>
      </c>
      <c r="S492" s="58" t="str">
        <f>IF(J492&lt;&gt;"",VLOOKUP(J492,'RESUMO DR'!$B$4:$E$253,3,FALSE),"-")</f>
        <v>IMPERATRIZ</v>
      </c>
      <c r="T492" s="129"/>
      <c r="U492" s="129"/>
      <c r="V492" s="129"/>
      <c r="W492" s="128"/>
      <c r="X492" s="127"/>
      <c r="Y492" s="127"/>
      <c r="Z492" s="4"/>
    </row>
    <row r="493" spans="1:26" ht="18" customHeight="1">
      <c r="A493" s="5">
        <v>1926</v>
      </c>
      <c r="B493" s="21">
        <v>45660</v>
      </c>
      <c r="C493" s="21" t="s">
        <v>131</v>
      </c>
      <c r="D493" s="74" t="str">
        <f t="shared" si="205"/>
        <v>sex</v>
      </c>
      <c r="E493" s="169">
        <f>IF(K493&lt;&gt;"",VLOOKUP(K493,'Catálogo SAP'!$A$1:$F$245,2,FALSE),"-")</f>
        <v>520</v>
      </c>
      <c r="F493" s="225">
        <v>10593</v>
      </c>
      <c r="G493" s="225">
        <v>10602</v>
      </c>
      <c r="H493" s="226"/>
      <c r="I493" s="230">
        <v>195</v>
      </c>
      <c r="J493" s="162" t="str">
        <f t="shared" si="202"/>
        <v>PORTO FRANCO</v>
      </c>
      <c r="K493" s="16">
        <v>520</v>
      </c>
      <c r="L493" s="167" t="str">
        <f>IF(K493&lt;&gt;"",VLOOKUP(K493,'Catálogo SAP'!A:F,3,FALSE),"")</f>
        <v>S.VP-01469</v>
      </c>
      <c r="M493" s="162" t="str">
        <f>IF(K493&lt;&gt;"",VLOOKUP(K493,'Catálogo SAP'!A:F,4,FALSE),"")</f>
        <v>Hora Produtiva Escavadeira Hidraulica</v>
      </c>
      <c r="N493" s="168" t="str">
        <f>IF(K493&lt;&gt;"",VLOOKUP(K493,'Catálogo SAP'!A:F,5,FALSE),"")</f>
        <v>H</v>
      </c>
      <c r="O493" s="160">
        <v>9</v>
      </c>
      <c r="P493" s="70">
        <f t="shared" si="200"/>
        <v>9</v>
      </c>
      <c r="Q493" s="163" t="e">
        <f t="shared" si="191"/>
        <v>#VALUE!</v>
      </c>
      <c r="R493" s="44" t="str">
        <f>IF(J493&lt;&gt;"",VLOOKUP(J493,'RESUMO DR'!$B$4:$E$253,4,FALSE),"-")</f>
        <v>T-01</v>
      </c>
      <c r="S493" s="58" t="str">
        <f>IF(J493&lt;&gt;"",VLOOKUP(J493,'RESUMO DR'!$B$4:$E$253,3,FALSE),"-")</f>
        <v>IMPERATRIZ</v>
      </c>
      <c r="T493" s="129"/>
      <c r="U493" s="129"/>
      <c r="V493" s="129"/>
      <c r="W493" s="128"/>
      <c r="X493" s="127"/>
      <c r="Y493" s="127"/>
      <c r="Z493" s="4"/>
    </row>
    <row r="494" spans="1:26" ht="18" customHeight="1">
      <c r="A494" s="5"/>
      <c r="B494" s="21">
        <v>45660</v>
      </c>
      <c r="C494" s="21" t="s">
        <v>131</v>
      </c>
      <c r="D494" s="74" t="str">
        <f t="shared" si="205"/>
        <v>sex</v>
      </c>
      <c r="E494" s="169" t="str">
        <f>IF(K494&lt;&gt;"",VLOOKUP(K494,'Catálogo SAP'!$A$1:$F$245,2,FALSE),"-")</f>
        <v>-</v>
      </c>
      <c r="F494" s="225"/>
      <c r="G494" s="225"/>
      <c r="H494" s="226"/>
      <c r="I494" s="230"/>
      <c r="J494" s="162" t="str">
        <f t="shared" si="202"/>
        <v/>
      </c>
      <c r="K494" s="16"/>
      <c r="L494" s="167" t="str">
        <f>IF(K494&lt;&gt;"",VLOOKUP(K494,'Catálogo SAP'!A:F,3,FALSE),"")</f>
        <v/>
      </c>
      <c r="M494" s="162" t="str">
        <f>IF(K494&lt;&gt;"",VLOOKUP(K494,'Catálogo SAP'!A:F,4,FALSE),"")</f>
        <v/>
      </c>
      <c r="N494" s="168" t="str">
        <f>IF(K494&lt;&gt;"",VLOOKUP(K494,'Catálogo SAP'!A:F,5,FALSE),"")</f>
        <v/>
      </c>
      <c r="O494" s="160"/>
      <c r="P494" s="70" t="str">
        <f t="shared" si="200"/>
        <v>-</v>
      </c>
      <c r="Q494" s="163" t="str">
        <f t="shared" ref="Q494:Q498" si="209">IF(K494="","-",N494*O494)</f>
        <v>-</v>
      </c>
      <c r="R494" s="44" t="str">
        <f>IF(J494&lt;&gt;"",VLOOKUP(J494,'RESUMO DR'!$B$4:$E$253,4,FALSE),"-")</f>
        <v>-</v>
      </c>
      <c r="S494" s="58" t="str">
        <f>IF(J494&lt;&gt;"",VLOOKUP(J494,'RESUMO DR'!$B$4:$E$253,3,FALSE),"-")</f>
        <v>-</v>
      </c>
      <c r="T494" s="129"/>
      <c r="U494" s="129"/>
      <c r="V494" s="129"/>
      <c r="W494" s="128"/>
      <c r="X494" s="127"/>
      <c r="Y494" s="127"/>
      <c r="Z494" s="4"/>
    </row>
    <row r="495" spans="1:26" ht="18" customHeight="1">
      <c r="A495" s="5">
        <v>1932</v>
      </c>
      <c r="B495" s="21">
        <v>45660</v>
      </c>
      <c r="C495" s="21" t="s">
        <v>311</v>
      </c>
      <c r="D495" s="74" t="str">
        <f t="shared" si="205"/>
        <v>sex</v>
      </c>
      <c r="E495" s="169">
        <f>IF(K495&lt;&gt;"",VLOOKUP(K495,'Catálogo SAP'!$A$1:$F$245,2,FALSE),"-")</f>
        <v>120</v>
      </c>
      <c r="F495" s="225">
        <v>1172</v>
      </c>
      <c r="G495" s="225">
        <v>1180</v>
      </c>
      <c r="H495" s="226"/>
      <c r="I495" s="230">
        <v>442</v>
      </c>
      <c r="J495" s="162" t="str">
        <f t="shared" si="202"/>
        <v>Palmeirante</v>
      </c>
      <c r="K495" s="16">
        <v>120</v>
      </c>
      <c r="L495" s="167" t="str">
        <f>IF(K495&lt;&gt;"",VLOOKUP(K495,'Catálogo SAP'!A:F,3,FALSE),"")</f>
        <v>S.VP-01437</v>
      </c>
      <c r="M495" s="162" t="str">
        <f>IF(K495&lt;&gt;"",VLOOKUP(K495,'Catálogo SAP'!A:F,4,FALSE),"")</f>
        <v>Hr Produtiva Retroescavadeira C/Operador</v>
      </c>
      <c r="N495" s="168" t="str">
        <f>IF(K495&lt;&gt;"",VLOOKUP(K495,'Catálogo SAP'!A:F,5,FALSE),"")</f>
        <v>H</v>
      </c>
      <c r="O495" s="160">
        <v>8</v>
      </c>
      <c r="P495" s="70">
        <f t="shared" si="200"/>
        <v>8</v>
      </c>
      <c r="Q495" s="163" t="e">
        <f t="shared" si="209"/>
        <v>#VALUE!</v>
      </c>
      <c r="R495" s="44" t="str">
        <f>IF(J495&lt;&gt;"",VLOOKUP(J495,'RESUMO DR'!$B$4:$E$253,4,FALSE),"-")</f>
        <v>T-02</v>
      </c>
      <c r="S495" s="58" t="str">
        <f>IF(J495&lt;&gt;"",VLOOKUP(J495,'RESUMO DR'!$B$4:$E$253,3,FALSE),"-")</f>
        <v>ARAGUAINA</v>
      </c>
      <c r="T495" s="129"/>
      <c r="U495" s="129"/>
      <c r="V495" s="129"/>
      <c r="W495" s="128"/>
      <c r="X495" s="127"/>
      <c r="Y495" s="127"/>
      <c r="Z495" s="4"/>
    </row>
    <row r="496" spans="1:26" ht="18" customHeight="1">
      <c r="A496" s="5"/>
      <c r="B496" s="21">
        <v>45660</v>
      </c>
      <c r="C496" s="21" t="s">
        <v>311</v>
      </c>
      <c r="D496" s="74" t="str">
        <f t="shared" si="205"/>
        <v>sex</v>
      </c>
      <c r="E496" s="169" t="str">
        <f>IF(K496&lt;&gt;"",VLOOKUP(K496,'Catálogo SAP'!$A$1:$F$245,2,FALSE),"-")</f>
        <v>-</v>
      </c>
      <c r="F496" s="225"/>
      <c r="G496" s="225"/>
      <c r="H496" s="226"/>
      <c r="I496" s="230"/>
      <c r="J496" s="162" t="str">
        <f t="shared" si="202"/>
        <v/>
      </c>
      <c r="K496" s="16"/>
      <c r="L496" s="167" t="str">
        <f>IF(K496&lt;&gt;"",VLOOKUP(K496,'Catálogo SAP'!A:F,3,FALSE),"")</f>
        <v/>
      </c>
      <c r="M496" s="162" t="str">
        <f>IF(K496&lt;&gt;"",VLOOKUP(K496,'Catálogo SAP'!A:F,4,FALSE),"")</f>
        <v/>
      </c>
      <c r="N496" s="168" t="str">
        <f>IF(K496&lt;&gt;"",VLOOKUP(K496,'Catálogo SAP'!A:F,5,FALSE),"")</f>
        <v/>
      </c>
      <c r="O496" s="160"/>
      <c r="P496" s="70" t="str">
        <f t="shared" si="200"/>
        <v>-</v>
      </c>
      <c r="Q496" s="163" t="str">
        <f t="shared" si="209"/>
        <v>-</v>
      </c>
      <c r="R496" s="44" t="str">
        <f>IF(J496&lt;&gt;"",VLOOKUP(J496,'RESUMO DR'!$B$4:$E$253,4,FALSE),"-")</f>
        <v>-</v>
      </c>
      <c r="S496" s="58" t="str">
        <f>IF(J496&lt;&gt;"",VLOOKUP(J496,'RESUMO DR'!$B$4:$E$253,3,FALSE),"-")</f>
        <v>-</v>
      </c>
      <c r="T496" s="129"/>
      <c r="U496" s="129"/>
      <c r="V496" s="129"/>
      <c r="W496" s="128"/>
      <c r="X496" s="127"/>
      <c r="Y496" s="127"/>
      <c r="Z496" s="4"/>
    </row>
    <row r="497" spans="1:26" ht="18" customHeight="1">
      <c r="A497" s="5">
        <v>1932</v>
      </c>
      <c r="B497" s="21">
        <v>45660</v>
      </c>
      <c r="C497" s="21" t="s">
        <v>305</v>
      </c>
      <c r="D497" s="74" t="str">
        <f t="shared" si="205"/>
        <v>sex</v>
      </c>
      <c r="E497" s="169">
        <f>IF(K497&lt;&gt;"",VLOOKUP(K497,'Catálogo SAP'!$A$1:$F$245,2,FALSE),"-")</f>
        <v>280</v>
      </c>
      <c r="F497" s="225">
        <v>221</v>
      </c>
      <c r="G497" s="225">
        <v>229</v>
      </c>
      <c r="H497" s="226"/>
      <c r="I497" s="230">
        <v>442</v>
      </c>
      <c r="J497" s="162" t="str">
        <f t="shared" si="202"/>
        <v>Palmeirante</v>
      </c>
      <c r="K497" s="16">
        <v>280</v>
      </c>
      <c r="L497" s="167" t="str">
        <f>IF(K497&lt;&gt;"",VLOOKUP(K497,'Catálogo SAP'!A:F,3,FALSE),"")</f>
        <v>S.VP-01453</v>
      </c>
      <c r="M497" s="162" t="str">
        <f>IF(K497&lt;&gt;"",VLOOKUP(K497,'Catálogo SAP'!A:F,4,FALSE),"")</f>
        <v>Hora Produtiva Motoniveladora C/Operador</v>
      </c>
      <c r="N497" s="168" t="str">
        <f>IF(K497&lt;&gt;"",VLOOKUP(K497,'Catálogo SAP'!A:F,5,FALSE),"")</f>
        <v>H</v>
      </c>
      <c r="O497" s="160">
        <v>8</v>
      </c>
      <c r="P497" s="70">
        <f t="shared" si="200"/>
        <v>8</v>
      </c>
      <c r="Q497" s="163" t="e">
        <f t="shared" si="209"/>
        <v>#VALUE!</v>
      </c>
      <c r="R497" s="44" t="str">
        <f>IF(J497&lt;&gt;"",VLOOKUP(J497,'RESUMO DR'!$B$4:$E$253,4,FALSE),"-")</f>
        <v>T-02</v>
      </c>
      <c r="S497" s="58" t="str">
        <f>IF(J497&lt;&gt;"",VLOOKUP(J497,'RESUMO DR'!$B$4:$E$253,3,FALSE),"-")</f>
        <v>ARAGUAINA</v>
      </c>
      <c r="T497" s="129"/>
      <c r="U497" s="129"/>
      <c r="V497" s="129"/>
      <c r="W497" s="128"/>
      <c r="X497" s="127"/>
      <c r="Y497" s="127"/>
      <c r="Z497" s="4"/>
    </row>
    <row r="498" spans="1:26" ht="18" customHeight="1">
      <c r="A498" s="5"/>
      <c r="B498" s="21">
        <v>45660</v>
      </c>
      <c r="C498" s="21" t="s">
        <v>305</v>
      </c>
      <c r="D498" s="74" t="str">
        <f t="shared" si="205"/>
        <v>sex</v>
      </c>
      <c r="E498" s="169" t="str">
        <f>IF(K498&lt;&gt;"",VLOOKUP(K498,'Catálogo SAP'!$A$1:$F$245,2,FALSE),"-")</f>
        <v>-</v>
      </c>
      <c r="F498" s="225"/>
      <c r="G498" s="225"/>
      <c r="H498" s="226"/>
      <c r="I498" s="230"/>
      <c r="J498" s="162" t="str">
        <f t="shared" ref="J498:J538" si="210">IF(AND(I498&gt;=0.001,I498&lt;=16),"AÇAILÂNDIA","")&amp;IF(AND(I498&gt;=16.001,I498&lt;=44),"S.F. BREJÃO","")&amp;IF(AND(I498&gt;=44.001,I498&lt;=78),"JOÃO LISBOA","")&amp;IF(AND(I498&gt;=78.001,I498&lt;=96.397),"IMPERATRIZ","")&amp;IF(AND(I498&gt;=96.398,I498&lt;=122.82),"EDSON LOBÃO","")&amp;IF(AND(I498&gt;=122.821,I498&lt;=152.303),"RIBAMAR FIQUENE","")&amp;IF(AND(I498&gt;=152.304,I498&lt;=172.403),"CAMPESTRE","")&amp;IF(AND(I498&gt;=172.404,I498&lt;=195),"PORTO FRANCO","")&amp;IF(AND(I498&gt;=300,I498&lt;=300),"SAO LUIS","")&amp;IF(AND(I498&gt;=385.4,I498&lt;=465.4),"Palmeirante","")&amp;IF(AND(I498&gt;=465.401,I498&lt;=520.455),"Tupiratins","")&amp;IF(AND(I498&gt;=520.456,I498&lt;=536.741),"Guaraí","")&amp;IF(AND(I498&gt;=536.742,I498&lt;=580.293),"Tupirama","")&amp;IF(AND(I498&gt;=580.294,I498&lt;=608.637),"Rio dos Bois","")&amp;IF(AND(I498&gt;=608.638,I498&lt;=698.981),"Miracema","")&amp;IF(AND(I498&gt;=698.982,I498&lt;=735.6),"Porto Nacional","")&amp;IF(AND(I498&gt;=195.1,I498&lt;=213.603),"ESTREITO","")&amp;IF(AND(I498&gt;=213.604,I498&lt;=218.976),"AGUIARNÓPOLIS","")&amp;IF(AND(I498&gt;=218.977,I498&lt;=253.5),"PALMEIRAS DO TOCANTINS","")&amp;IF(AND(I498&gt;=253.501,I498&lt;=274.15),"DARCINÓPOLIS","")&amp;IF(AND(I498&gt;=274.151,I498&lt;=299.999),"BABAÇULÂNDIA","")&amp;IF(AND(I498&gt;=356.62,I498&lt;=385.4),"ARAGUAÍNA","")&amp;IF(AND(I498&gt;=300.001,I498&lt;=356.619),"BABAÇULÂNDIA","")&amp;IF(AND(I498&gt;=900,I498&lt;=902),"ENG. VLI","")</f>
        <v/>
      </c>
      <c r="K498" s="16"/>
      <c r="L498" s="167" t="str">
        <f>IF(K498&lt;&gt;"",VLOOKUP(K498,'Catálogo SAP'!A:F,3,FALSE),"")</f>
        <v/>
      </c>
      <c r="M498" s="162" t="str">
        <f>IF(K498&lt;&gt;"",VLOOKUP(K498,'Catálogo SAP'!A:F,4,FALSE),"")</f>
        <v/>
      </c>
      <c r="N498" s="168" t="str">
        <f>IF(K498&lt;&gt;"",VLOOKUP(K498,'Catálogo SAP'!A:F,5,FALSE),"")</f>
        <v/>
      </c>
      <c r="O498" s="160"/>
      <c r="P498" s="70" t="str">
        <f t="shared" si="200"/>
        <v>-</v>
      </c>
      <c r="Q498" s="163" t="str">
        <f t="shared" si="209"/>
        <v>-</v>
      </c>
      <c r="R498" s="44" t="str">
        <f>IF(J498&lt;&gt;"",VLOOKUP(J498,'RESUMO DR'!$B$4:$E$253,4,FALSE),"-")</f>
        <v>-</v>
      </c>
      <c r="S498" s="58" t="str">
        <f>IF(J498&lt;&gt;"",VLOOKUP(J498,'RESUMO DR'!$B$4:$E$253,3,FALSE),"-")</f>
        <v>-</v>
      </c>
      <c r="T498" s="129"/>
      <c r="U498" s="129"/>
      <c r="V498" s="129"/>
      <c r="W498" s="128"/>
      <c r="X498" s="127"/>
      <c r="Y498" s="127"/>
      <c r="Z498" s="4"/>
    </row>
    <row r="499" spans="1:26" ht="18" customHeight="1">
      <c r="A499" s="5">
        <v>1930</v>
      </c>
      <c r="B499" s="21">
        <v>45660</v>
      </c>
      <c r="C499" s="21" t="s">
        <v>300</v>
      </c>
      <c r="D499" s="74" t="str">
        <f t="shared" si="205"/>
        <v>sex</v>
      </c>
      <c r="E499" s="169">
        <f>IF(K499&lt;&gt;"",VLOOKUP(K499,'Catálogo SAP'!$A$1:$F$245,2,FALSE),"-")</f>
        <v>170</v>
      </c>
      <c r="F499" s="225">
        <v>137</v>
      </c>
      <c r="G499" s="225">
        <v>137</v>
      </c>
      <c r="H499" s="226"/>
      <c r="I499" s="230">
        <v>563</v>
      </c>
      <c r="J499" s="162" t="str">
        <f t="shared" si="210"/>
        <v>Tupirama</v>
      </c>
      <c r="K499" s="16">
        <v>170</v>
      </c>
      <c r="L499" s="167" t="str">
        <f>IF(K499&lt;&gt;"",VLOOKUP(K499,'Catálogo SAP'!A:F,3,FALSE),"")</f>
        <v>S.VP-01442</v>
      </c>
      <c r="M499" s="162" t="str">
        <f>IF(K499&lt;&gt;"",VLOOKUP(K499,'Catálogo SAP'!A:F,4,FALSE),"")</f>
        <v>Hora Improdutiva Pa Carregadeira C/Operador</v>
      </c>
      <c r="N499" s="168" t="str">
        <f>IF(K499&lt;&gt;"",VLOOKUP(K499,'Catálogo SAP'!A:F,5,FALSE),"")</f>
        <v>H</v>
      </c>
      <c r="O499" s="160">
        <v>8</v>
      </c>
      <c r="P499" s="70">
        <f t="shared" si="200"/>
        <v>0</v>
      </c>
      <c r="Q499" s="163" t="e">
        <f t="shared" si="191"/>
        <v>#VALUE!</v>
      </c>
      <c r="R499" s="44" t="str">
        <f>IF(J499&lt;&gt;"",VLOOKUP(J499,'RESUMO DR'!$B$4:$E$253,4,FALSE),"-")</f>
        <v>T-03</v>
      </c>
      <c r="S499" s="58" t="str">
        <f>IF(J499&lt;&gt;"",VLOOKUP(J499,'RESUMO DR'!$B$4:$E$253,3,FALSE),"-")</f>
        <v>PALMAS</v>
      </c>
      <c r="T499" s="129"/>
      <c r="U499" s="129"/>
      <c r="V499" s="129"/>
      <c r="W499" s="128"/>
      <c r="X499" s="127"/>
      <c r="Y499" s="127"/>
      <c r="Z499" s="4"/>
    </row>
    <row r="500" spans="1:26" ht="18" customHeight="1">
      <c r="A500" s="5"/>
      <c r="B500" s="21">
        <v>45660</v>
      </c>
      <c r="C500" s="21" t="s">
        <v>300</v>
      </c>
      <c r="D500" s="74" t="str">
        <f t="shared" si="205"/>
        <v>sex</v>
      </c>
      <c r="E500" s="169" t="str">
        <f>IF(K500&lt;&gt;"",VLOOKUP(K500,'Catálogo SAP'!$A$1:$F$245,2,FALSE),"-")</f>
        <v>-</v>
      </c>
      <c r="F500" s="225"/>
      <c r="G500" s="225"/>
      <c r="H500" s="226"/>
      <c r="I500" s="230"/>
      <c r="J500" s="162" t="str">
        <f t="shared" si="210"/>
        <v/>
      </c>
      <c r="K500" s="16"/>
      <c r="L500" s="167" t="str">
        <f>IF(K500&lt;&gt;"",VLOOKUP(K500,'Catálogo SAP'!A:F,3,FALSE),"")</f>
        <v/>
      </c>
      <c r="M500" s="162" t="str">
        <f>IF(K500&lt;&gt;"",VLOOKUP(K500,'Catálogo SAP'!A:F,4,FALSE),"")</f>
        <v/>
      </c>
      <c r="N500" s="168" t="str">
        <f>IF(K500&lt;&gt;"",VLOOKUP(K500,'Catálogo SAP'!A:F,5,FALSE),"")</f>
        <v/>
      </c>
      <c r="O500" s="160"/>
      <c r="P500" s="70" t="str">
        <f t="shared" si="200"/>
        <v>-</v>
      </c>
      <c r="Q500" s="163" t="str">
        <f t="shared" si="191"/>
        <v>-</v>
      </c>
      <c r="R500" s="44" t="str">
        <f>IF(J500&lt;&gt;"",VLOOKUP(J500,'RESUMO DR'!$B$4:$E$253,4,FALSE),"-")</f>
        <v>-</v>
      </c>
      <c r="S500" s="58" t="str">
        <f>IF(J500&lt;&gt;"",VLOOKUP(J500,'RESUMO DR'!$B$4:$E$253,3,FALSE),"-")</f>
        <v>-</v>
      </c>
      <c r="T500" s="129"/>
      <c r="U500" s="129"/>
      <c r="V500" s="129"/>
      <c r="W500" s="128"/>
      <c r="X500" s="127"/>
      <c r="Y500" s="127"/>
      <c r="Z500" s="4"/>
    </row>
    <row r="501" spans="1:26" ht="18" customHeight="1">
      <c r="A501" s="5">
        <v>1927</v>
      </c>
      <c r="B501" s="21">
        <v>45660</v>
      </c>
      <c r="C501" s="21" t="s">
        <v>134</v>
      </c>
      <c r="D501" s="74" t="str">
        <f t="shared" si="205"/>
        <v>sex</v>
      </c>
      <c r="E501" s="169">
        <f>IF(K501&lt;&gt;"",VLOOKUP(K501,'Catálogo SAP'!$A$1:$F$245,2,FALSE),"-")</f>
        <v>490</v>
      </c>
      <c r="F501" s="225">
        <v>3403</v>
      </c>
      <c r="G501" s="225">
        <v>3403</v>
      </c>
      <c r="H501" s="226"/>
      <c r="I501" s="230">
        <v>91</v>
      </c>
      <c r="J501" s="162" t="str">
        <f t="shared" si="210"/>
        <v>IMPERATRIZ</v>
      </c>
      <c r="K501" s="16">
        <v>490</v>
      </c>
      <c r="L501" s="167" t="str">
        <f>IF(K501&lt;&gt;"",VLOOKUP(K501,'Catálogo SAP'!A:F,3,FALSE),"")</f>
        <v>S.VP-01466</v>
      </c>
      <c r="M501" s="162" t="str">
        <f>IF(K501&lt;&gt;"",VLOOKUP(K501,'Catálogo SAP'!A:F,4,FALSE),"")</f>
        <v>Hora Improdutiva Miniescavadeira Hidraulica C/ Operador</v>
      </c>
      <c r="N501" s="168" t="str">
        <f>IF(K501&lt;&gt;"",VLOOKUP(K501,'Catálogo SAP'!A:F,5,FALSE),"")</f>
        <v>H</v>
      </c>
      <c r="O501" s="160">
        <v>8</v>
      </c>
      <c r="P501" s="70">
        <f t="shared" si="200"/>
        <v>0</v>
      </c>
      <c r="Q501" s="163" t="e">
        <f t="shared" si="191"/>
        <v>#VALUE!</v>
      </c>
      <c r="R501" s="44" t="str">
        <f>IF(J501&lt;&gt;"",VLOOKUP(J501,'RESUMO DR'!$B$4:$E$253,4,FALSE),"-")</f>
        <v>T-01</v>
      </c>
      <c r="S501" s="58" t="str">
        <f>IF(J501&lt;&gt;"",VLOOKUP(J501,'RESUMO DR'!$B$4:$E$253,3,FALSE),"-")</f>
        <v>IMPERATRIZ</v>
      </c>
      <c r="T501" s="129"/>
      <c r="U501" s="129"/>
      <c r="V501" s="129"/>
      <c r="W501" s="128"/>
      <c r="X501" s="127"/>
      <c r="Y501" s="127"/>
      <c r="Z501" s="4"/>
    </row>
    <row r="502" spans="1:26" ht="18" customHeight="1">
      <c r="A502" s="5"/>
      <c r="B502" s="21">
        <v>45660</v>
      </c>
      <c r="C502" s="21" t="s">
        <v>134</v>
      </c>
      <c r="D502" s="74" t="str">
        <f t="shared" si="205"/>
        <v>sex</v>
      </c>
      <c r="E502" s="169" t="str">
        <f>IF(K502&lt;&gt;"",VLOOKUP(K502,'Catálogo SAP'!$A$1:$F$245,2,FALSE),"-")</f>
        <v>-</v>
      </c>
      <c r="F502" s="225"/>
      <c r="G502" s="225"/>
      <c r="H502" s="226"/>
      <c r="I502" s="230"/>
      <c r="J502" s="162" t="str">
        <f t="shared" si="210"/>
        <v/>
      </c>
      <c r="K502" s="16"/>
      <c r="L502" s="167" t="str">
        <f>IF(K502&lt;&gt;"",VLOOKUP(K502,'Catálogo SAP'!A:F,3,FALSE),"")</f>
        <v/>
      </c>
      <c r="M502" s="162" t="str">
        <f>IF(K502&lt;&gt;"",VLOOKUP(K502,'Catálogo SAP'!A:F,4,FALSE),"")</f>
        <v/>
      </c>
      <c r="N502" s="168" t="str">
        <f>IF(K502&lt;&gt;"",VLOOKUP(K502,'Catálogo SAP'!A:F,5,FALSE),"")</f>
        <v/>
      </c>
      <c r="O502" s="160"/>
      <c r="P502" s="70" t="str">
        <f t="shared" si="200"/>
        <v>-</v>
      </c>
      <c r="Q502" s="163" t="str">
        <f t="shared" si="191"/>
        <v>-</v>
      </c>
      <c r="R502" s="44" t="str">
        <f>IF(J502&lt;&gt;"",VLOOKUP(J502,'RESUMO DR'!$B$4:$E$253,4,FALSE),"-")</f>
        <v>-</v>
      </c>
      <c r="S502" s="58" t="str">
        <f>IF(J502&lt;&gt;"",VLOOKUP(J502,'RESUMO DR'!$B$4:$E$253,3,FALSE),"-")</f>
        <v>-</v>
      </c>
      <c r="T502" s="129"/>
      <c r="U502" s="129"/>
      <c r="V502" s="129"/>
      <c r="W502" s="128"/>
      <c r="X502" s="127"/>
      <c r="Y502" s="127"/>
      <c r="Z502" s="4"/>
    </row>
    <row r="503" spans="1:26" ht="18" customHeight="1">
      <c r="A503" s="5">
        <v>1931</v>
      </c>
      <c r="B503" s="21">
        <v>45660</v>
      </c>
      <c r="C503" s="21" t="s">
        <v>316</v>
      </c>
      <c r="D503" s="74" t="str">
        <f t="shared" si="205"/>
        <v>sex</v>
      </c>
      <c r="E503" s="169">
        <f>IF(K503&lt;&gt;"",VLOOKUP(K503,'Catálogo SAP'!$A$1:$F$245,2,FALSE),"-")</f>
        <v>120</v>
      </c>
      <c r="F503" s="225">
        <v>144</v>
      </c>
      <c r="G503" s="225">
        <v>150</v>
      </c>
      <c r="H503" s="226"/>
      <c r="I503" s="230">
        <v>453</v>
      </c>
      <c r="J503" s="162" t="str">
        <f t="shared" si="210"/>
        <v>Palmeirante</v>
      </c>
      <c r="K503" s="16">
        <v>120</v>
      </c>
      <c r="L503" s="167" t="str">
        <f>IF(K503&lt;&gt;"",VLOOKUP(K503,'Catálogo SAP'!A:F,3,FALSE),"")</f>
        <v>S.VP-01437</v>
      </c>
      <c r="M503" s="162" t="str">
        <f>IF(K503&lt;&gt;"",VLOOKUP(K503,'Catálogo SAP'!A:F,4,FALSE),"")</f>
        <v>Hr Produtiva Retroescavadeira C/Operador</v>
      </c>
      <c r="N503" s="168" t="str">
        <f>IF(K503&lt;&gt;"",VLOOKUP(K503,'Catálogo SAP'!A:F,5,FALSE),"")</f>
        <v>H</v>
      </c>
      <c r="O503" s="160">
        <v>6</v>
      </c>
      <c r="P503" s="70">
        <f t="shared" si="200"/>
        <v>6</v>
      </c>
      <c r="Q503" s="163" t="e">
        <f t="shared" si="191"/>
        <v>#VALUE!</v>
      </c>
      <c r="R503" s="44" t="s">
        <v>192</v>
      </c>
      <c r="S503" s="58" t="s">
        <v>193</v>
      </c>
      <c r="T503" s="129"/>
      <c r="U503" s="129"/>
      <c r="V503" s="129"/>
      <c r="W503" s="128"/>
      <c r="X503" s="127"/>
      <c r="Y503" s="127"/>
      <c r="Z503" s="4"/>
    </row>
    <row r="504" spans="1:26" ht="18" customHeight="1">
      <c r="A504" s="5">
        <v>1931</v>
      </c>
      <c r="B504" s="21">
        <v>45660</v>
      </c>
      <c r="C504" s="21" t="s">
        <v>316</v>
      </c>
      <c r="D504" s="74" t="str">
        <f t="shared" ref="D504" si="211">IF(B504="","-",TEXT(B504,"ddd"))</f>
        <v>sex</v>
      </c>
      <c r="E504" s="169">
        <f>IF(K504&lt;&gt;"",VLOOKUP(K504,'Catálogo SAP'!$A$1:$F$245,2,FALSE),"-")</f>
        <v>130</v>
      </c>
      <c r="F504" s="225">
        <v>150</v>
      </c>
      <c r="G504" s="225">
        <v>150</v>
      </c>
      <c r="H504" s="226"/>
      <c r="I504" s="230">
        <v>453</v>
      </c>
      <c r="J504" s="162" t="str">
        <f t="shared" si="210"/>
        <v>Palmeirante</v>
      </c>
      <c r="K504" s="225">
        <v>130</v>
      </c>
      <c r="L504" s="167" t="str">
        <f>IF(K504&lt;&gt;"",VLOOKUP(K504,'Catálogo SAP'!A:F,3,FALSE),"")</f>
        <v>S.VP-01438</v>
      </c>
      <c r="M504" s="162" t="str">
        <f>IF(K504&lt;&gt;"",VLOOKUP(K504,'Catálogo SAP'!A:F,4,FALSE),"")</f>
        <v>Hr Improdutiva Retroescavadeira C/Operador</v>
      </c>
      <c r="N504" s="168" t="str">
        <f>IF(K504&lt;&gt;"",VLOOKUP(K504,'Catálogo SAP'!A:F,5,FALSE),"")</f>
        <v>H</v>
      </c>
      <c r="O504" s="231">
        <v>2</v>
      </c>
      <c r="P504" s="70">
        <f t="shared" si="200"/>
        <v>0</v>
      </c>
      <c r="Q504" s="163" t="e">
        <f t="shared" ref="Q504:Q505" si="212">IF(K504="","-",N504*O504)</f>
        <v>#VALUE!</v>
      </c>
      <c r="R504" s="44" t="s">
        <v>192</v>
      </c>
      <c r="S504" s="58" t="s">
        <v>193</v>
      </c>
      <c r="T504" s="129"/>
      <c r="U504" s="129"/>
      <c r="V504" s="129"/>
      <c r="W504" s="128"/>
      <c r="X504" s="127"/>
      <c r="Y504" s="127"/>
      <c r="Z504" s="4"/>
    </row>
    <row r="505" spans="1:26" ht="18" customHeight="1">
      <c r="A505" s="5">
        <v>1929</v>
      </c>
      <c r="B505" s="21">
        <v>45660</v>
      </c>
      <c r="C505" s="21" t="s">
        <v>306</v>
      </c>
      <c r="D505" s="74" t="str">
        <f t="shared" si="205"/>
        <v>sex</v>
      </c>
      <c r="E505" s="169">
        <f>IF(K505&lt;&gt;"",VLOOKUP(K505,'Catálogo SAP'!$A$1:$F$245,2,FALSE),"-")</f>
        <v>280</v>
      </c>
      <c r="F505" s="225">
        <v>329</v>
      </c>
      <c r="G505" s="225">
        <v>337</v>
      </c>
      <c r="H505" s="226"/>
      <c r="I505" s="230">
        <v>574</v>
      </c>
      <c r="J505" s="162" t="str">
        <f t="shared" si="210"/>
        <v>Tupirama</v>
      </c>
      <c r="K505" s="16">
        <v>280</v>
      </c>
      <c r="L505" s="167" t="str">
        <f>IF(K505&lt;&gt;"",VLOOKUP(K505,'Catálogo SAP'!A:F,3,FALSE),"")</f>
        <v>S.VP-01453</v>
      </c>
      <c r="M505" s="162" t="str">
        <f>IF(K505&lt;&gt;"",VLOOKUP(K505,'Catálogo SAP'!A:F,4,FALSE),"")</f>
        <v>Hora Produtiva Motoniveladora C/Operador</v>
      </c>
      <c r="N505" s="168" t="str">
        <f>IF(K505&lt;&gt;"",VLOOKUP(K505,'Catálogo SAP'!A:F,5,FALSE),"")</f>
        <v>H</v>
      </c>
      <c r="O505" s="160">
        <v>8</v>
      </c>
      <c r="P505" s="70">
        <f t="shared" si="200"/>
        <v>8</v>
      </c>
      <c r="Q505" s="163" t="e">
        <f t="shared" si="212"/>
        <v>#VALUE!</v>
      </c>
      <c r="R505" s="44" t="str">
        <f>IF(J505&lt;&gt;"",VLOOKUP(J505,'RESUMO DR'!$B$4:$E$253,4,FALSE),"-")</f>
        <v>T-03</v>
      </c>
      <c r="S505" s="58" t="str">
        <f>IF(J505&lt;&gt;"",VLOOKUP(J505,'RESUMO DR'!$B$4:$E$253,3,FALSE),"-")</f>
        <v>PALMAS</v>
      </c>
      <c r="T505" s="129"/>
      <c r="U505" s="129"/>
      <c r="V505" s="129"/>
      <c r="W505" s="128"/>
      <c r="X505" s="127"/>
      <c r="Y505" s="127"/>
      <c r="Z505" s="4"/>
    </row>
    <row r="506" spans="1:26" ht="18" customHeight="1">
      <c r="A506" s="5"/>
      <c r="B506" s="21">
        <v>45660</v>
      </c>
      <c r="C506" s="21" t="s">
        <v>306</v>
      </c>
      <c r="D506" s="74" t="str">
        <f t="shared" si="205"/>
        <v>sex</v>
      </c>
      <c r="E506" s="169" t="str">
        <f>IF(K506&lt;&gt;"",VLOOKUP(K506,'Catálogo SAP'!$A$1:$F$245,2,FALSE),"-")</f>
        <v>-</v>
      </c>
      <c r="F506" s="16"/>
      <c r="G506" s="16"/>
      <c r="H506" s="22"/>
      <c r="I506" s="133"/>
      <c r="J506" s="162" t="str">
        <f t="shared" si="210"/>
        <v/>
      </c>
      <c r="K506" s="16"/>
      <c r="L506" s="167" t="str">
        <f>IF(K506&lt;&gt;"",VLOOKUP(K506,'Catálogo SAP'!A:F,3,FALSE),"")</f>
        <v/>
      </c>
      <c r="M506" s="162" t="str">
        <f>IF(K506&lt;&gt;"",VLOOKUP(K506,'Catálogo SAP'!A:F,4,FALSE),"")</f>
        <v/>
      </c>
      <c r="N506" s="168" t="str">
        <f>IF(K506&lt;&gt;"",VLOOKUP(K506,'Catálogo SAP'!A:F,5,FALSE),"")</f>
        <v/>
      </c>
      <c r="O506" s="160"/>
      <c r="P506" s="70" t="str">
        <f t="shared" si="200"/>
        <v>-</v>
      </c>
      <c r="Q506" s="163" t="str">
        <f t="shared" si="191"/>
        <v>-</v>
      </c>
      <c r="R506" s="44" t="str">
        <f>IF(J506&lt;&gt;"",VLOOKUP(J506,'RESUMO DR'!$B$4:$E$253,4,FALSE),"-")</f>
        <v>-</v>
      </c>
      <c r="S506" s="58" t="str">
        <f>IF(J506&lt;&gt;"",VLOOKUP(J506,'RESUMO DR'!$B$4:$E$253,3,FALSE),"-")</f>
        <v>-</v>
      </c>
      <c r="T506" s="129"/>
      <c r="U506" s="129"/>
      <c r="V506" s="129"/>
      <c r="W506" s="128"/>
      <c r="X506" s="127"/>
      <c r="Y506" s="127"/>
      <c r="Z506" s="4"/>
    </row>
    <row r="507" spans="1:26" ht="18" customHeight="1">
      <c r="A507" s="5"/>
      <c r="B507" s="21">
        <v>45660</v>
      </c>
      <c r="C507" s="21" t="s">
        <v>137</v>
      </c>
      <c r="D507" s="74" t="str">
        <f t="shared" si="205"/>
        <v>sex</v>
      </c>
      <c r="E507" s="169" t="str">
        <f>IF(K507&lt;&gt;"",VLOOKUP(K507,'Catálogo SAP'!$A$1:$F$245,2,FALSE),"-")</f>
        <v>-</v>
      </c>
      <c r="F507" s="225"/>
      <c r="G507" s="225"/>
      <c r="H507" s="226"/>
      <c r="I507" s="230"/>
      <c r="J507" s="162" t="str">
        <f t="shared" si="210"/>
        <v/>
      </c>
      <c r="K507" s="16"/>
      <c r="L507" s="167" t="str">
        <f>IF(K507&lt;&gt;"",VLOOKUP(K507,'Catálogo SAP'!A:F,3,FALSE),"")</f>
        <v/>
      </c>
      <c r="M507" s="162" t="str">
        <f>IF(K507&lt;&gt;"",VLOOKUP(K507,'Catálogo SAP'!A:F,4,FALSE),"")</f>
        <v/>
      </c>
      <c r="N507" s="168" t="str">
        <f>IF(K507&lt;&gt;"",VLOOKUP(K507,'Catálogo SAP'!A:F,5,FALSE),"")</f>
        <v/>
      </c>
      <c r="O507" s="160"/>
      <c r="P507" s="70" t="str">
        <f t="shared" si="200"/>
        <v>-</v>
      </c>
      <c r="Q507" s="163" t="str">
        <f t="shared" si="191"/>
        <v>-</v>
      </c>
      <c r="R507" s="44" t="str">
        <f>IF(J507&lt;&gt;"",VLOOKUP(J507,'RESUMO DR'!$B$4:$E$253,4,FALSE),"-")</f>
        <v>-</v>
      </c>
      <c r="S507" s="58" t="str">
        <f>IF(J507&lt;&gt;"",VLOOKUP(J507,'RESUMO DR'!$B$4:$E$253,3,FALSE),"-")</f>
        <v>-</v>
      </c>
      <c r="T507" s="129"/>
      <c r="U507" s="129"/>
      <c r="V507" s="129"/>
      <c r="W507" s="128"/>
      <c r="X507" s="127"/>
      <c r="Y507" s="127"/>
      <c r="Z507" s="4"/>
    </row>
    <row r="508" spans="1:26" ht="18" customHeight="1">
      <c r="A508" s="5"/>
      <c r="B508" s="21">
        <v>45660</v>
      </c>
      <c r="C508" s="21" t="s">
        <v>137</v>
      </c>
      <c r="D508" s="74" t="str">
        <f t="shared" si="205"/>
        <v>sex</v>
      </c>
      <c r="E508" s="169" t="str">
        <f>IF(K508&lt;&gt;"",VLOOKUP(K508,'Catálogo SAP'!$A$1:$F$245,2,FALSE),"-")</f>
        <v>-</v>
      </c>
      <c r="F508" s="225"/>
      <c r="G508" s="225"/>
      <c r="H508" s="226"/>
      <c r="I508" s="230"/>
      <c r="J508" s="162" t="str">
        <f t="shared" si="210"/>
        <v/>
      </c>
      <c r="K508" s="16"/>
      <c r="L508" s="167" t="str">
        <f>IF(K508&lt;&gt;"",VLOOKUP(K508,'Catálogo SAP'!A:F,3,FALSE),"")</f>
        <v/>
      </c>
      <c r="M508" s="162" t="str">
        <f>IF(K508&lt;&gt;"",VLOOKUP(K508,'Catálogo SAP'!A:F,4,FALSE),"")</f>
        <v/>
      </c>
      <c r="N508" s="168" t="str">
        <f>IF(K508&lt;&gt;"",VLOOKUP(K508,'Catálogo SAP'!A:F,5,FALSE),"")</f>
        <v/>
      </c>
      <c r="O508" s="160"/>
      <c r="P508" s="70" t="str">
        <f t="shared" si="200"/>
        <v>-</v>
      </c>
      <c r="Q508" s="163" t="str">
        <f t="shared" si="191"/>
        <v>-</v>
      </c>
      <c r="R508" s="44" t="str">
        <f>IF(J508&lt;&gt;"",VLOOKUP(J508,'RESUMO DR'!$B$4:$E$253,4,FALSE),"-")</f>
        <v>-</v>
      </c>
      <c r="S508" s="58" t="str">
        <f>IF(J508&lt;&gt;"",VLOOKUP(J508,'RESUMO DR'!$B$4:$E$253,3,FALSE),"-")</f>
        <v>-</v>
      </c>
      <c r="T508" s="129"/>
      <c r="U508" s="129"/>
      <c r="V508" s="129"/>
      <c r="W508" s="128"/>
      <c r="X508" s="127"/>
      <c r="Y508" s="127"/>
      <c r="Z508" s="4"/>
    </row>
    <row r="509" spans="1:26" ht="18" customHeight="1">
      <c r="A509" s="5">
        <v>1927</v>
      </c>
      <c r="B509" s="21">
        <v>45660</v>
      </c>
      <c r="C509" s="21" t="s">
        <v>314</v>
      </c>
      <c r="D509" s="74" t="str">
        <f t="shared" si="205"/>
        <v>sex</v>
      </c>
      <c r="E509" s="169">
        <f>IF(K509&lt;&gt;"",VLOOKUP(K509,'Catálogo SAP'!$A$1:$F$245,2,FALSE),"-")</f>
        <v>210</v>
      </c>
      <c r="F509" s="225">
        <v>65903</v>
      </c>
      <c r="G509" s="225">
        <v>65903</v>
      </c>
      <c r="H509" s="226"/>
      <c r="I509" s="230">
        <v>91</v>
      </c>
      <c r="J509" s="162" t="str">
        <f t="shared" si="210"/>
        <v>IMPERATRIZ</v>
      </c>
      <c r="K509" s="16">
        <v>210</v>
      </c>
      <c r="L509" s="167" t="str">
        <f>IF(K509&lt;&gt;"",VLOOKUP(K509,'Catálogo SAP'!A:F,3,FALSE),"")</f>
        <v>S.VP-01446</v>
      </c>
      <c r="M509" s="162" t="str">
        <f>IF(K509&lt;&gt;"",VLOOKUP(K509,'Catálogo SAP'!A:F,4,FALSE),"")</f>
        <v>Hora Improdutiva Basculante - C/Motorista</v>
      </c>
      <c r="N509" s="168" t="str">
        <f>IF(K509&lt;&gt;"",VLOOKUP(K509,'Catálogo SAP'!A:F,5,FALSE),"")</f>
        <v>H</v>
      </c>
      <c r="O509" s="160">
        <v>8</v>
      </c>
      <c r="P509" s="70">
        <f t="shared" si="200"/>
        <v>0</v>
      </c>
      <c r="Q509" s="163" t="e">
        <f t="shared" si="191"/>
        <v>#VALUE!</v>
      </c>
      <c r="R509" s="44" t="str">
        <f>IF(J509&lt;&gt;"",VLOOKUP(J509,'RESUMO DR'!$B$4:$E$253,4,FALSE),"-")</f>
        <v>T-01</v>
      </c>
      <c r="S509" s="58" t="str">
        <f>IF(J509&lt;&gt;"",VLOOKUP(J509,'RESUMO DR'!$B$4:$E$253,3,FALSE),"-")</f>
        <v>IMPERATRIZ</v>
      </c>
      <c r="T509" s="129"/>
      <c r="U509" s="129"/>
      <c r="V509" s="129"/>
      <c r="W509" s="128"/>
      <c r="X509" s="127"/>
      <c r="Y509" s="127"/>
      <c r="Z509" s="4"/>
    </row>
    <row r="510" spans="1:26" ht="18" customHeight="1">
      <c r="A510" s="5">
        <v>1928</v>
      </c>
      <c r="B510" s="21">
        <v>45660</v>
      </c>
      <c r="C510" s="21" t="s">
        <v>315</v>
      </c>
      <c r="D510" s="74" t="str">
        <f t="shared" si="205"/>
        <v>sex</v>
      </c>
      <c r="E510" s="169">
        <f>IF(K510&lt;&gt;"",VLOOKUP(K510,'Catálogo SAP'!$A$1:$F$245,2,FALSE),"-")</f>
        <v>170</v>
      </c>
      <c r="F510" s="225">
        <v>1389</v>
      </c>
      <c r="G510" s="225">
        <v>1389</v>
      </c>
      <c r="H510" s="226"/>
      <c r="I510" s="230">
        <v>59</v>
      </c>
      <c r="J510" s="162" t="str">
        <f t="shared" si="210"/>
        <v>JOÃO LISBOA</v>
      </c>
      <c r="K510" s="16">
        <v>170</v>
      </c>
      <c r="L510" s="167" t="str">
        <f>IF(K510&lt;&gt;"",VLOOKUP(K510,'Catálogo SAP'!A:F,3,FALSE),"")</f>
        <v>S.VP-01442</v>
      </c>
      <c r="M510" s="162" t="str">
        <f>IF(K510&lt;&gt;"",VLOOKUP(K510,'Catálogo SAP'!A:F,4,FALSE),"")</f>
        <v>Hora Improdutiva Pa Carregadeira C/Operador</v>
      </c>
      <c r="N510" s="168" t="str">
        <f>IF(K510&lt;&gt;"",VLOOKUP(K510,'Catálogo SAP'!A:F,5,FALSE),"")</f>
        <v>H</v>
      </c>
      <c r="O510" s="160">
        <v>8</v>
      </c>
      <c r="P510" s="70">
        <f t="shared" si="200"/>
        <v>0</v>
      </c>
      <c r="Q510" s="163" t="e">
        <f t="shared" si="191"/>
        <v>#VALUE!</v>
      </c>
      <c r="R510" s="44" t="str">
        <f>IF(J510&lt;&gt;"",VLOOKUP(J510,'RESUMO DR'!$B$4:$E$253,4,FALSE),"-")</f>
        <v>T-01</v>
      </c>
      <c r="S510" s="58" t="str">
        <f>IF(J510&lt;&gt;"",VLOOKUP(J510,'RESUMO DR'!$B$4:$E$253,3,FALSE),"-")</f>
        <v>IMPERATRIZ</v>
      </c>
      <c r="T510" s="129"/>
      <c r="U510" s="129"/>
      <c r="V510" s="129"/>
      <c r="W510" s="128"/>
      <c r="X510" s="127"/>
      <c r="Y510" s="127"/>
      <c r="Z510" s="4"/>
    </row>
    <row r="511" spans="1:26" ht="18" customHeight="1">
      <c r="A511" s="5"/>
      <c r="B511" s="222"/>
      <c r="C511" s="222"/>
      <c r="D511" s="223"/>
      <c r="E511" s="224"/>
      <c r="F511" s="225"/>
      <c r="G511" s="225"/>
      <c r="H511" s="226"/>
      <c r="I511" s="230"/>
      <c r="J511" s="162" t="str">
        <f t="shared" si="210"/>
        <v/>
      </c>
      <c r="K511" s="225"/>
      <c r="L511" s="167" t="str">
        <f>IF(K511&lt;&gt;"",VLOOKUP(K511,'Catálogo SAP'!A:F,3,FALSE),"")</f>
        <v/>
      </c>
      <c r="M511" s="162" t="str">
        <f>IF(K511&lt;&gt;"",VLOOKUP(K511,'Catálogo SAP'!A:F,4,FALSE),"")</f>
        <v/>
      </c>
      <c r="N511" s="168" t="str">
        <f>IF(K511&lt;&gt;"",VLOOKUP(K511,'Catálogo SAP'!A:F,5,FALSE),"")</f>
        <v/>
      </c>
      <c r="O511" s="231"/>
      <c r="P511" s="70" t="str">
        <f t="shared" si="200"/>
        <v>-</v>
      </c>
      <c r="Q511" s="163" t="str">
        <f t="shared" ref="Q511:Q514" si="213">IF(K511="","-",N511*O511)</f>
        <v>-</v>
      </c>
      <c r="R511" s="44" t="str">
        <f>IF(J511&lt;&gt;"",VLOOKUP(J511,'RESUMO DR'!$B$4:$E$253,4,FALSE),"-")</f>
        <v>-</v>
      </c>
      <c r="S511" s="58" t="str">
        <f>IF(J511&lt;&gt;"",VLOOKUP(J511,'RESUMO DR'!$B$4:$E$253,3,FALSE),"-")</f>
        <v>-</v>
      </c>
      <c r="T511" s="129"/>
      <c r="U511" s="129"/>
      <c r="V511" s="129"/>
      <c r="W511" s="128"/>
      <c r="X511" s="127"/>
      <c r="Y511" s="127"/>
      <c r="Z511" s="4"/>
    </row>
    <row r="512" spans="1:26" ht="18" customHeight="1">
      <c r="A512" s="5">
        <v>1941</v>
      </c>
      <c r="B512" s="222">
        <v>45662</v>
      </c>
      <c r="C512" s="222" t="s">
        <v>131</v>
      </c>
      <c r="D512" s="223"/>
      <c r="E512" s="224"/>
      <c r="F512" s="225">
        <v>10602</v>
      </c>
      <c r="G512" s="225">
        <v>10610</v>
      </c>
      <c r="H512" s="226"/>
      <c r="I512" s="230">
        <v>195</v>
      </c>
      <c r="J512" s="162" t="str">
        <f t="shared" si="210"/>
        <v>PORTO FRANCO</v>
      </c>
      <c r="K512" s="225">
        <v>520</v>
      </c>
      <c r="L512" s="167" t="str">
        <f>IF(K512&lt;&gt;"",VLOOKUP(K512,'Catálogo SAP'!A:F,3,FALSE),"")</f>
        <v>S.VP-01469</v>
      </c>
      <c r="M512" s="162" t="str">
        <f>IF(K512&lt;&gt;"",VLOOKUP(K512,'Catálogo SAP'!A:F,4,FALSE),"")</f>
        <v>Hora Produtiva Escavadeira Hidraulica</v>
      </c>
      <c r="N512" s="168" t="str">
        <f>IF(K512&lt;&gt;"",VLOOKUP(K512,'Catálogo SAP'!A:F,5,FALSE),"")</f>
        <v>H</v>
      </c>
      <c r="O512" s="231">
        <v>8</v>
      </c>
      <c r="P512" s="70">
        <f t="shared" si="200"/>
        <v>8</v>
      </c>
      <c r="Q512" s="163" t="e">
        <f t="shared" si="213"/>
        <v>#VALUE!</v>
      </c>
      <c r="R512" s="44" t="str">
        <f>IF(J512&lt;&gt;"",VLOOKUP(J512,'RESUMO DR'!$B$4:$E$253,4,FALSE),"-")</f>
        <v>T-01</v>
      </c>
      <c r="S512" s="58" t="str">
        <f>IF(J512&lt;&gt;"",VLOOKUP(J512,'RESUMO DR'!$B$4:$E$253,3,FALSE),"-")</f>
        <v>IMPERATRIZ</v>
      </c>
      <c r="T512" s="129"/>
      <c r="U512" s="129"/>
      <c r="V512" s="129"/>
      <c r="W512" s="128"/>
      <c r="X512" s="127"/>
      <c r="Y512" s="127"/>
      <c r="Z512" s="4"/>
    </row>
    <row r="513" spans="1:26" ht="18" customHeight="1">
      <c r="A513" s="5"/>
      <c r="B513" s="21"/>
      <c r="C513" s="21"/>
      <c r="D513" s="74" t="str">
        <f t="shared" si="205"/>
        <v>-</v>
      </c>
      <c r="E513" s="169" t="str">
        <f>IF(K513&lt;&gt;"",VLOOKUP(K513,'Catálogo SAP'!$A$1:$F$245,2,FALSE),"-")</f>
        <v>-</v>
      </c>
      <c r="F513" s="16"/>
      <c r="G513" s="16"/>
      <c r="H513" s="22"/>
      <c r="I513" s="133"/>
      <c r="J513" s="162" t="str">
        <f t="shared" si="210"/>
        <v/>
      </c>
      <c r="K513" s="16"/>
      <c r="L513" s="167" t="str">
        <f>IF(K513&lt;&gt;"",VLOOKUP(K513,'Catálogo SAP'!A:F,3,FALSE),"")</f>
        <v/>
      </c>
      <c r="M513" s="162" t="str">
        <f>IF(K513&lt;&gt;"",VLOOKUP(K513,'Catálogo SAP'!A:F,4,FALSE),"")</f>
        <v/>
      </c>
      <c r="N513" s="168" t="str">
        <f>IF(K513&lt;&gt;"",VLOOKUP(K513,'Catálogo SAP'!A:F,5,FALSE),"")</f>
        <v/>
      </c>
      <c r="O513" s="160"/>
      <c r="P513" s="70" t="str">
        <f t="shared" si="200"/>
        <v>-</v>
      </c>
      <c r="Q513" s="163" t="str">
        <f t="shared" si="213"/>
        <v>-</v>
      </c>
      <c r="R513" s="44" t="str">
        <f>IF(J513&lt;&gt;"",VLOOKUP(J513,'RESUMO DR'!$B$4:$E$253,4,FALSE),"-")</f>
        <v>-</v>
      </c>
      <c r="S513" s="58" t="str">
        <f>IF(J513&lt;&gt;"",VLOOKUP(J513,'RESUMO DR'!$B$4:$E$253,3,FALSE),"-")</f>
        <v>-</v>
      </c>
      <c r="T513" s="129"/>
      <c r="U513" s="129"/>
      <c r="V513" s="129"/>
      <c r="W513" s="128"/>
      <c r="X513" s="127"/>
      <c r="Y513" s="127"/>
      <c r="Z513" s="4"/>
    </row>
    <row r="514" spans="1:26" ht="18" customHeight="1">
      <c r="A514" s="5"/>
      <c r="B514" s="21">
        <v>45661</v>
      </c>
      <c r="C514" s="21" t="s">
        <v>121</v>
      </c>
      <c r="D514" s="74" t="str">
        <f t="shared" si="205"/>
        <v>sáb</v>
      </c>
      <c r="E514" s="169" t="str">
        <f>IF(K514&lt;&gt;"",VLOOKUP(K514,'Catálogo SAP'!$A$1:$F$245,2,FALSE),"-")</f>
        <v>-</v>
      </c>
      <c r="F514" s="16"/>
      <c r="G514" s="16"/>
      <c r="H514" s="22"/>
      <c r="I514" s="133"/>
      <c r="J514" s="162" t="str">
        <f t="shared" si="210"/>
        <v/>
      </c>
      <c r="K514" s="16"/>
      <c r="L514" s="167" t="str">
        <f>IF(K514&lt;&gt;"",VLOOKUP(K514,'Catálogo SAP'!A:F,3,FALSE),"")</f>
        <v/>
      </c>
      <c r="M514" s="162" t="str">
        <f>IF(K514&lt;&gt;"",VLOOKUP(K514,'Catálogo SAP'!A:F,4,FALSE),"")</f>
        <v/>
      </c>
      <c r="N514" s="168" t="str">
        <f>IF(K514&lt;&gt;"",VLOOKUP(K514,'Catálogo SAP'!A:F,5,FALSE),"")</f>
        <v/>
      </c>
      <c r="O514" s="160"/>
      <c r="P514" s="70" t="str">
        <f t="shared" si="200"/>
        <v>-</v>
      </c>
      <c r="Q514" s="163" t="str">
        <f t="shared" si="213"/>
        <v>-</v>
      </c>
      <c r="R514" s="44" t="str">
        <f>IF(J514&lt;&gt;"",VLOOKUP(J514,'RESUMO DR'!$B$4:$E$253,4,FALSE),"-")</f>
        <v>-</v>
      </c>
      <c r="S514" s="58" t="str">
        <f>IF(J514&lt;&gt;"",VLOOKUP(J514,'RESUMO DR'!$B$4:$E$253,3,FALSE),"-")</f>
        <v>-</v>
      </c>
      <c r="T514" s="129"/>
      <c r="U514" s="129"/>
      <c r="V514" s="129"/>
      <c r="W514" s="128"/>
      <c r="X514" s="127"/>
      <c r="Y514" s="127"/>
      <c r="Z514" s="4"/>
    </row>
    <row r="515" spans="1:26" ht="18" customHeight="1">
      <c r="A515" s="5"/>
      <c r="B515" s="21">
        <v>45661</v>
      </c>
      <c r="C515" s="21" t="s">
        <v>121</v>
      </c>
      <c r="D515" s="74" t="str">
        <f t="shared" si="205"/>
        <v>sáb</v>
      </c>
      <c r="E515" s="169" t="str">
        <f>IF(K515&lt;&gt;"",VLOOKUP(K515,'Catálogo SAP'!$A$1:$F$245,2,FALSE),"-")</f>
        <v>-</v>
      </c>
      <c r="F515" s="16"/>
      <c r="G515" s="16"/>
      <c r="H515" s="22"/>
      <c r="I515" s="133"/>
      <c r="J515" s="162" t="str">
        <f t="shared" si="210"/>
        <v/>
      </c>
      <c r="K515" s="16"/>
      <c r="L515" s="167" t="str">
        <f>IF(K515&lt;&gt;"",VLOOKUP(K515,'Catálogo SAP'!A:F,3,FALSE),"")</f>
        <v/>
      </c>
      <c r="M515" s="162" t="str">
        <f>IF(K515&lt;&gt;"",VLOOKUP(K515,'Catálogo SAP'!A:F,4,FALSE),"")</f>
        <v/>
      </c>
      <c r="N515" s="168" t="str">
        <f>IF(K515&lt;&gt;"",VLOOKUP(K515,'Catálogo SAP'!A:F,5,FALSE),"")</f>
        <v/>
      </c>
      <c r="O515" s="160"/>
      <c r="P515" s="70" t="str">
        <f t="shared" si="200"/>
        <v>-</v>
      </c>
      <c r="Q515" s="163" t="str">
        <f t="shared" ref="Q515:Q516" si="214">IF(K515="","-",N515*O515)</f>
        <v>-</v>
      </c>
      <c r="R515" s="44" t="str">
        <f>IF(J515&lt;&gt;"",VLOOKUP(J515,'RESUMO DR'!$B$4:$E$253,4,FALSE),"-")</f>
        <v>-</v>
      </c>
      <c r="S515" s="58" t="str">
        <f>IF(J515&lt;&gt;"",VLOOKUP(J515,'RESUMO DR'!$B$4:$E$253,3,FALSE),"-")</f>
        <v>-</v>
      </c>
      <c r="T515" s="129"/>
      <c r="U515" s="129"/>
      <c r="V515" s="129"/>
      <c r="W515" s="128"/>
      <c r="X515" s="127"/>
      <c r="Y515" s="127"/>
      <c r="Z515" s="4"/>
    </row>
    <row r="516" spans="1:26" ht="18" customHeight="1">
      <c r="A516" s="5">
        <v>1942</v>
      </c>
      <c r="B516" s="21">
        <v>45661</v>
      </c>
      <c r="C516" s="21" t="s">
        <v>122</v>
      </c>
      <c r="D516" s="74" t="str">
        <f t="shared" si="205"/>
        <v>sáb</v>
      </c>
      <c r="E516" s="169">
        <f>IF(K516&lt;&gt;"",VLOOKUP(K516,'Catálogo SAP'!$A$1:$F$245,2,FALSE),"-")</f>
        <v>120</v>
      </c>
      <c r="F516" s="225">
        <v>3865</v>
      </c>
      <c r="G516" s="225">
        <v>3871</v>
      </c>
      <c r="H516" s="226"/>
      <c r="I516" s="230">
        <v>326</v>
      </c>
      <c r="J516" s="162" t="str">
        <f t="shared" si="210"/>
        <v>BABAÇULÂNDIA</v>
      </c>
      <c r="K516" s="16">
        <v>120</v>
      </c>
      <c r="L516" s="167" t="str">
        <f>IF(K516&lt;&gt;"",VLOOKUP(K516,'Catálogo SAP'!A:F,3,FALSE),"")</f>
        <v>S.VP-01437</v>
      </c>
      <c r="M516" s="162" t="str">
        <f>IF(K516&lt;&gt;"",VLOOKUP(K516,'Catálogo SAP'!A:F,4,FALSE),"")</f>
        <v>Hr Produtiva Retroescavadeira C/Operador</v>
      </c>
      <c r="N516" s="168" t="str">
        <f>IF(K516&lt;&gt;"",VLOOKUP(K516,'Catálogo SAP'!A:F,5,FALSE),"")</f>
        <v>H</v>
      </c>
      <c r="O516" s="160">
        <v>6</v>
      </c>
      <c r="P516" s="70">
        <f t="shared" si="200"/>
        <v>6</v>
      </c>
      <c r="Q516" s="163" t="e">
        <f t="shared" si="214"/>
        <v>#VALUE!</v>
      </c>
      <c r="R516" s="44" t="str">
        <f>IF(J516&lt;&gt;"",VLOOKUP(J516,'RESUMO DR'!$B$4:$E$253,4,FALSE),"-")</f>
        <v>T-02</v>
      </c>
      <c r="S516" s="58" t="str">
        <f>IF(J516&lt;&gt;"",VLOOKUP(J516,'RESUMO DR'!$B$4:$E$253,3,FALSE),"-")</f>
        <v>ARAGUAINA</v>
      </c>
      <c r="T516" s="129"/>
      <c r="U516" s="129"/>
      <c r="V516" s="129"/>
      <c r="W516" s="128"/>
      <c r="X516" s="127"/>
      <c r="Y516" s="127"/>
      <c r="Z516" s="4"/>
    </row>
    <row r="517" spans="1:26" ht="18" customHeight="1">
      <c r="A517" s="5"/>
      <c r="B517" s="21">
        <v>45661</v>
      </c>
      <c r="C517" s="21" t="s">
        <v>123</v>
      </c>
      <c r="D517" s="74" t="str">
        <f t="shared" si="205"/>
        <v>sáb</v>
      </c>
      <c r="E517" s="169" t="str">
        <f>IF(K517&lt;&gt;"",VLOOKUP(K517,'Catálogo SAP'!$A$1:$F$245,2,FALSE),"-")</f>
        <v>-</v>
      </c>
      <c r="F517" s="16"/>
      <c r="G517" s="16"/>
      <c r="H517" s="22"/>
      <c r="I517" s="133"/>
      <c r="J517" s="162" t="str">
        <f t="shared" si="210"/>
        <v/>
      </c>
      <c r="K517" s="16"/>
      <c r="L517" s="167" t="str">
        <f>IF(K517&lt;&gt;"",VLOOKUP(K517,'Catálogo SAP'!A:F,3,FALSE),"")</f>
        <v/>
      </c>
      <c r="M517" s="162" t="str">
        <f>IF(K517&lt;&gt;"",VLOOKUP(K517,'Catálogo SAP'!A:F,4,FALSE),"")</f>
        <v/>
      </c>
      <c r="N517" s="168" t="str">
        <f>IF(K517&lt;&gt;"",VLOOKUP(K517,'Catálogo SAP'!A:F,5,FALSE),"")</f>
        <v/>
      </c>
      <c r="O517" s="160"/>
      <c r="P517" s="70" t="str">
        <f t="shared" si="200"/>
        <v>-</v>
      </c>
      <c r="Q517" s="163" t="str">
        <f t="shared" ref="Q517:Q559" si="215">IF(K517="","-",N517*O517)</f>
        <v>-</v>
      </c>
      <c r="R517" s="44" t="str">
        <f>IF(J517&lt;&gt;"",VLOOKUP(J517,'RESUMO DR'!$B$4:$E$253,4,FALSE),"-")</f>
        <v>-</v>
      </c>
      <c r="S517" s="58" t="str">
        <f>IF(J517&lt;&gt;"",VLOOKUP(J517,'RESUMO DR'!$B$4:$E$253,3,FALSE),"-")</f>
        <v>-</v>
      </c>
      <c r="T517" s="129"/>
      <c r="U517" s="129"/>
      <c r="V517" s="129"/>
      <c r="W517" s="128"/>
      <c r="X517" s="127"/>
      <c r="Y517" s="127"/>
      <c r="Z517" s="4"/>
    </row>
    <row r="518" spans="1:26" ht="18" customHeight="1">
      <c r="A518" s="5"/>
      <c r="B518" s="21">
        <v>45661</v>
      </c>
      <c r="C518" s="21" t="s">
        <v>123</v>
      </c>
      <c r="D518" s="74" t="str">
        <f t="shared" si="205"/>
        <v>sáb</v>
      </c>
      <c r="E518" s="169" t="str">
        <f>IF(K518&lt;&gt;"",VLOOKUP(K518,'Catálogo SAP'!$A$1:$F$245,2,FALSE),"-")</f>
        <v>-</v>
      </c>
      <c r="F518" s="225"/>
      <c r="G518" s="225"/>
      <c r="H518" s="226"/>
      <c r="I518" s="230"/>
      <c r="J518" s="162" t="str">
        <f t="shared" si="210"/>
        <v/>
      </c>
      <c r="K518" s="16"/>
      <c r="L518" s="167" t="str">
        <f>IF(K518&lt;&gt;"",VLOOKUP(K518,'Catálogo SAP'!A:F,3,FALSE),"")</f>
        <v/>
      </c>
      <c r="M518" s="162" t="str">
        <f>IF(K518&lt;&gt;"",VLOOKUP(K518,'Catálogo SAP'!A:F,4,FALSE),"")</f>
        <v/>
      </c>
      <c r="N518" s="168" t="str">
        <f>IF(K518&lt;&gt;"",VLOOKUP(K518,'Catálogo SAP'!A:F,5,FALSE),"")</f>
        <v/>
      </c>
      <c r="O518" s="160"/>
      <c r="P518" s="70" t="str">
        <f t="shared" ref="P518:P581" si="216">IF(G518="","-",G518-F518)</f>
        <v>-</v>
      </c>
      <c r="Q518" s="163" t="str">
        <f t="shared" ref="Q518" si="217">IF(K518="","-",N518*O518)</f>
        <v>-</v>
      </c>
      <c r="R518" s="44" t="str">
        <f>IF(J518&lt;&gt;"",VLOOKUP(J518,'RESUMO DR'!$B$4:$E$253,4,FALSE),"-")</f>
        <v>-</v>
      </c>
      <c r="S518" s="58" t="str">
        <f>IF(J518&lt;&gt;"",VLOOKUP(J518,'RESUMO DR'!$B$4:$E$253,3,FALSE),"-")</f>
        <v>-</v>
      </c>
      <c r="T518" s="129"/>
      <c r="U518" s="129"/>
      <c r="V518" s="129"/>
      <c r="W518" s="128"/>
      <c r="X518" s="127"/>
      <c r="Y518" s="127"/>
      <c r="Z518" s="4"/>
    </row>
    <row r="519" spans="1:26" ht="18" customHeight="1">
      <c r="A519" s="5"/>
      <c r="B519" s="21">
        <v>45661</v>
      </c>
      <c r="C519" s="21" t="s">
        <v>124</v>
      </c>
      <c r="D519" s="74" t="str">
        <f t="shared" si="205"/>
        <v>sáb</v>
      </c>
      <c r="E519" s="169" t="str">
        <f>IF(K519&lt;&gt;"",VLOOKUP(K519,'Catálogo SAP'!$A$1:$F$245,2,FALSE),"-")</f>
        <v>-</v>
      </c>
      <c r="F519" s="16"/>
      <c r="G519" s="16"/>
      <c r="H519" s="22"/>
      <c r="I519" s="133"/>
      <c r="J519" s="162" t="str">
        <f t="shared" si="210"/>
        <v/>
      </c>
      <c r="K519" s="16"/>
      <c r="L519" s="167" t="str">
        <f>IF(K519&lt;&gt;"",VLOOKUP(K519,'Catálogo SAP'!A:F,3,FALSE),"")</f>
        <v/>
      </c>
      <c r="M519" s="162" t="str">
        <f>IF(K519&lt;&gt;"",VLOOKUP(K519,'Catálogo SAP'!A:F,4,FALSE),"")</f>
        <v/>
      </c>
      <c r="N519" s="168" t="str">
        <f>IF(K519&lt;&gt;"",VLOOKUP(K519,'Catálogo SAP'!A:F,5,FALSE),"")</f>
        <v/>
      </c>
      <c r="O519" s="160"/>
      <c r="P519" s="70" t="str">
        <f t="shared" si="216"/>
        <v>-</v>
      </c>
      <c r="Q519" s="163" t="str">
        <f t="shared" si="215"/>
        <v>-</v>
      </c>
      <c r="R519" s="44" t="str">
        <f>IF(J519&lt;&gt;"",VLOOKUP(J519,'RESUMO DR'!$B$4:$E$253,4,FALSE),"-")</f>
        <v>-</v>
      </c>
      <c r="S519" s="58" t="str">
        <f>IF(J519&lt;&gt;"",VLOOKUP(J519,'RESUMO DR'!$B$4:$E$253,3,FALSE),"-")</f>
        <v>-</v>
      </c>
      <c r="T519" s="129"/>
      <c r="U519" s="129"/>
      <c r="V519" s="129"/>
      <c r="W519" s="128"/>
      <c r="X519" s="127"/>
      <c r="Y519" s="127"/>
      <c r="Z519" s="4"/>
    </row>
    <row r="520" spans="1:26" ht="18" customHeight="1">
      <c r="A520" s="5"/>
      <c r="B520" s="21">
        <v>45661</v>
      </c>
      <c r="C520" s="21" t="s">
        <v>124</v>
      </c>
      <c r="D520" s="74" t="str">
        <f t="shared" si="205"/>
        <v>sáb</v>
      </c>
      <c r="E520" s="169" t="str">
        <f>IF(K520&lt;&gt;"",VLOOKUP(K520,'Catálogo SAP'!$A$1:$F$245,2,FALSE),"-")</f>
        <v>-</v>
      </c>
      <c r="F520" s="16"/>
      <c r="G520" s="16"/>
      <c r="H520" s="22"/>
      <c r="I520" s="133"/>
      <c r="J520" s="162" t="str">
        <f t="shared" si="210"/>
        <v/>
      </c>
      <c r="K520" s="16"/>
      <c r="L520" s="167" t="str">
        <f>IF(K520&lt;&gt;"",VLOOKUP(K520,'Catálogo SAP'!A:F,3,FALSE),"")</f>
        <v/>
      </c>
      <c r="M520" s="162" t="str">
        <f>IF(K520&lt;&gt;"",VLOOKUP(K520,'Catálogo SAP'!A:F,4,FALSE),"")</f>
        <v/>
      </c>
      <c r="N520" s="168" t="str">
        <f>IF(K520&lt;&gt;"",VLOOKUP(K520,'Catálogo SAP'!A:F,5,FALSE),"")</f>
        <v/>
      </c>
      <c r="O520" s="160"/>
      <c r="P520" s="70" t="str">
        <f t="shared" si="216"/>
        <v>-</v>
      </c>
      <c r="Q520" s="163" t="str">
        <f t="shared" ref="Q520:Q522" si="218">IF(K520="","-",N520*O520)</f>
        <v>-</v>
      </c>
      <c r="R520" s="44" t="str">
        <f>IF(J520&lt;&gt;"",VLOOKUP(J520,'RESUMO DR'!$B$4:$E$253,4,FALSE),"-")</f>
        <v>-</v>
      </c>
      <c r="S520" s="58" t="str">
        <f>IF(J520&lt;&gt;"",VLOOKUP(J520,'RESUMO DR'!$B$4:$E$253,3,FALSE),"-")</f>
        <v>-</v>
      </c>
      <c r="T520" s="129"/>
      <c r="U520" s="129"/>
      <c r="V520" s="129"/>
      <c r="W520" s="128"/>
      <c r="X520" s="127"/>
      <c r="Y520" s="127"/>
      <c r="Z520" s="4"/>
    </row>
    <row r="521" spans="1:26" ht="18" customHeight="1">
      <c r="A521" s="5"/>
      <c r="B521" s="21">
        <v>45661</v>
      </c>
      <c r="C521" s="21" t="s">
        <v>313</v>
      </c>
      <c r="D521" s="74" t="str">
        <f t="shared" si="205"/>
        <v>sáb</v>
      </c>
      <c r="E521" s="169" t="str">
        <f>IF(K521&lt;&gt;"",VLOOKUP(K521,'Catálogo SAP'!$A$1:$F$245,2,FALSE),"-")</f>
        <v>-</v>
      </c>
      <c r="F521" s="225"/>
      <c r="G521" s="225"/>
      <c r="H521" s="226"/>
      <c r="I521" s="230"/>
      <c r="J521" s="162" t="str">
        <f t="shared" si="210"/>
        <v/>
      </c>
      <c r="K521" s="16"/>
      <c r="L521" s="167" t="str">
        <f>IF(K521&lt;&gt;"",VLOOKUP(K521,'Catálogo SAP'!A:F,3,FALSE),"")</f>
        <v/>
      </c>
      <c r="M521" s="162" t="str">
        <f>IF(K521&lt;&gt;"",VLOOKUP(K521,'Catálogo SAP'!A:F,4,FALSE),"")</f>
        <v/>
      </c>
      <c r="N521" s="168" t="str">
        <f>IF(K521&lt;&gt;"",VLOOKUP(K521,'Catálogo SAP'!A:F,5,FALSE),"")</f>
        <v/>
      </c>
      <c r="O521" s="160"/>
      <c r="P521" s="70" t="str">
        <f t="shared" si="216"/>
        <v>-</v>
      </c>
      <c r="Q521" s="163" t="str">
        <f t="shared" si="218"/>
        <v>-</v>
      </c>
      <c r="R521" s="44" t="str">
        <f>IF(J521&lt;&gt;"",VLOOKUP(J521,'RESUMO DR'!$B$4:$E$253,4,FALSE),"-")</f>
        <v>-</v>
      </c>
      <c r="S521" s="58" t="str">
        <f>IF(J521&lt;&gt;"",VLOOKUP(J521,'RESUMO DR'!$B$4:$E$253,3,FALSE),"-")</f>
        <v>-</v>
      </c>
      <c r="T521" s="129"/>
      <c r="U521" s="129"/>
      <c r="V521" s="129"/>
      <c r="W521" s="128"/>
      <c r="X521" s="127"/>
      <c r="Y521" s="127"/>
      <c r="Z521" s="4"/>
    </row>
    <row r="522" spans="1:26" ht="18" customHeight="1">
      <c r="A522" s="5"/>
      <c r="B522" s="21">
        <v>45661</v>
      </c>
      <c r="C522" s="21" t="s">
        <v>314</v>
      </c>
      <c r="D522" s="74" t="str">
        <f t="shared" si="205"/>
        <v>sáb</v>
      </c>
      <c r="E522" s="169" t="str">
        <f>IF(K522&lt;&gt;"",VLOOKUP(K522,'Catálogo SAP'!$A$1:$F$245,2,FALSE),"-")</f>
        <v>-</v>
      </c>
      <c r="F522" s="225"/>
      <c r="G522" s="225"/>
      <c r="H522" s="226"/>
      <c r="I522" s="230"/>
      <c r="J522" s="162" t="str">
        <f t="shared" si="210"/>
        <v/>
      </c>
      <c r="K522" s="16"/>
      <c r="L522" s="167" t="str">
        <f>IF(K522&lt;&gt;"",VLOOKUP(K522,'Catálogo SAP'!A:F,3,FALSE),"")</f>
        <v/>
      </c>
      <c r="M522" s="162" t="str">
        <f>IF(K522&lt;&gt;"",VLOOKUP(K522,'Catálogo SAP'!A:F,4,FALSE),"")</f>
        <v/>
      </c>
      <c r="N522" s="168" t="str">
        <f>IF(K522&lt;&gt;"",VLOOKUP(K522,'Catálogo SAP'!A:F,5,FALSE),"")</f>
        <v/>
      </c>
      <c r="O522" s="160"/>
      <c r="P522" s="70" t="str">
        <f t="shared" si="216"/>
        <v>-</v>
      </c>
      <c r="Q522" s="163" t="str">
        <f t="shared" si="218"/>
        <v>-</v>
      </c>
      <c r="R522" s="44" t="str">
        <f>IF(J522&lt;&gt;"",VLOOKUP(J522,'RESUMO DR'!$B$4:$E$253,4,FALSE),"-")</f>
        <v>-</v>
      </c>
      <c r="S522" s="58" t="str">
        <f>IF(J522&lt;&gt;"",VLOOKUP(J522,'RESUMO DR'!$B$4:$E$253,3,FALSE),"-")</f>
        <v>-</v>
      </c>
      <c r="T522" s="129"/>
      <c r="U522" s="129"/>
      <c r="V522" s="129"/>
      <c r="W522" s="128"/>
      <c r="X522" s="127"/>
      <c r="Y522" s="127"/>
      <c r="Z522" s="4"/>
    </row>
    <row r="523" spans="1:26" ht="18" customHeight="1">
      <c r="A523" s="5">
        <v>1934</v>
      </c>
      <c r="B523" s="21">
        <v>45661</v>
      </c>
      <c r="C523" s="21" t="s">
        <v>127</v>
      </c>
      <c r="D523" s="74" t="str">
        <f t="shared" si="205"/>
        <v>sáb</v>
      </c>
      <c r="E523" s="169">
        <f>IF(K523&lt;&gt;"",VLOOKUP(K523,'Catálogo SAP'!$A$1:$F$245,2,FALSE),"-")</f>
        <v>200</v>
      </c>
      <c r="F523" s="225">
        <v>49850</v>
      </c>
      <c r="G523" s="225">
        <v>49900</v>
      </c>
      <c r="H523" s="226"/>
      <c r="I523" s="230">
        <v>442</v>
      </c>
      <c r="J523" s="162" t="str">
        <f t="shared" si="210"/>
        <v>Palmeirante</v>
      </c>
      <c r="K523" s="16">
        <v>200</v>
      </c>
      <c r="L523" s="167" t="str">
        <f>IF(K523&lt;&gt;"",VLOOKUP(K523,'Catálogo SAP'!A:F,3,FALSE),"")</f>
        <v>S.VP-01445</v>
      </c>
      <c r="M523" s="162" t="str">
        <f>IF(K523&lt;&gt;"",VLOOKUP(K523,'Catálogo SAP'!A:F,4,FALSE),"")</f>
        <v>Km Rodado Caminhão Basculante - C/Motorista</v>
      </c>
      <c r="N523" s="168" t="str">
        <f>IF(K523&lt;&gt;"",VLOOKUP(K523,'Catálogo SAP'!A:F,5,FALSE),"")</f>
        <v>KM</v>
      </c>
      <c r="O523" s="160">
        <v>50</v>
      </c>
      <c r="P523" s="70">
        <f t="shared" si="216"/>
        <v>50</v>
      </c>
      <c r="Q523" s="163" t="e">
        <f t="shared" si="215"/>
        <v>#VALUE!</v>
      </c>
      <c r="R523" s="44" t="str">
        <f>IF(J523&lt;&gt;"",VLOOKUP(J523,'RESUMO DR'!$B$4:$E$253,4,FALSE),"-")</f>
        <v>T-02</v>
      </c>
      <c r="S523" s="58" t="str">
        <f>IF(J523&lt;&gt;"",VLOOKUP(J523,'RESUMO DR'!$B$4:$E$253,3,FALSE),"-")</f>
        <v>ARAGUAINA</v>
      </c>
      <c r="T523" s="129"/>
      <c r="U523" s="129"/>
      <c r="V523" s="129"/>
      <c r="W523" s="128"/>
      <c r="X523" s="127"/>
      <c r="Y523" s="127"/>
      <c r="Z523" s="4"/>
    </row>
    <row r="524" spans="1:26" ht="18" customHeight="1">
      <c r="A524" s="5">
        <v>1936</v>
      </c>
      <c r="B524" s="21">
        <v>45661</v>
      </c>
      <c r="C524" s="21" t="s">
        <v>312</v>
      </c>
      <c r="D524" s="74" t="str">
        <f t="shared" si="205"/>
        <v>sáb</v>
      </c>
      <c r="E524" s="169">
        <f>IF(K524&lt;&gt;"",VLOOKUP(K524,'Catálogo SAP'!$A$1:$F$245,2,FALSE),"-")</f>
        <v>200</v>
      </c>
      <c r="F524" s="16">
        <v>73126</v>
      </c>
      <c r="G524" s="16">
        <v>73349</v>
      </c>
      <c r="H524" s="22"/>
      <c r="I524" s="133">
        <v>442</v>
      </c>
      <c r="J524" s="162" t="str">
        <f t="shared" si="210"/>
        <v>Palmeirante</v>
      </c>
      <c r="K524" s="16">
        <v>200</v>
      </c>
      <c r="L524" s="167" t="str">
        <f>IF(K524&lt;&gt;"",VLOOKUP(K524,'Catálogo SAP'!A:F,3,FALSE),"")</f>
        <v>S.VP-01445</v>
      </c>
      <c r="M524" s="162" t="str">
        <f>IF(K524&lt;&gt;"",VLOOKUP(K524,'Catálogo SAP'!A:F,4,FALSE),"")</f>
        <v>Km Rodado Caminhão Basculante - C/Motorista</v>
      </c>
      <c r="N524" s="168" t="str">
        <f>IF(K524&lt;&gt;"",VLOOKUP(K524,'Catálogo SAP'!A:F,5,FALSE),"")</f>
        <v>KM</v>
      </c>
      <c r="O524" s="160">
        <v>223</v>
      </c>
      <c r="P524" s="70">
        <f t="shared" si="216"/>
        <v>223</v>
      </c>
      <c r="Q524" s="163" t="e">
        <f t="shared" si="215"/>
        <v>#VALUE!</v>
      </c>
      <c r="R524" s="44" t="str">
        <f>IF(J524&lt;&gt;"",VLOOKUP(J524,'RESUMO DR'!$B$4:$E$253,4,FALSE),"-")</f>
        <v>T-02</v>
      </c>
      <c r="S524" s="58" t="str">
        <f>IF(J524&lt;&gt;"",VLOOKUP(J524,'RESUMO DR'!$B$4:$E$253,3,FALSE),"-")</f>
        <v>ARAGUAINA</v>
      </c>
      <c r="T524" s="129"/>
      <c r="U524" s="129"/>
      <c r="V524" s="129"/>
      <c r="W524" s="128"/>
      <c r="X524" s="127"/>
      <c r="Y524" s="127"/>
      <c r="Z524" s="4"/>
    </row>
    <row r="525" spans="1:26" ht="18" customHeight="1">
      <c r="A525" s="5"/>
      <c r="B525" s="21">
        <v>45661</v>
      </c>
      <c r="C525" s="21" t="s">
        <v>128</v>
      </c>
      <c r="D525" s="74" t="str">
        <f t="shared" si="205"/>
        <v>sáb</v>
      </c>
      <c r="E525" s="169" t="str">
        <f>IF(K525&lt;&gt;"",VLOOKUP(K525,'Catálogo SAP'!$A$1:$F$245,2,FALSE),"-")</f>
        <v>-</v>
      </c>
      <c r="F525" s="16"/>
      <c r="G525" s="16"/>
      <c r="H525" s="22"/>
      <c r="I525" s="133"/>
      <c r="J525" s="162" t="str">
        <f t="shared" si="210"/>
        <v/>
      </c>
      <c r="K525" s="16"/>
      <c r="L525" s="167" t="str">
        <f>IF(K525&lt;&gt;"",VLOOKUP(K525,'Catálogo SAP'!A:F,3,FALSE),"")</f>
        <v/>
      </c>
      <c r="M525" s="162" t="str">
        <f>IF(K525&lt;&gt;"",VLOOKUP(K525,'Catálogo SAP'!A:F,4,FALSE),"")</f>
        <v/>
      </c>
      <c r="N525" s="168" t="str">
        <f>IF(K525&lt;&gt;"",VLOOKUP(K525,'Catálogo SAP'!A:F,5,FALSE),"")</f>
        <v/>
      </c>
      <c r="O525" s="160"/>
      <c r="P525" s="70" t="str">
        <f t="shared" si="216"/>
        <v>-</v>
      </c>
      <c r="Q525" s="163" t="str">
        <f t="shared" si="215"/>
        <v>-</v>
      </c>
      <c r="R525" s="44" t="str">
        <f>IF(J525&lt;&gt;"",VLOOKUP(J525,'RESUMO DR'!$B$4:$E$253,4,FALSE),"-")</f>
        <v>-</v>
      </c>
      <c r="S525" s="58" t="str">
        <f>IF(J525&lt;&gt;"",VLOOKUP(J525,'RESUMO DR'!$B$4:$E$253,3,FALSE),"-")</f>
        <v>-</v>
      </c>
      <c r="T525" s="129"/>
      <c r="U525" s="129"/>
      <c r="V525" s="129"/>
      <c r="W525" s="128"/>
      <c r="X525" s="127"/>
      <c r="Y525" s="127"/>
      <c r="Z525" s="4"/>
    </row>
    <row r="526" spans="1:26" ht="18" customHeight="1">
      <c r="A526" s="5"/>
      <c r="B526" s="21">
        <v>45661</v>
      </c>
      <c r="C526" s="21" t="s">
        <v>129</v>
      </c>
      <c r="D526" s="74" t="str">
        <f t="shared" si="205"/>
        <v>sáb</v>
      </c>
      <c r="E526" s="169" t="str">
        <f>IF(K526&lt;&gt;"",VLOOKUP(K526,'Catálogo SAP'!$A$1:$F$245,2,FALSE),"-")</f>
        <v>-</v>
      </c>
      <c r="F526" s="225"/>
      <c r="G526" s="225"/>
      <c r="H526" s="226"/>
      <c r="I526" s="230"/>
      <c r="J526" s="162" t="str">
        <f t="shared" si="210"/>
        <v/>
      </c>
      <c r="K526" s="16"/>
      <c r="L526" s="167" t="str">
        <f>IF(K526&lt;&gt;"",VLOOKUP(K526,'Catálogo SAP'!A:F,3,FALSE),"")</f>
        <v/>
      </c>
      <c r="M526" s="162" t="str">
        <f>IF(K526&lt;&gt;"",VLOOKUP(K526,'Catálogo SAP'!A:F,4,FALSE),"")</f>
        <v/>
      </c>
      <c r="N526" s="168" t="str">
        <f>IF(K526&lt;&gt;"",VLOOKUP(K526,'Catálogo SAP'!A:F,5,FALSE),"")</f>
        <v/>
      </c>
      <c r="O526" s="160"/>
      <c r="P526" s="70" t="str">
        <f t="shared" si="216"/>
        <v>-</v>
      </c>
      <c r="Q526" s="163" t="str">
        <f t="shared" si="215"/>
        <v>-</v>
      </c>
      <c r="R526" s="44" t="str">
        <f>IF(J526&lt;&gt;"",VLOOKUP(J526,'RESUMO DR'!$B$4:$E$253,4,FALSE),"-")</f>
        <v>-</v>
      </c>
      <c r="S526" s="58" t="str">
        <f>IF(J526&lt;&gt;"",VLOOKUP(J526,'RESUMO DR'!$B$4:$E$253,3,FALSE),"-")</f>
        <v>-</v>
      </c>
      <c r="T526" s="129"/>
      <c r="U526" s="129"/>
      <c r="V526" s="129"/>
      <c r="W526" s="128"/>
      <c r="X526" s="127"/>
      <c r="Y526" s="127"/>
      <c r="Z526" s="4"/>
    </row>
    <row r="527" spans="1:26" ht="18" customHeight="1">
      <c r="A527" s="5"/>
      <c r="B527" s="21">
        <v>45661</v>
      </c>
      <c r="C527" s="21" t="s">
        <v>298</v>
      </c>
      <c r="D527" s="74" t="str">
        <f t="shared" si="205"/>
        <v>sáb</v>
      </c>
      <c r="E527" s="169" t="str">
        <f>IF(K527&lt;&gt;"",VLOOKUP(K527,'Catálogo SAP'!$A$1:$F$245,2,FALSE),"-")</f>
        <v>-</v>
      </c>
      <c r="F527" s="225"/>
      <c r="G527" s="225"/>
      <c r="H527" s="226"/>
      <c r="I527" s="230"/>
      <c r="J527" s="162" t="str">
        <f t="shared" si="210"/>
        <v/>
      </c>
      <c r="K527" s="16"/>
      <c r="L527" s="167" t="str">
        <f>IF(K527&lt;&gt;"",VLOOKUP(K527,'Catálogo SAP'!A:F,3,FALSE),"")</f>
        <v/>
      </c>
      <c r="M527" s="162" t="str">
        <f>IF(K527&lt;&gt;"",VLOOKUP(K527,'Catálogo SAP'!A:F,4,FALSE),"")</f>
        <v/>
      </c>
      <c r="N527" s="168" t="str">
        <f>IF(K527&lt;&gt;"",VLOOKUP(K527,'Catálogo SAP'!A:F,5,FALSE),"")</f>
        <v/>
      </c>
      <c r="O527" s="160"/>
      <c r="P527" s="70" t="str">
        <f t="shared" si="216"/>
        <v>-</v>
      </c>
      <c r="Q527" s="163" t="str">
        <f t="shared" si="215"/>
        <v>-</v>
      </c>
      <c r="R527" s="44" t="str">
        <f>IF(J527&lt;&gt;"",VLOOKUP(J527,'RESUMO DR'!$B$4:$E$253,4,FALSE),"-")</f>
        <v>-</v>
      </c>
      <c r="S527" s="58" t="str">
        <f>IF(J527&lt;&gt;"",VLOOKUP(J527,'RESUMO DR'!$B$4:$E$253,3,FALSE),"-")</f>
        <v>-</v>
      </c>
      <c r="T527" s="129"/>
      <c r="U527" s="129"/>
      <c r="V527" s="129"/>
      <c r="W527" s="128"/>
      <c r="X527" s="127"/>
      <c r="Y527" s="127"/>
      <c r="Z527" s="4"/>
    </row>
    <row r="528" spans="1:26" ht="18" customHeight="1">
      <c r="A528" s="5"/>
      <c r="B528" s="21">
        <v>45661</v>
      </c>
      <c r="C528" s="21" t="s">
        <v>131</v>
      </c>
      <c r="D528" s="74" t="str">
        <f t="shared" si="205"/>
        <v>sáb</v>
      </c>
      <c r="E528" s="169" t="str">
        <f>IF(K528&lt;&gt;"",VLOOKUP(K528,'Catálogo SAP'!$A$1:$F$245,2,FALSE),"-")</f>
        <v>-</v>
      </c>
      <c r="F528" s="225"/>
      <c r="G528" s="225"/>
      <c r="H528" s="226"/>
      <c r="I528" s="230"/>
      <c r="J528" s="162" t="str">
        <f t="shared" si="210"/>
        <v/>
      </c>
      <c r="K528" s="16"/>
      <c r="L528" s="167" t="str">
        <f>IF(K528&lt;&gt;"",VLOOKUP(K528,'Catálogo SAP'!A:F,3,FALSE),"")</f>
        <v/>
      </c>
      <c r="M528" s="162" t="str">
        <f>IF(K528&lt;&gt;"",VLOOKUP(K528,'Catálogo SAP'!A:F,4,FALSE),"")</f>
        <v/>
      </c>
      <c r="N528" s="168" t="str">
        <f>IF(K528&lt;&gt;"",VLOOKUP(K528,'Catálogo SAP'!A:F,5,FALSE),"")</f>
        <v/>
      </c>
      <c r="O528" s="160"/>
      <c r="P528" s="70" t="str">
        <f t="shared" si="216"/>
        <v>-</v>
      </c>
      <c r="Q528" s="163" t="str">
        <f t="shared" si="215"/>
        <v>-</v>
      </c>
      <c r="R528" s="44" t="str">
        <f>IF(J528&lt;&gt;"",VLOOKUP(J528,'RESUMO DR'!$B$4:$E$253,4,FALSE),"-")</f>
        <v>-</v>
      </c>
      <c r="S528" s="58" t="str">
        <f>IF(J528&lt;&gt;"",VLOOKUP(J528,'RESUMO DR'!$B$4:$E$253,3,FALSE),"-")</f>
        <v>-</v>
      </c>
      <c r="T528" s="129"/>
      <c r="U528" s="129"/>
      <c r="V528" s="129"/>
      <c r="W528" s="128"/>
      <c r="X528" s="127"/>
      <c r="Y528" s="127"/>
      <c r="Z528" s="4"/>
    </row>
    <row r="529" spans="1:26" ht="18" customHeight="1">
      <c r="A529" s="5"/>
      <c r="B529" s="21">
        <v>45661</v>
      </c>
      <c r="C529" s="21" t="s">
        <v>131</v>
      </c>
      <c r="D529" s="74" t="str">
        <f t="shared" si="205"/>
        <v>sáb</v>
      </c>
      <c r="E529" s="169" t="str">
        <f>IF(K529&lt;&gt;"",VLOOKUP(K529,'Catálogo SAP'!$A$1:$F$245,2,FALSE),"-")</f>
        <v>-</v>
      </c>
      <c r="F529" s="225"/>
      <c r="G529" s="225"/>
      <c r="H529" s="226"/>
      <c r="I529" s="230"/>
      <c r="J529" s="162" t="str">
        <f t="shared" si="210"/>
        <v/>
      </c>
      <c r="K529" s="16"/>
      <c r="L529" s="167" t="str">
        <f>IF(K529&lt;&gt;"",VLOOKUP(K529,'Catálogo SAP'!A:F,3,FALSE),"")</f>
        <v/>
      </c>
      <c r="M529" s="162" t="str">
        <f>IF(K529&lt;&gt;"",VLOOKUP(K529,'Catálogo SAP'!A:F,4,FALSE),"")</f>
        <v/>
      </c>
      <c r="N529" s="168" t="str">
        <f>IF(K529&lt;&gt;"",VLOOKUP(K529,'Catálogo SAP'!A:F,5,FALSE),"")</f>
        <v/>
      </c>
      <c r="O529" s="160"/>
      <c r="P529" s="70" t="str">
        <f t="shared" si="216"/>
        <v>-</v>
      </c>
      <c r="Q529" s="163" t="str">
        <f t="shared" si="215"/>
        <v>-</v>
      </c>
      <c r="R529" s="44" t="str">
        <f>IF(J529&lt;&gt;"",VLOOKUP(J529,'RESUMO DR'!$B$4:$E$253,4,FALSE),"-")</f>
        <v>-</v>
      </c>
      <c r="S529" s="58" t="str">
        <f>IF(J529&lt;&gt;"",VLOOKUP(J529,'RESUMO DR'!$B$4:$E$253,3,FALSE),"-")</f>
        <v>-</v>
      </c>
      <c r="T529" s="129"/>
      <c r="U529" s="129"/>
      <c r="V529" s="129"/>
      <c r="W529" s="128"/>
      <c r="X529" s="127"/>
      <c r="Y529" s="127"/>
      <c r="Z529" s="4"/>
    </row>
    <row r="530" spans="1:26" ht="18" customHeight="1">
      <c r="A530" s="5">
        <v>1934</v>
      </c>
      <c r="B530" s="21">
        <v>45661</v>
      </c>
      <c r="C530" s="21" t="s">
        <v>311</v>
      </c>
      <c r="D530" s="74" t="str">
        <f t="shared" si="205"/>
        <v>sáb</v>
      </c>
      <c r="E530" s="169">
        <f>IF(K530&lt;&gt;"",VLOOKUP(K530,'Catálogo SAP'!$A$1:$F$245,2,FALSE),"-")</f>
        <v>120</v>
      </c>
      <c r="F530" s="16">
        <v>1180</v>
      </c>
      <c r="G530" s="225">
        <v>1189</v>
      </c>
      <c r="H530" s="22"/>
      <c r="I530" s="133">
        <v>442</v>
      </c>
      <c r="J530" s="162" t="str">
        <f t="shared" si="210"/>
        <v>Palmeirante</v>
      </c>
      <c r="K530" s="16">
        <v>120</v>
      </c>
      <c r="L530" s="167" t="str">
        <f>IF(K530&lt;&gt;"",VLOOKUP(K530,'Catálogo SAP'!A:F,3,FALSE),"")</f>
        <v>S.VP-01437</v>
      </c>
      <c r="M530" s="162" t="str">
        <f>IF(K530&lt;&gt;"",VLOOKUP(K530,'Catálogo SAP'!A:F,4,FALSE),"")</f>
        <v>Hr Produtiva Retroescavadeira C/Operador</v>
      </c>
      <c r="N530" s="168" t="str">
        <f>IF(K530&lt;&gt;"",VLOOKUP(K530,'Catálogo SAP'!A:F,5,FALSE),"")</f>
        <v>H</v>
      </c>
      <c r="O530" s="160">
        <v>9</v>
      </c>
      <c r="P530" s="70">
        <f t="shared" si="216"/>
        <v>9</v>
      </c>
      <c r="Q530" s="163" t="e">
        <f t="shared" si="215"/>
        <v>#VALUE!</v>
      </c>
      <c r="R530" s="44" t="str">
        <f>IF(J530&lt;&gt;"",VLOOKUP(J530,'RESUMO DR'!$B$4:$E$253,4,FALSE),"-")</f>
        <v>T-02</v>
      </c>
      <c r="S530" s="58" t="str">
        <f>IF(J530&lt;&gt;"",VLOOKUP(J530,'RESUMO DR'!$B$4:$E$253,3,FALSE),"-")</f>
        <v>ARAGUAINA</v>
      </c>
      <c r="T530" s="129"/>
      <c r="U530" s="129"/>
      <c r="V530" s="129"/>
      <c r="W530" s="128"/>
      <c r="X530" s="127"/>
      <c r="Y530" s="127"/>
      <c r="Z530" s="4"/>
    </row>
    <row r="531" spans="1:26" ht="18" customHeight="1">
      <c r="A531" s="5"/>
      <c r="B531" s="21">
        <v>45661</v>
      </c>
      <c r="C531" s="21" t="s">
        <v>311</v>
      </c>
      <c r="D531" s="74" t="str">
        <f t="shared" si="205"/>
        <v>sáb</v>
      </c>
      <c r="E531" s="169" t="str">
        <f>IF(K531&lt;&gt;"",VLOOKUP(K531,'Catálogo SAP'!$A$1:$F$245,2,FALSE),"-")</f>
        <v>-</v>
      </c>
      <c r="F531" s="225"/>
      <c r="G531" s="225"/>
      <c r="H531" s="226"/>
      <c r="I531" s="230"/>
      <c r="J531" s="162" t="str">
        <f t="shared" si="210"/>
        <v/>
      </c>
      <c r="K531" s="16"/>
      <c r="L531" s="167" t="str">
        <f>IF(K531&lt;&gt;"",VLOOKUP(K531,'Catálogo SAP'!A:F,3,FALSE),"")</f>
        <v/>
      </c>
      <c r="M531" s="162" t="str">
        <f>IF(K531&lt;&gt;"",VLOOKUP(K531,'Catálogo SAP'!A:F,4,FALSE),"")</f>
        <v/>
      </c>
      <c r="N531" s="168" t="str">
        <f>IF(K531&lt;&gt;"",VLOOKUP(K531,'Catálogo SAP'!A:F,5,FALSE),"")</f>
        <v/>
      </c>
      <c r="O531" s="160"/>
      <c r="P531" s="70" t="str">
        <f t="shared" si="216"/>
        <v>-</v>
      </c>
      <c r="Q531" s="163" t="str">
        <f t="shared" si="215"/>
        <v>-</v>
      </c>
      <c r="R531" s="44" t="str">
        <f>IF(J531&lt;&gt;"",VLOOKUP(J531,'RESUMO DR'!$B$4:$E$253,4,FALSE),"-")</f>
        <v>-</v>
      </c>
      <c r="S531" s="58" t="str">
        <f>IF(J531&lt;&gt;"",VLOOKUP(J531,'RESUMO DR'!$B$4:$E$253,3,FALSE),"-")</f>
        <v>-</v>
      </c>
      <c r="T531" s="129"/>
      <c r="U531" s="129"/>
      <c r="V531" s="129"/>
      <c r="W531" s="128"/>
      <c r="X531" s="127"/>
      <c r="Y531" s="127"/>
      <c r="Z531" s="4"/>
    </row>
    <row r="532" spans="1:26" ht="18" customHeight="1">
      <c r="A532" s="5">
        <v>1934</v>
      </c>
      <c r="B532" s="21">
        <v>45661</v>
      </c>
      <c r="C532" s="21" t="s">
        <v>305</v>
      </c>
      <c r="D532" s="74" t="str">
        <f t="shared" ref="D532:D597" si="219">IF(B532="","-",TEXT(B532,"ddd"))</f>
        <v>sáb</v>
      </c>
      <c r="E532" s="169">
        <f>IF(K532&lt;&gt;"",VLOOKUP(K532,'Catálogo SAP'!$A$1:$F$245,2,FALSE),"-")</f>
        <v>280</v>
      </c>
      <c r="F532" s="225">
        <v>229</v>
      </c>
      <c r="G532" s="225">
        <v>238</v>
      </c>
      <c r="H532" s="226"/>
      <c r="I532" s="230">
        <v>442</v>
      </c>
      <c r="J532" s="162" t="str">
        <f t="shared" si="210"/>
        <v>Palmeirante</v>
      </c>
      <c r="K532" s="16">
        <v>280</v>
      </c>
      <c r="L532" s="167" t="str">
        <f>IF(K532&lt;&gt;"",VLOOKUP(K532,'Catálogo SAP'!A:F,3,FALSE),"")</f>
        <v>S.VP-01453</v>
      </c>
      <c r="M532" s="162" t="str">
        <f>IF(K532&lt;&gt;"",VLOOKUP(K532,'Catálogo SAP'!A:F,4,FALSE),"")</f>
        <v>Hora Produtiva Motoniveladora C/Operador</v>
      </c>
      <c r="N532" s="168" t="str">
        <f>IF(K532&lt;&gt;"",VLOOKUP(K532,'Catálogo SAP'!A:F,5,FALSE),"")</f>
        <v>H</v>
      </c>
      <c r="O532" s="160">
        <v>9</v>
      </c>
      <c r="P532" s="70">
        <f t="shared" si="216"/>
        <v>9</v>
      </c>
      <c r="Q532" s="163" t="e">
        <f t="shared" si="215"/>
        <v>#VALUE!</v>
      </c>
      <c r="R532" s="44" t="str">
        <f>IF(J532&lt;&gt;"",VLOOKUP(J532,'RESUMO DR'!$B$4:$E$253,4,FALSE),"-")</f>
        <v>T-02</v>
      </c>
      <c r="S532" s="58" t="str">
        <f>IF(J532&lt;&gt;"",VLOOKUP(J532,'RESUMO DR'!$B$4:$E$253,3,FALSE),"-")</f>
        <v>ARAGUAINA</v>
      </c>
      <c r="T532" s="129"/>
      <c r="U532" s="129"/>
      <c r="V532" s="129"/>
      <c r="W532" s="128"/>
      <c r="X532" s="127"/>
      <c r="Y532" s="127"/>
      <c r="Z532" s="4"/>
    </row>
    <row r="533" spans="1:26" ht="18" customHeight="1">
      <c r="A533" s="5"/>
      <c r="B533" s="21">
        <v>45661</v>
      </c>
      <c r="C533" s="21" t="s">
        <v>305</v>
      </c>
      <c r="D533" s="74" t="str">
        <f t="shared" si="219"/>
        <v>sáb</v>
      </c>
      <c r="E533" s="169" t="str">
        <f>IF(K533&lt;&gt;"",VLOOKUP(K533,'Catálogo SAP'!$A$1:$F$245,2,FALSE),"-")</f>
        <v>-</v>
      </c>
      <c r="F533" s="16"/>
      <c r="G533" s="16"/>
      <c r="H533" s="22"/>
      <c r="I533" s="133"/>
      <c r="J533" s="162" t="str">
        <f t="shared" si="210"/>
        <v/>
      </c>
      <c r="K533" s="16"/>
      <c r="L533" s="167" t="str">
        <f>IF(K533&lt;&gt;"",VLOOKUP(K533,'Catálogo SAP'!A:F,3,FALSE),"")</f>
        <v/>
      </c>
      <c r="M533" s="162" t="str">
        <f>IF(K533&lt;&gt;"",VLOOKUP(K533,'Catálogo SAP'!A:F,4,FALSE),"")</f>
        <v/>
      </c>
      <c r="N533" s="168" t="str">
        <f>IF(K533&lt;&gt;"",VLOOKUP(K533,'Catálogo SAP'!A:F,5,FALSE),"")</f>
        <v/>
      </c>
      <c r="O533" s="160"/>
      <c r="P533" s="70" t="str">
        <f t="shared" si="216"/>
        <v>-</v>
      </c>
      <c r="Q533" s="163" t="str">
        <f t="shared" si="215"/>
        <v>-</v>
      </c>
      <c r="R533" s="44" t="str">
        <f>IF(J533&lt;&gt;"",VLOOKUP(J533,'RESUMO DR'!$B$4:$E$253,4,FALSE),"-")</f>
        <v>-</v>
      </c>
      <c r="S533" s="58" t="str">
        <f>IF(J533&lt;&gt;"",VLOOKUP(J533,'RESUMO DR'!$B$4:$E$253,3,FALSE),"-")</f>
        <v>-</v>
      </c>
      <c r="T533" s="129"/>
      <c r="U533" s="129"/>
      <c r="V533" s="129"/>
      <c r="W533" s="128"/>
      <c r="X533" s="127"/>
      <c r="Y533" s="127"/>
      <c r="Z533" s="4"/>
    </row>
    <row r="534" spans="1:26" ht="18" customHeight="1">
      <c r="A534" s="5"/>
      <c r="B534" s="21">
        <v>45661</v>
      </c>
      <c r="C534" s="21" t="s">
        <v>301</v>
      </c>
      <c r="D534" s="74" t="str">
        <f t="shared" si="219"/>
        <v>sáb</v>
      </c>
      <c r="E534" s="169" t="str">
        <f>IF(K534&lt;&gt;"",VLOOKUP(K534,'Catálogo SAP'!$A$1:$F$245,2,FALSE),"-")</f>
        <v>-</v>
      </c>
      <c r="F534" s="16"/>
      <c r="G534" s="16"/>
      <c r="H534" s="22"/>
      <c r="I534" s="133"/>
      <c r="J534" s="162" t="str">
        <f t="shared" si="210"/>
        <v/>
      </c>
      <c r="K534" s="16"/>
      <c r="L534" s="167" t="str">
        <f>IF(K534&lt;&gt;"",VLOOKUP(K534,'Catálogo SAP'!A:F,3,FALSE),"")</f>
        <v/>
      </c>
      <c r="M534" s="162" t="str">
        <f>IF(K534&lt;&gt;"",VLOOKUP(K534,'Catálogo SAP'!A:F,4,FALSE),"")</f>
        <v/>
      </c>
      <c r="N534" s="168" t="str">
        <f>IF(K534&lt;&gt;"",VLOOKUP(K534,'Catálogo SAP'!A:F,5,FALSE),"")</f>
        <v/>
      </c>
      <c r="O534" s="160"/>
      <c r="P534" s="70" t="str">
        <f t="shared" si="216"/>
        <v>-</v>
      </c>
      <c r="Q534" s="163" t="str">
        <f t="shared" si="215"/>
        <v>-</v>
      </c>
      <c r="R534" s="44" t="str">
        <f>IF(J534&lt;&gt;"",VLOOKUP(J534,'RESUMO DR'!$B$4:$E$253,4,FALSE),"-")</f>
        <v>-</v>
      </c>
      <c r="S534" s="58" t="str">
        <f>IF(J534&lt;&gt;"",VLOOKUP(J534,'RESUMO DR'!$B$4:$E$253,3,FALSE),"-")</f>
        <v>-</v>
      </c>
      <c r="T534" s="129"/>
      <c r="U534" s="129"/>
      <c r="V534" s="129"/>
      <c r="W534" s="128"/>
      <c r="X534" s="127"/>
      <c r="Y534" s="127"/>
      <c r="Z534" s="4"/>
    </row>
    <row r="535" spans="1:26" ht="18" customHeight="1">
      <c r="A535" s="5"/>
      <c r="B535" s="21">
        <v>45661</v>
      </c>
      <c r="C535" s="21" t="s">
        <v>301</v>
      </c>
      <c r="D535" s="74" t="str">
        <f t="shared" si="219"/>
        <v>sáb</v>
      </c>
      <c r="E535" s="169" t="str">
        <f>IF(K535&lt;&gt;"",VLOOKUP(K535,'Catálogo SAP'!$A$1:$F$245,2,FALSE),"-")</f>
        <v>-</v>
      </c>
      <c r="F535" s="16"/>
      <c r="G535" s="16"/>
      <c r="H535" s="22"/>
      <c r="I535" s="133"/>
      <c r="J535" s="162" t="str">
        <f t="shared" si="210"/>
        <v/>
      </c>
      <c r="K535" s="16"/>
      <c r="L535" s="167" t="str">
        <f>IF(K535&lt;&gt;"",VLOOKUP(K535,'Catálogo SAP'!A:F,3,FALSE),"")</f>
        <v/>
      </c>
      <c r="M535" s="162" t="str">
        <f>IF(K535&lt;&gt;"",VLOOKUP(K535,'Catálogo SAP'!A:F,4,FALSE),"")</f>
        <v/>
      </c>
      <c r="N535" s="168" t="str">
        <f>IF(K535&lt;&gt;"",VLOOKUP(K535,'Catálogo SAP'!A:F,5,FALSE),"")</f>
        <v/>
      </c>
      <c r="O535" s="160"/>
      <c r="P535" s="70" t="str">
        <f t="shared" si="216"/>
        <v>-</v>
      </c>
      <c r="Q535" s="163" t="str">
        <f t="shared" si="215"/>
        <v>-</v>
      </c>
      <c r="R535" s="44" t="str">
        <f>IF(J535&lt;&gt;"",VLOOKUP(J535,'RESUMO DR'!$B$4:$E$253,4,FALSE),"-")</f>
        <v>-</v>
      </c>
      <c r="S535" s="58" t="str">
        <f>IF(J535&lt;&gt;"",VLOOKUP(J535,'RESUMO DR'!$B$4:$E$253,3,FALSE),"-")</f>
        <v>-</v>
      </c>
      <c r="T535" s="129"/>
      <c r="U535" s="129"/>
      <c r="V535" s="129"/>
      <c r="W535" s="128"/>
      <c r="X535" s="127"/>
      <c r="Y535" s="127"/>
      <c r="Z535" s="4"/>
    </row>
    <row r="536" spans="1:26" ht="18" customHeight="1">
      <c r="A536" s="5"/>
      <c r="B536" s="21">
        <v>45661</v>
      </c>
      <c r="C536" s="21" t="s">
        <v>134</v>
      </c>
      <c r="D536" s="74" t="str">
        <f t="shared" si="219"/>
        <v>sáb</v>
      </c>
      <c r="E536" s="169" t="str">
        <f>IF(K536&lt;&gt;"",VLOOKUP(K536,'Catálogo SAP'!$A$1:$F$245,2,FALSE),"-")</f>
        <v>-</v>
      </c>
      <c r="F536" s="225"/>
      <c r="G536" s="225"/>
      <c r="H536" s="226"/>
      <c r="I536" s="230"/>
      <c r="J536" s="162" t="str">
        <f t="shared" si="210"/>
        <v/>
      </c>
      <c r="K536" s="16"/>
      <c r="L536" s="167" t="str">
        <f>IF(K536&lt;&gt;"",VLOOKUP(K536,'Catálogo SAP'!A:F,3,FALSE),"")</f>
        <v/>
      </c>
      <c r="M536" s="162" t="str">
        <f>IF(K536&lt;&gt;"",VLOOKUP(K536,'Catálogo SAP'!A:F,4,FALSE),"")</f>
        <v/>
      </c>
      <c r="N536" s="168" t="str">
        <f>IF(K536&lt;&gt;"",VLOOKUP(K536,'Catálogo SAP'!A:F,5,FALSE),"")</f>
        <v/>
      </c>
      <c r="O536" s="160"/>
      <c r="P536" s="70" t="str">
        <f t="shared" si="216"/>
        <v>-</v>
      </c>
      <c r="Q536" s="163" t="str">
        <f t="shared" si="215"/>
        <v>-</v>
      </c>
      <c r="R536" s="44" t="str">
        <f>IF(J536&lt;&gt;"",VLOOKUP(J536,'RESUMO DR'!$B$4:$E$253,4,FALSE),"-")</f>
        <v>-</v>
      </c>
      <c r="S536" s="58" t="str">
        <f>IF(J536&lt;&gt;"",VLOOKUP(J536,'RESUMO DR'!$B$4:$E$253,3,FALSE),"-")</f>
        <v>-</v>
      </c>
      <c r="T536" s="129"/>
      <c r="U536" s="129"/>
      <c r="V536" s="129"/>
      <c r="W536" s="128"/>
      <c r="X536" s="127"/>
      <c r="Y536" s="127"/>
      <c r="Z536" s="4"/>
    </row>
    <row r="537" spans="1:26" ht="18" customHeight="1">
      <c r="A537" s="5"/>
      <c r="B537" s="21">
        <v>45661</v>
      </c>
      <c r="C537" s="21" t="s">
        <v>134</v>
      </c>
      <c r="D537" s="74" t="str">
        <f t="shared" si="219"/>
        <v>sáb</v>
      </c>
      <c r="E537" s="169" t="str">
        <f>IF(K537&lt;&gt;"",VLOOKUP(K537,'Catálogo SAP'!$A$1:$F$245,2,FALSE),"-")</f>
        <v>-</v>
      </c>
      <c r="F537" s="225"/>
      <c r="G537" s="225"/>
      <c r="H537" s="226"/>
      <c r="I537" s="230"/>
      <c r="J537" s="162" t="str">
        <f t="shared" si="210"/>
        <v/>
      </c>
      <c r="K537" s="16"/>
      <c r="L537" s="167" t="str">
        <f>IF(K537&lt;&gt;"",VLOOKUP(K537,'Catálogo SAP'!A:F,3,FALSE),"")</f>
        <v/>
      </c>
      <c r="M537" s="162" t="str">
        <f>IF(K537&lt;&gt;"",VLOOKUP(K537,'Catálogo SAP'!A:F,4,FALSE),"")</f>
        <v/>
      </c>
      <c r="N537" s="168" t="str">
        <f>IF(K537&lt;&gt;"",VLOOKUP(K537,'Catálogo SAP'!A:F,5,FALSE),"")</f>
        <v/>
      </c>
      <c r="O537" s="160"/>
      <c r="P537" s="70" t="str">
        <f t="shared" si="216"/>
        <v>-</v>
      </c>
      <c r="Q537" s="163" t="str">
        <f t="shared" si="215"/>
        <v>-</v>
      </c>
      <c r="R537" s="44" t="str">
        <f>IF(J537&lt;&gt;"",VLOOKUP(J537,'RESUMO DR'!$B$4:$E$253,4,FALSE),"-")</f>
        <v>-</v>
      </c>
      <c r="S537" s="58" t="str">
        <f>IF(J537&lt;&gt;"",VLOOKUP(J537,'RESUMO DR'!$B$4:$E$253,3,FALSE),"-")</f>
        <v>-</v>
      </c>
      <c r="T537" s="129"/>
      <c r="U537" s="129"/>
      <c r="V537" s="129"/>
      <c r="W537" s="128"/>
      <c r="X537" s="127"/>
      <c r="Y537" s="127"/>
      <c r="Z537" s="38"/>
    </row>
    <row r="538" spans="1:26" ht="18" customHeight="1">
      <c r="A538" s="5"/>
      <c r="B538" s="21">
        <v>45661</v>
      </c>
      <c r="C538" s="21" t="s">
        <v>301</v>
      </c>
      <c r="D538" s="74" t="str">
        <f t="shared" si="219"/>
        <v>sáb</v>
      </c>
      <c r="E538" s="169" t="str">
        <f>IF(K538&lt;&gt;"",VLOOKUP(K538,'Catálogo SAP'!$A$1:$F$245,2,FALSE),"-")</f>
        <v>-</v>
      </c>
      <c r="F538" s="16"/>
      <c r="G538" s="16"/>
      <c r="H538" s="22"/>
      <c r="I538" s="133"/>
      <c r="J538" s="162" t="str">
        <f t="shared" si="210"/>
        <v/>
      </c>
      <c r="K538" s="16"/>
      <c r="L538" s="167" t="str">
        <f>IF(K538&lt;&gt;"",VLOOKUP(K538,'Catálogo SAP'!A:F,3,FALSE),"")</f>
        <v/>
      </c>
      <c r="M538" s="162" t="str">
        <f>IF(K538&lt;&gt;"",VLOOKUP(K538,'Catálogo SAP'!A:F,4,FALSE),"")</f>
        <v/>
      </c>
      <c r="N538" s="168" t="str">
        <f>IF(K538&lt;&gt;"",VLOOKUP(K538,'Catálogo SAP'!A:F,5,FALSE),"")</f>
        <v/>
      </c>
      <c r="O538" s="160"/>
      <c r="P538" s="70" t="str">
        <f t="shared" si="216"/>
        <v>-</v>
      </c>
      <c r="Q538" s="163" t="str">
        <f t="shared" si="215"/>
        <v>-</v>
      </c>
      <c r="R538" s="44" t="str">
        <f>IF(J538&lt;&gt;"",VLOOKUP(J538,'RESUMO DR'!$B$4:$E$253,4,FALSE),"-")</f>
        <v>-</v>
      </c>
      <c r="S538" s="58" t="str">
        <f>IF(J538&lt;&gt;"",VLOOKUP(J538,'RESUMO DR'!$B$4:$E$253,3,FALSE),"-")</f>
        <v>-</v>
      </c>
      <c r="T538" s="129"/>
      <c r="U538" s="129"/>
      <c r="V538" s="129"/>
      <c r="W538" s="128"/>
      <c r="X538" s="127"/>
      <c r="Y538" s="127"/>
      <c r="Z538" s="38"/>
    </row>
    <row r="539" spans="1:26" ht="18" customHeight="1">
      <c r="A539" s="5"/>
      <c r="B539" s="21">
        <v>45661</v>
      </c>
      <c r="C539" s="21" t="s">
        <v>306</v>
      </c>
      <c r="D539" s="74" t="str">
        <f t="shared" si="219"/>
        <v>sáb</v>
      </c>
      <c r="E539" s="169" t="str">
        <f>IF(K539&lt;&gt;"",VLOOKUP(K539,'Catálogo SAP'!$A$1:$F$245,2,FALSE),"-")</f>
        <v>-</v>
      </c>
      <c r="F539" s="225"/>
      <c r="G539" s="225"/>
      <c r="H539" s="226"/>
      <c r="I539" s="230"/>
      <c r="J539" s="162" t="str">
        <f t="shared" ref="J539:J547" si="220">IF(AND(I539&gt;=0.001,I539&lt;=16),"AÇAILÂNDIA","")&amp;IF(AND(I539&gt;=16.001,I539&lt;=44),"S.F. BREJÃO","")&amp;IF(AND(I539&gt;=44.001,I539&lt;=78),"JOÃO LISBOA","")&amp;IF(AND(I539&gt;=78.001,I539&lt;=96.397),"IMPERATRIZ","")&amp;IF(AND(I539&gt;=96.398,I539&lt;=122.82),"EDSON LOBÃO","")&amp;IF(AND(I539&gt;=122.821,I539&lt;=152.303),"RIBAMAR FIQUENE","")&amp;IF(AND(I539&gt;=152.304,I539&lt;=172.403),"CAMPESTRE","")&amp;IF(AND(I539&gt;=172.404,I539&lt;=195),"PORTO FRANCO","")&amp;IF(AND(I539&gt;=300,I539&lt;=300),"SAO LUIS","")&amp;IF(AND(I539&gt;=385.4,I539&lt;=465.4),"Palmeirante","")&amp;IF(AND(I539&gt;=465.401,I539&lt;=520.455),"Tupiratins","")&amp;IF(AND(I539&gt;=520.456,I539&lt;=536.741),"Guaraí","")&amp;IF(AND(I539&gt;=536.742,I539&lt;=580.293),"Tupirama","")&amp;IF(AND(I539&gt;=580.294,I539&lt;=608.637),"Rio dos Bois","")&amp;IF(AND(I539&gt;=608.638,I539&lt;=698.981),"Miracema","")&amp;IF(AND(I539&gt;=698.982,I539&lt;=735.6),"Porto Nacional","")&amp;IF(AND(I539&gt;=195.1,I539&lt;=213.603),"ESTREITO","")&amp;IF(AND(I539&gt;=213.604,I539&lt;=218.976),"AGUIARNÓPOLIS","")&amp;IF(AND(I539&gt;=218.977,I539&lt;=253.5),"PALMEIRAS DO TOCANTINS","")&amp;IF(AND(I539&gt;=253.501,I539&lt;=274.15),"DARCINÓPOLIS","")&amp;IF(AND(I539&gt;=274.151,I539&lt;=299.999),"BABAÇULÂNDIA","")&amp;IF(AND(I539&gt;=356.62,I539&lt;=385.4),"ARAGUAÍNA","")&amp;IF(AND(I539&gt;=300.001,I539&lt;=356.619),"BABAÇULÂNDIA","")&amp;IF(AND(I539&gt;=900,I539&lt;=902),"ENG. VLI","")</f>
        <v/>
      </c>
      <c r="K539" s="16"/>
      <c r="L539" s="167" t="str">
        <f>IF(K539&lt;&gt;"",VLOOKUP(K539,'Catálogo SAP'!A:F,3,FALSE),"")</f>
        <v/>
      </c>
      <c r="M539" s="162" t="str">
        <f>IF(K539&lt;&gt;"",VLOOKUP(K539,'Catálogo SAP'!A:F,4,FALSE),"")</f>
        <v/>
      </c>
      <c r="N539" s="168" t="str">
        <f>IF(K539&lt;&gt;"",VLOOKUP(K539,'Catálogo SAP'!A:F,5,FALSE),"")</f>
        <v/>
      </c>
      <c r="O539" s="160"/>
      <c r="P539" s="70" t="str">
        <f t="shared" si="216"/>
        <v>-</v>
      </c>
      <c r="Q539" s="163" t="str">
        <f t="shared" si="215"/>
        <v>-</v>
      </c>
      <c r="R539" s="44" t="str">
        <f>IF(J539&lt;&gt;"",VLOOKUP(J539,'RESUMO DR'!$B$4:$E$253,4,FALSE),"-")</f>
        <v>-</v>
      </c>
      <c r="S539" s="58" t="str">
        <f>IF(J539&lt;&gt;"",VLOOKUP(J539,'RESUMO DR'!$B$4:$E$253,3,FALSE),"-")</f>
        <v>-</v>
      </c>
      <c r="T539" s="129"/>
      <c r="U539" s="129"/>
      <c r="V539" s="129"/>
      <c r="W539" s="128"/>
      <c r="X539" s="127"/>
      <c r="Y539" s="127"/>
      <c r="Z539" s="38"/>
    </row>
    <row r="540" spans="1:26" ht="18" customHeight="1">
      <c r="A540" s="5"/>
      <c r="B540" s="21">
        <v>45661</v>
      </c>
      <c r="C540" s="21" t="s">
        <v>306</v>
      </c>
      <c r="D540" s="74" t="str">
        <f t="shared" si="219"/>
        <v>sáb</v>
      </c>
      <c r="E540" s="169" t="str">
        <f>IF(K540&lt;&gt;"",VLOOKUP(K540,'Catálogo SAP'!$A$1:$F$245,2,FALSE),"-")</f>
        <v>-</v>
      </c>
      <c r="F540" s="16"/>
      <c r="G540" s="16"/>
      <c r="H540" s="22"/>
      <c r="I540" s="133"/>
      <c r="J540" s="162" t="str">
        <f t="shared" si="220"/>
        <v/>
      </c>
      <c r="K540" s="16"/>
      <c r="L540" s="167" t="str">
        <f>IF(K540&lt;&gt;"",VLOOKUP(K540,'Catálogo SAP'!A:F,3,FALSE),"")</f>
        <v/>
      </c>
      <c r="M540" s="162" t="str">
        <f>IF(K540&lt;&gt;"",VLOOKUP(K540,'Catálogo SAP'!A:F,4,FALSE),"")</f>
        <v/>
      </c>
      <c r="N540" s="168" t="str">
        <f>IF(K540&lt;&gt;"",VLOOKUP(K540,'Catálogo SAP'!A:F,5,FALSE),"")</f>
        <v/>
      </c>
      <c r="O540" s="160"/>
      <c r="P540" s="70" t="str">
        <f t="shared" si="216"/>
        <v>-</v>
      </c>
      <c r="Q540" s="163" t="str">
        <f t="shared" si="215"/>
        <v>-</v>
      </c>
      <c r="R540" s="44" t="str">
        <f>IF(J540&lt;&gt;"",VLOOKUP(J540,'RESUMO DR'!$B$4:$E$253,4,FALSE),"-")</f>
        <v>-</v>
      </c>
      <c r="S540" s="58" t="str">
        <f>IF(J540&lt;&gt;"",VLOOKUP(J540,'RESUMO DR'!$B$4:$E$253,3,FALSE),"-")</f>
        <v>-</v>
      </c>
      <c r="T540" s="129"/>
      <c r="U540" s="129"/>
      <c r="V540" s="129"/>
      <c r="W540" s="128"/>
      <c r="X540" s="127"/>
      <c r="Y540" s="127"/>
      <c r="Z540" s="4"/>
    </row>
    <row r="541" spans="1:26" ht="18" customHeight="1">
      <c r="A541" s="5"/>
      <c r="B541" s="21">
        <v>45661</v>
      </c>
      <c r="C541" s="21" t="s">
        <v>137</v>
      </c>
      <c r="D541" s="74" t="str">
        <f t="shared" si="219"/>
        <v>sáb</v>
      </c>
      <c r="E541" s="169" t="str">
        <f>IF(K541&lt;&gt;"",VLOOKUP(K541,'Catálogo SAP'!$A$1:$F$245,2,FALSE),"-")</f>
        <v>-</v>
      </c>
      <c r="F541" s="225"/>
      <c r="G541" s="225"/>
      <c r="H541" s="226"/>
      <c r="I541" s="230"/>
      <c r="J541" s="162" t="str">
        <f t="shared" si="220"/>
        <v/>
      </c>
      <c r="K541" s="16"/>
      <c r="L541" s="167" t="str">
        <f>IF(K541&lt;&gt;"",VLOOKUP(K541,'Catálogo SAP'!A:F,3,FALSE),"")</f>
        <v/>
      </c>
      <c r="M541" s="162" t="str">
        <f>IF(K541&lt;&gt;"",VLOOKUP(K541,'Catálogo SAP'!A:F,4,FALSE),"")</f>
        <v/>
      </c>
      <c r="N541" s="168" t="str">
        <f>IF(K541&lt;&gt;"",VLOOKUP(K541,'Catálogo SAP'!A:F,5,FALSE),"")</f>
        <v/>
      </c>
      <c r="O541" s="160"/>
      <c r="P541" s="70" t="str">
        <f t="shared" si="216"/>
        <v>-</v>
      </c>
      <c r="Q541" s="163" t="str">
        <f t="shared" si="215"/>
        <v>-</v>
      </c>
      <c r="R541" s="44" t="str">
        <f>IF(J541&lt;&gt;"",VLOOKUP(J541,'RESUMO DR'!$B$4:$E$253,4,FALSE),"-")</f>
        <v>-</v>
      </c>
      <c r="S541" s="58" t="str">
        <f>IF(J541&lt;&gt;"",VLOOKUP(J541,'RESUMO DR'!$B$4:$E$253,3,FALSE),"-")</f>
        <v>-</v>
      </c>
      <c r="T541" s="129"/>
      <c r="U541" s="129"/>
      <c r="V541" s="129"/>
      <c r="W541" s="128"/>
      <c r="X541" s="127"/>
      <c r="Y541" s="127"/>
      <c r="Z541" s="4"/>
    </row>
    <row r="542" spans="1:26" ht="18" customHeight="1">
      <c r="A542" s="5"/>
      <c r="B542" s="21">
        <v>45661</v>
      </c>
      <c r="C542" s="21" t="s">
        <v>137</v>
      </c>
      <c r="D542" s="74" t="str">
        <f t="shared" si="219"/>
        <v>sáb</v>
      </c>
      <c r="E542" s="169" t="str">
        <f>IF(K542&lt;&gt;"",VLOOKUP(K542,'Catálogo SAP'!$A$1:$F$245,2,FALSE),"-")</f>
        <v>-</v>
      </c>
      <c r="F542" s="225"/>
      <c r="G542" s="225"/>
      <c r="H542" s="226"/>
      <c r="I542" s="230"/>
      <c r="J542" s="162" t="str">
        <f t="shared" si="220"/>
        <v/>
      </c>
      <c r="K542" s="16"/>
      <c r="L542" s="167" t="str">
        <f>IF(K542&lt;&gt;"",VLOOKUP(K542,'Catálogo SAP'!A:F,3,FALSE),"")</f>
        <v/>
      </c>
      <c r="M542" s="162" t="str">
        <f>IF(K542&lt;&gt;"",VLOOKUP(K542,'Catálogo SAP'!A:F,4,FALSE),"")</f>
        <v/>
      </c>
      <c r="N542" s="168" t="str">
        <f>IF(K542&lt;&gt;"",VLOOKUP(K542,'Catálogo SAP'!A:F,5,FALSE),"")</f>
        <v/>
      </c>
      <c r="O542" s="160"/>
      <c r="P542" s="70" t="str">
        <f t="shared" si="216"/>
        <v>-</v>
      </c>
      <c r="Q542" s="163" t="str">
        <f t="shared" si="215"/>
        <v>-</v>
      </c>
      <c r="R542" s="44" t="str">
        <f>IF(J542&lt;&gt;"",VLOOKUP(J542,'RESUMO DR'!$B$4:$E$253,4,FALSE),"-")</f>
        <v>-</v>
      </c>
      <c r="S542" s="58" t="str">
        <f>IF(J542&lt;&gt;"",VLOOKUP(J542,'RESUMO DR'!$B$4:$E$253,3,FALSE),"-")</f>
        <v>-</v>
      </c>
      <c r="T542" s="129"/>
      <c r="U542" s="129"/>
      <c r="V542" s="129"/>
      <c r="W542" s="128"/>
      <c r="X542" s="127"/>
      <c r="Y542" s="127"/>
      <c r="Z542" s="4"/>
    </row>
    <row r="543" spans="1:26" ht="18" customHeight="1">
      <c r="A543" s="5"/>
      <c r="B543" s="21">
        <v>45661</v>
      </c>
      <c r="C543" s="21" t="s">
        <v>139</v>
      </c>
      <c r="D543" s="74" t="str">
        <f t="shared" si="219"/>
        <v>sáb</v>
      </c>
      <c r="E543" s="169" t="str">
        <f>IF(K543&lt;&gt;"",VLOOKUP(K543,'Catálogo SAP'!$A$1:$F$245,2,FALSE),"-")</f>
        <v>-</v>
      </c>
      <c r="F543" s="225"/>
      <c r="G543" s="225"/>
      <c r="H543" s="226"/>
      <c r="I543" s="230"/>
      <c r="J543" s="162" t="str">
        <f t="shared" si="220"/>
        <v/>
      </c>
      <c r="K543" s="16"/>
      <c r="L543" s="167" t="str">
        <f>IF(K543&lt;&gt;"",VLOOKUP(K543,'Catálogo SAP'!A:F,3,FALSE),"")</f>
        <v/>
      </c>
      <c r="M543" s="162" t="str">
        <f>IF(K543&lt;&gt;"",VLOOKUP(K543,'Catálogo SAP'!A:F,4,FALSE),"")</f>
        <v/>
      </c>
      <c r="N543" s="168" t="str">
        <f>IF(K543&lt;&gt;"",VLOOKUP(K543,'Catálogo SAP'!A:F,5,FALSE),"")</f>
        <v/>
      </c>
      <c r="O543" s="160"/>
      <c r="P543" s="70" t="str">
        <f t="shared" si="216"/>
        <v>-</v>
      </c>
      <c r="Q543" s="163" t="str">
        <f t="shared" si="215"/>
        <v>-</v>
      </c>
      <c r="R543" s="44" t="str">
        <f>IF(J543&lt;&gt;"",VLOOKUP(J543,'RESUMO DR'!$B$4:$E$253,4,FALSE),"-")</f>
        <v>-</v>
      </c>
      <c r="S543" s="58" t="str">
        <f>IF(J543&lt;&gt;"",VLOOKUP(J543,'RESUMO DR'!$B$4:$E$253,3,FALSE),"-")</f>
        <v>-</v>
      </c>
      <c r="T543" s="129"/>
      <c r="U543" s="129"/>
      <c r="V543" s="129"/>
      <c r="W543" s="128"/>
      <c r="X543" s="127"/>
      <c r="Y543" s="127"/>
      <c r="Z543" s="4"/>
    </row>
    <row r="544" spans="1:26" ht="13.95" customHeight="1">
      <c r="A544" s="5"/>
      <c r="B544" s="21">
        <v>45661</v>
      </c>
      <c r="C544" s="21" t="s">
        <v>315</v>
      </c>
      <c r="D544" s="74" t="str">
        <f t="shared" si="219"/>
        <v>sáb</v>
      </c>
      <c r="E544" s="169" t="str">
        <f>IF(K544&lt;&gt;"",VLOOKUP(K544,'Catálogo SAP'!$A$1:$F$245,2,FALSE),"-")</f>
        <v>-</v>
      </c>
      <c r="F544" s="225"/>
      <c r="G544" s="225"/>
      <c r="H544" s="226"/>
      <c r="I544" s="230"/>
      <c r="J544" s="162" t="str">
        <f t="shared" si="220"/>
        <v/>
      </c>
      <c r="K544" s="16"/>
      <c r="L544" s="167" t="str">
        <f>IF(K544&lt;&gt;"",VLOOKUP(K544,'Catálogo SAP'!A:F,3,FALSE),"")</f>
        <v/>
      </c>
      <c r="M544" s="162" t="str">
        <f>IF(K544&lt;&gt;"",VLOOKUP(K544,'Catálogo SAP'!A:F,4,FALSE),"")</f>
        <v/>
      </c>
      <c r="N544" s="168" t="str">
        <f>IF(K544&lt;&gt;"",VLOOKUP(K544,'Catálogo SAP'!A:F,5,FALSE),"")</f>
        <v/>
      </c>
      <c r="O544" s="160"/>
      <c r="P544" s="70" t="str">
        <f t="shared" si="216"/>
        <v>-</v>
      </c>
      <c r="Q544" s="163" t="str">
        <f t="shared" si="215"/>
        <v>-</v>
      </c>
      <c r="R544" s="44" t="str">
        <f>IF(J544&lt;&gt;"",VLOOKUP(J544,'RESUMO DR'!$B$4:$E$253,4,FALSE),"-")</f>
        <v>-</v>
      </c>
      <c r="S544" s="58" t="str">
        <f>IF(J544&lt;&gt;"",VLOOKUP(J544,'RESUMO DR'!$B$4:$E$253,3,FALSE),"-")</f>
        <v>-</v>
      </c>
      <c r="T544" s="129"/>
      <c r="U544" s="129"/>
      <c r="V544" s="129"/>
      <c r="W544" s="128"/>
      <c r="X544" s="127"/>
      <c r="Y544" s="127"/>
      <c r="Z544" s="4"/>
    </row>
    <row r="545" spans="1:26" ht="18" customHeight="1">
      <c r="A545" s="5"/>
      <c r="B545" s="21">
        <v>45661</v>
      </c>
      <c r="C545" s="21" t="s">
        <v>138</v>
      </c>
      <c r="D545" s="74" t="str">
        <f t="shared" si="219"/>
        <v>sáb</v>
      </c>
      <c r="E545" s="169" t="str">
        <f>IF(K545&lt;&gt;"",VLOOKUP(K545,'Catálogo SAP'!$A$1:$F$245,2,FALSE),"-")</f>
        <v>-</v>
      </c>
      <c r="F545" s="225"/>
      <c r="G545" s="225"/>
      <c r="H545" s="226"/>
      <c r="I545" s="230"/>
      <c r="J545" s="162" t="str">
        <f t="shared" si="220"/>
        <v/>
      </c>
      <c r="K545" s="16"/>
      <c r="L545" s="167" t="str">
        <f>IF(K545&lt;&gt;"",VLOOKUP(K545,'Catálogo SAP'!A:F,3,FALSE),"")</f>
        <v/>
      </c>
      <c r="M545" s="162" t="str">
        <f>IF(K545&lt;&gt;"",VLOOKUP(K545,'Catálogo SAP'!A:F,4,FALSE),"")</f>
        <v/>
      </c>
      <c r="N545" s="168" t="str">
        <f>IF(K545&lt;&gt;"",VLOOKUP(K545,'Catálogo SAP'!A:F,5,FALSE),"")</f>
        <v/>
      </c>
      <c r="O545" s="160"/>
      <c r="P545" s="70" t="str">
        <f t="shared" si="216"/>
        <v>-</v>
      </c>
      <c r="Q545" s="163" t="str">
        <f t="shared" si="215"/>
        <v>-</v>
      </c>
      <c r="R545" s="44" t="str">
        <f>IF(J545&lt;&gt;"",VLOOKUP(J545,'RESUMO DR'!$B$4:$E$253,4,FALSE),"-")</f>
        <v>-</v>
      </c>
      <c r="S545" s="58" t="str">
        <f>IF(J545&lt;&gt;"",VLOOKUP(J545,'RESUMO DR'!$B$4:$E$253,3,FALSE),"-")</f>
        <v>-</v>
      </c>
      <c r="T545" s="129"/>
      <c r="U545" s="129"/>
      <c r="V545" s="129"/>
      <c r="W545" s="128"/>
      <c r="X545" s="127"/>
      <c r="Y545" s="127"/>
      <c r="Z545" s="4"/>
    </row>
    <row r="546" spans="1:26" ht="18" customHeight="1">
      <c r="A546" s="5"/>
      <c r="B546" s="222"/>
      <c r="C546" s="222"/>
      <c r="D546" s="223"/>
      <c r="E546" s="224"/>
      <c r="F546" s="225"/>
      <c r="G546" s="225"/>
      <c r="H546" s="226"/>
      <c r="I546" s="227"/>
      <c r="J546" s="228"/>
      <c r="K546" s="225"/>
      <c r="L546" s="167" t="str">
        <f>IF(K546&lt;&gt;"",VLOOKUP(K546,'Catálogo SAP'!A:F,3,FALSE),"")</f>
        <v/>
      </c>
      <c r="M546" s="162" t="str">
        <f>IF(K546&lt;&gt;"",VLOOKUP(K546,'Catálogo SAP'!A:F,4,FALSE),"")</f>
        <v/>
      </c>
      <c r="N546" s="168" t="str">
        <f>IF(K546&lt;&gt;"",VLOOKUP(K546,'Catálogo SAP'!A:F,5,FALSE),"")</f>
        <v/>
      </c>
      <c r="O546" s="231"/>
      <c r="P546" s="70" t="str">
        <f t="shared" si="216"/>
        <v>-</v>
      </c>
      <c r="Q546" s="229"/>
      <c r="R546" s="44" t="str">
        <f>IF(J546&lt;&gt;"",VLOOKUP(J546,'RESUMO DR'!$B$4:$E$253,4,FALSE),"-")</f>
        <v>-</v>
      </c>
      <c r="S546" s="58" t="str">
        <f>IF(J546&lt;&gt;"",VLOOKUP(J546,'RESUMO DR'!$B$4:$E$253,3,FALSE),"-")</f>
        <v>-</v>
      </c>
      <c r="T546" s="129"/>
      <c r="U546" s="129"/>
      <c r="V546" s="129"/>
      <c r="W546" s="128"/>
      <c r="X546" s="127"/>
      <c r="Y546" s="127"/>
      <c r="Z546" s="4"/>
    </row>
    <row r="547" spans="1:26" ht="18" customHeight="1">
      <c r="A547" s="5">
        <v>1569</v>
      </c>
      <c r="B547" s="21">
        <v>45663</v>
      </c>
      <c r="C547" s="21" t="s">
        <v>121</v>
      </c>
      <c r="D547" s="74" t="str">
        <f t="shared" si="219"/>
        <v>seg</v>
      </c>
      <c r="E547" s="169">
        <f>IF(K547&lt;&gt;"",VLOOKUP(K547,'Catálogo SAP'!$A$1:$F$245,2,FALSE),"-")</f>
        <v>120</v>
      </c>
      <c r="F547" s="225">
        <v>8724</v>
      </c>
      <c r="G547" s="225">
        <v>8730</v>
      </c>
      <c r="H547" s="226"/>
      <c r="I547" s="230">
        <v>300</v>
      </c>
      <c r="J547" s="162" t="str">
        <f t="shared" si="220"/>
        <v>SAO LUIS</v>
      </c>
      <c r="K547" s="16">
        <v>120</v>
      </c>
      <c r="L547" s="167" t="str">
        <f>IF(K547&lt;&gt;"",VLOOKUP(K547,'Catálogo SAP'!A:F,3,FALSE),"")</f>
        <v>S.VP-01437</v>
      </c>
      <c r="M547" s="162" t="str">
        <f>IF(K547&lt;&gt;"",VLOOKUP(K547,'Catálogo SAP'!A:F,4,FALSE),"")</f>
        <v>Hr Produtiva Retroescavadeira C/Operador</v>
      </c>
      <c r="N547" s="168" t="str">
        <f>IF(K547&lt;&gt;"",VLOOKUP(K547,'Catálogo SAP'!A:F,5,FALSE),"")</f>
        <v>H</v>
      </c>
      <c r="O547" s="160">
        <v>6</v>
      </c>
      <c r="P547" s="70">
        <f t="shared" si="216"/>
        <v>6</v>
      </c>
      <c r="Q547" s="163" t="e">
        <f t="shared" si="215"/>
        <v>#VALUE!</v>
      </c>
      <c r="R547" s="44" t="str">
        <f>IF(J547&lt;&gt;"",VLOOKUP(J547,'RESUMO DR'!$B$4:$E$253,4,FALSE),"-")</f>
        <v>T-02</v>
      </c>
      <c r="S547" s="58" t="str">
        <f>IF(J547&lt;&gt;"",VLOOKUP(J547,'RESUMO DR'!$B$4:$E$253,3,FALSE),"-")</f>
        <v>ARAGUAINA</v>
      </c>
      <c r="T547" s="129"/>
      <c r="U547" s="129"/>
      <c r="V547" s="129"/>
      <c r="W547" s="128"/>
      <c r="X547" s="127"/>
      <c r="Y547" s="127"/>
      <c r="Z547" s="4"/>
    </row>
    <row r="548" spans="1:26" ht="18" customHeight="1">
      <c r="A548" s="5">
        <v>1569</v>
      </c>
      <c r="B548" s="21">
        <v>45663</v>
      </c>
      <c r="C548" s="21" t="s">
        <v>121</v>
      </c>
      <c r="D548" s="74" t="str">
        <f t="shared" si="219"/>
        <v>seg</v>
      </c>
      <c r="E548" s="169">
        <f>IF(K548&lt;&gt;"",VLOOKUP(K548,'Catálogo SAP'!$A$1:$F$245,2,FALSE),"-")</f>
        <v>130</v>
      </c>
      <c r="F548" s="225">
        <v>8730</v>
      </c>
      <c r="G548" s="225">
        <v>8730</v>
      </c>
      <c r="H548" s="226"/>
      <c r="I548" s="230">
        <v>300</v>
      </c>
      <c r="J548" s="162" t="str">
        <f t="shared" ref="J548:J586" si="221">IF(AND(I548&gt;=0.001,I548&lt;=16),"AÇAILÂNDIA","")&amp;IF(AND(I548&gt;=16.001,I548&lt;=44),"S.F. BREJÃO","")&amp;IF(AND(I548&gt;=44.001,I548&lt;=78),"JOÃO LISBOA","")&amp;IF(AND(I548&gt;=78.001,I548&lt;=96.397),"IMPERATRIZ","")&amp;IF(AND(I548&gt;=96.398,I548&lt;=122.82),"EDSON LOBÃO","")&amp;IF(AND(I548&gt;=122.821,I548&lt;=152.303),"RIBAMAR FIQUENE","")&amp;IF(AND(I548&gt;=152.304,I548&lt;=172.403),"CAMPESTRE","")&amp;IF(AND(I548&gt;=172.404,I548&lt;=195),"PORTO FRANCO","")&amp;IF(AND(I548&gt;=300,I548&lt;=300),"SAO LUIS","")&amp;IF(AND(I548&gt;=385.4,I548&lt;=465.4),"Palmeirante","")&amp;IF(AND(I548&gt;=465.401,I548&lt;=520.455),"Tupiratins","")&amp;IF(AND(I548&gt;=520.456,I548&lt;=536.741),"Guaraí","")&amp;IF(AND(I548&gt;=536.742,I548&lt;=580.293),"Tupirama","")&amp;IF(AND(I548&gt;=580.294,I548&lt;=608.637),"Rio dos Bois","")&amp;IF(AND(I548&gt;=608.638,I548&lt;=698.981),"Miracema","")&amp;IF(AND(I548&gt;=698.982,I548&lt;=735.6),"Porto Nacional","")&amp;IF(AND(I548&gt;=195.1,I548&lt;=213.603),"ESTREITO","")&amp;IF(AND(I548&gt;=213.604,I548&lt;=218.976),"AGUIARNÓPOLIS","")&amp;IF(AND(I548&gt;=218.977,I548&lt;=253.5),"PALMEIRAS DO TOCANTINS","")&amp;IF(AND(I548&gt;=253.501,I548&lt;=274.15),"DARCINÓPOLIS","")&amp;IF(AND(I548&gt;=274.151,I548&lt;=299.999),"BABAÇULÂNDIA","")&amp;IF(AND(I548&gt;=356.62,I548&lt;=385.4),"ARAGUAÍNA","")&amp;IF(AND(I548&gt;=300.001,I548&lt;=356.619),"BABAÇULÂNDIA","")&amp;IF(AND(I548&gt;=900,I548&lt;=902),"ENG. VLI","")</f>
        <v>SAO LUIS</v>
      </c>
      <c r="K548" s="16">
        <v>130</v>
      </c>
      <c r="L548" s="167" t="str">
        <f>IF(K548&lt;&gt;"",VLOOKUP(K548,'Catálogo SAP'!A:F,3,FALSE),"")</f>
        <v>S.VP-01438</v>
      </c>
      <c r="M548" s="162" t="str">
        <f>IF(K548&lt;&gt;"",VLOOKUP(K548,'Catálogo SAP'!A:F,4,FALSE),"")</f>
        <v>Hr Improdutiva Retroescavadeira C/Operador</v>
      </c>
      <c r="N548" s="168" t="str">
        <f>IF(K548&lt;&gt;"",VLOOKUP(K548,'Catálogo SAP'!A:F,5,FALSE),"")</f>
        <v>H</v>
      </c>
      <c r="O548" s="160">
        <v>3</v>
      </c>
      <c r="P548" s="70">
        <f t="shared" si="216"/>
        <v>0</v>
      </c>
      <c r="Q548" s="163" t="e">
        <f t="shared" si="215"/>
        <v>#VALUE!</v>
      </c>
      <c r="R548" s="44" t="str">
        <f>IF(J548&lt;&gt;"",VLOOKUP(J548,'RESUMO DR'!$B$4:$E$253,4,FALSE),"-")</f>
        <v>T-02</v>
      </c>
      <c r="S548" s="58" t="str">
        <f>IF(J548&lt;&gt;"",VLOOKUP(J548,'RESUMO DR'!$B$4:$E$253,3,FALSE),"-")</f>
        <v>ARAGUAINA</v>
      </c>
      <c r="T548" s="129"/>
      <c r="U548" s="129"/>
      <c r="V548" s="129"/>
      <c r="W548" s="128"/>
      <c r="X548" s="127"/>
      <c r="Y548" s="127"/>
      <c r="Z548" s="4"/>
    </row>
    <row r="549" spans="1:26" ht="18" customHeight="1">
      <c r="A549" s="5">
        <v>1803</v>
      </c>
      <c r="B549" s="21">
        <v>45663</v>
      </c>
      <c r="C549" s="21" t="s">
        <v>122</v>
      </c>
      <c r="D549" s="74" t="str">
        <f t="shared" si="219"/>
        <v>seg</v>
      </c>
      <c r="E549" s="169">
        <f>IF(K549&lt;&gt;"",VLOOKUP(K549,'Catálogo SAP'!$A$1:$F$245,2,FALSE),"-")</f>
        <v>120</v>
      </c>
      <c r="F549" s="16">
        <v>3871</v>
      </c>
      <c r="G549" s="16">
        <v>3880</v>
      </c>
      <c r="H549" s="22"/>
      <c r="I549" s="133">
        <v>326</v>
      </c>
      <c r="J549" s="162" t="str">
        <f t="shared" si="221"/>
        <v>BABAÇULÂNDIA</v>
      </c>
      <c r="K549" s="16">
        <v>120</v>
      </c>
      <c r="L549" s="167" t="str">
        <f>IF(K549&lt;&gt;"",VLOOKUP(K549,'Catálogo SAP'!A:F,3,FALSE),"")</f>
        <v>S.VP-01437</v>
      </c>
      <c r="M549" s="162" t="str">
        <f>IF(K549&lt;&gt;"",VLOOKUP(K549,'Catálogo SAP'!A:F,4,FALSE),"")</f>
        <v>Hr Produtiva Retroescavadeira C/Operador</v>
      </c>
      <c r="N549" s="168" t="str">
        <f>IF(K549&lt;&gt;"",VLOOKUP(K549,'Catálogo SAP'!A:F,5,FALSE),"")</f>
        <v>H</v>
      </c>
      <c r="O549" s="160">
        <v>9</v>
      </c>
      <c r="P549" s="70">
        <f t="shared" si="216"/>
        <v>9</v>
      </c>
      <c r="Q549" s="163" t="e">
        <f t="shared" si="215"/>
        <v>#VALUE!</v>
      </c>
      <c r="R549" s="44" t="str">
        <f>IF(J549&lt;&gt;"",VLOOKUP(J549,'RESUMO DR'!$B$4:$E$253,4,FALSE),"-")</f>
        <v>T-02</v>
      </c>
      <c r="S549" s="58" t="str">
        <f>IF(J549&lt;&gt;"",VLOOKUP(J549,'RESUMO DR'!$B$4:$E$253,3,FALSE),"-")</f>
        <v>ARAGUAINA</v>
      </c>
      <c r="T549" s="129"/>
      <c r="U549" s="129"/>
      <c r="V549" s="129"/>
      <c r="W549" s="128"/>
      <c r="X549" s="127"/>
      <c r="Y549" s="127"/>
      <c r="Z549" s="4"/>
    </row>
    <row r="550" spans="1:26" ht="18" customHeight="1">
      <c r="A550" s="5">
        <v>1949</v>
      </c>
      <c r="B550" s="21">
        <v>45663</v>
      </c>
      <c r="C550" s="21" t="s">
        <v>123</v>
      </c>
      <c r="D550" s="74" t="str">
        <f t="shared" si="219"/>
        <v>seg</v>
      </c>
      <c r="E550" s="169">
        <f>IF(K550&lt;&gt;"",VLOOKUP(K550,'Catálogo SAP'!$A$1:$F$245,2,FALSE),"-")</f>
        <v>120</v>
      </c>
      <c r="F550" s="225">
        <v>5881</v>
      </c>
      <c r="G550" s="225">
        <v>5890</v>
      </c>
      <c r="H550" s="226"/>
      <c r="I550" s="230">
        <v>574</v>
      </c>
      <c r="J550" s="162" t="str">
        <f t="shared" si="221"/>
        <v>Tupirama</v>
      </c>
      <c r="K550" s="16">
        <v>120</v>
      </c>
      <c r="L550" s="167" t="str">
        <f>IF(K550&lt;&gt;"",VLOOKUP(K550,'Catálogo SAP'!A:F,3,FALSE),"")</f>
        <v>S.VP-01437</v>
      </c>
      <c r="M550" s="162" t="str">
        <f>IF(K550&lt;&gt;"",VLOOKUP(K550,'Catálogo SAP'!A:F,4,FALSE),"")</f>
        <v>Hr Produtiva Retroescavadeira C/Operador</v>
      </c>
      <c r="N550" s="168" t="str">
        <f>IF(K550&lt;&gt;"",VLOOKUP(K550,'Catálogo SAP'!A:F,5,FALSE),"")</f>
        <v>H</v>
      </c>
      <c r="O550" s="160">
        <v>9</v>
      </c>
      <c r="P550" s="70">
        <f t="shared" si="216"/>
        <v>9</v>
      </c>
      <c r="Q550" s="163" t="e">
        <f t="shared" si="215"/>
        <v>#VALUE!</v>
      </c>
      <c r="R550" s="44" t="str">
        <f>IF(J550&lt;&gt;"",VLOOKUP(J550,'RESUMO DR'!$B$4:$E$253,4,FALSE),"-")</f>
        <v>T-03</v>
      </c>
      <c r="S550" s="58" t="str">
        <f>IF(J550&lt;&gt;"",VLOOKUP(J550,'RESUMO DR'!$B$4:$E$253,3,FALSE),"-")</f>
        <v>PALMAS</v>
      </c>
      <c r="T550" s="129"/>
      <c r="U550" s="129"/>
      <c r="V550" s="129"/>
      <c r="W550" s="128"/>
      <c r="X550" s="127"/>
      <c r="Y550" s="127"/>
      <c r="Z550" s="4"/>
    </row>
    <row r="551" spans="1:26" ht="18" customHeight="1">
      <c r="A551" s="5">
        <v>1946</v>
      </c>
      <c r="B551" s="21">
        <v>45663</v>
      </c>
      <c r="C551" s="21" t="s">
        <v>124</v>
      </c>
      <c r="D551" s="74" t="str">
        <f t="shared" si="219"/>
        <v>seg</v>
      </c>
      <c r="E551" s="169">
        <f>IF(K551&lt;&gt;"",VLOOKUP(K551,'Catálogo SAP'!$A$1:$F$245,2,FALSE),"-")</f>
        <v>400</v>
      </c>
      <c r="F551" s="16">
        <v>418654</v>
      </c>
      <c r="G551" s="16">
        <v>418784</v>
      </c>
      <c r="H551" s="22"/>
      <c r="I551" s="133">
        <v>95</v>
      </c>
      <c r="J551" s="162" t="str">
        <f t="shared" si="221"/>
        <v>IMPERATRIZ</v>
      </c>
      <c r="K551" s="16">
        <v>400</v>
      </c>
      <c r="L551" s="167" t="str">
        <f>IF(K551&lt;&gt;"",VLOOKUP(K551,'Catálogo SAP'!A:F,3,FALSE),"")</f>
        <v>S.VP-01461</v>
      </c>
      <c r="M551" s="162" t="str">
        <f>IF(K551&lt;&gt;"",VLOOKUP(K551,'Catálogo SAP'!A:F,4,FALSE),"")</f>
        <v>Km Rodado Carreta Prancha - C/ Motorista</v>
      </c>
      <c r="N551" s="168" t="str">
        <f>IF(K551&lt;&gt;"",VLOOKUP(K551,'Catálogo SAP'!A:F,5,FALSE),"")</f>
        <v>KM</v>
      </c>
      <c r="O551" s="160">
        <v>130</v>
      </c>
      <c r="P551" s="70">
        <f t="shared" si="216"/>
        <v>130</v>
      </c>
      <c r="Q551" s="163" t="e">
        <f t="shared" si="215"/>
        <v>#VALUE!</v>
      </c>
      <c r="R551" s="44" t="str">
        <f>IF(J551&lt;&gt;"",VLOOKUP(J551,'RESUMO DR'!$B$4:$E$253,4,FALSE),"-")</f>
        <v>T-01</v>
      </c>
      <c r="S551" s="58" t="str">
        <f>IF(J551&lt;&gt;"",VLOOKUP(J551,'RESUMO DR'!$B$4:$E$253,3,FALSE),"-")</f>
        <v>IMPERATRIZ</v>
      </c>
      <c r="T551" s="129"/>
      <c r="U551" s="129"/>
      <c r="V551" s="129"/>
      <c r="W551" s="128"/>
      <c r="X551" s="127"/>
      <c r="Y551" s="127"/>
      <c r="Z551" s="4"/>
    </row>
    <row r="552" spans="1:26" ht="18" customHeight="1">
      <c r="A552" s="5">
        <v>1801</v>
      </c>
      <c r="B552" s="21">
        <v>45663</v>
      </c>
      <c r="C552" s="21" t="s">
        <v>124</v>
      </c>
      <c r="D552" s="74" t="str">
        <f t="shared" si="219"/>
        <v>seg</v>
      </c>
      <c r="E552" s="169">
        <f>IF(K552&lt;&gt;"",VLOOKUP(K552,'Catálogo SAP'!$A$1:$F$245,2,FALSE),"-")</f>
        <v>400</v>
      </c>
      <c r="F552" s="16">
        <v>418784</v>
      </c>
      <c r="G552" s="16">
        <v>419174</v>
      </c>
      <c r="H552" s="22"/>
      <c r="I552" s="133">
        <v>530</v>
      </c>
      <c r="J552" s="162" t="str">
        <f t="shared" si="221"/>
        <v>Guaraí</v>
      </c>
      <c r="K552" s="16">
        <v>400</v>
      </c>
      <c r="L552" s="167" t="str">
        <f>IF(K552&lt;&gt;"",VLOOKUP(K552,'Catálogo SAP'!A:F,3,FALSE),"")</f>
        <v>S.VP-01461</v>
      </c>
      <c r="M552" s="162" t="str">
        <f>IF(K552&lt;&gt;"",VLOOKUP(K552,'Catálogo SAP'!A:F,4,FALSE),"")</f>
        <v>Km Rodado Carreta Prancha - C/ Motorista</v>
      </c>
      <c r="N552" s="168" t="str">
        <f>IF(K552&lt;&gt;"",VLOOKUP(K552,'Catálogo SAP'!A:F,5,FALSE),"")</f>
        <v>KM</v>
      </c>
      <c r="O552" s="160">
        <v>390</v>
      </c>
      <c r="P552" s="70">
        <f t="shared" si="216"/>
        <v>390</v>
      </c>
      <c r="Q552" s="163" t="e">
        <f t="shared" si="215"/>
        <v>#VALUE!</v>
      </c>
      <c r="R552" s="44" t="str">
        <f>IF(J552&lt;&gt;"",VLOOKUP(J552,'RESUMO DR'!$B$4:$E$253,4,FALSE),"-")</f>
        <v>T-03</v>
      </c>
      <c r="S552" s="58" t="str">
        <f>IF(J552&lt;&gt;"",VLOOKUP(J552,'RESUMO DR'!$B$4:$E$253,3,FALSE),"-")</f>
        <v>PALMAS</v>
      </c>
      <c r="T552" s="129"/>
      <c r="U552" s="129"/>
      <c r="V552" s="129"/>
      <c r="W552" s="128"/>
      <c r="X552" s="127"/>
      <c r="Y552" s="127"/>
      <c r="Z552" s="4"/>
    </row>
    <row r="553" spans="1:26" ht="18" customHeight="1">
      <c r="A553" s="5">
        <v>1943</v>
      </c>
      <c r="B553" s="21">
        <v>45663</v>
      </c>
      <c r="C553" s="21" t="s">
        <v>313</v>
      </c>
      <c r="D553" s="74" t="str">
        <f t="shared" si="219"/>
        <v>seg</v>
      </c>
      <c r="E553" s="169">
        <f>IF(K553&lt;&gt;"",VLOOKUP(K553,'Catálogo SAP'!$A$1:$F$245,2,FALSE),"-")</f>
        <v>200</v>
      </c>
      <c r="F553" s="225">
        <v>62011</v>
      </c>
      <c r="G553" s="225">
        <v>62299</v>
      </c>
      <c r="H553" s="226"/>
      <c r="I553" s="230">
        <v>59</v>
      </c>
      <c r="J553" s="162" t="str">
        <f t="shared" si="221"/>
        <v>JOÃO LISBOA</v>
      </c>
      <c r="K553" s="16">
        <v>200</v>
      </c>
      <c r="L553" s="167" t="str">
        <f>IF(K553&lt;&gt;"",VLOOKUP(K553,'Catálogo SAP'!A:F,3,FALSE),"")</f>
        <v>S.VP-01445</v>
      </c>
      <c r="M553" s="162" t="str">
        <f>IF(K553&lt;&gt;"",VLOOKUP(K553,'Catálogo SAP'!A:F,4,FALSE),"")</f>
        <v>Km Rodado Caminhão Basculante - C/Motorista</v>
      </c>
      <c r="N553" s="168" t="str">
        <f>IF(K553&lt;&gt;"",VLOOKUP(K553,'Catálogo SAP'!A:F,5,FALSE),"")</f>
        <v>KM</v>
      </c>
      <c r="O553" s="160">
        <v>288</v>
      </c>
      <c r="P553" s="70">
        <f t="shared" si="216"/>
        <v>288</v>
      </c>
      <c r="Q553" s="163" t="e">
        <f t="shared" si="215"/>
        <v>#VALUE!</v>
      </c>
      <c r="R553" s="44" t="str">
        <f>IF(J553&lt;&gt;"",VLOOKUP(J553,'RESUMO DR'!$B$4:$E$253,4,FALSE),"-")</f>
        <v>T-01</v>
      </c>
      <c r="S553" s="58" t="str">
        <f>IF(J553&lt;&gt;"",VLOOKUP(J553,'RESUMO DR'!$B$4:$E$253,3,FALSE),"-")</f>
        <v>IMPERATRIZ</v>
      </c>
      <c r="T553" s="129"/>
      <c r="U553" s="129"/>
      <c r="V553" s="129"/>
      <c r="W553" s="128"/>
      <c r="X553" s="127"/>
      <c r="Y553" s="127"/>
      <c r="Z553" s="4"/>
    </row>
    <row r="554" spans="1:26" ht="18" customHeight="1">
      <c r="A554" s="5">
        <v>1943</v>
      </c>
      <c r="B554" s="21">
        <v>45663</v>
      </c>
      <c r="C554" s="21" t="s">
        <v>314</v>
      </c>
      <c r="D554" s="74" t="str">
        <f t="shared" si="219"/>
        <v>seg</v>
      </c>
      <c r="E554" s="169">
        <f>IF(K554&lt;&gt;"",VLOOKUP(K554,'Catálogo SAP'!$A$1:$F$245,2,FALSE),"-")</f>
        <v>200</v>
      </c>
      <c r="F554" s="225">
        <v>65903</v>
      </c>
      <c r="G554" s="225">
        <v>66199</v>
      </c>
      <c r="H554" s="226"/>
      <c r="I554" s="230">
        <v>59</v>
      </c>
      <c r="J554" s="162" t="str">
        <f t="shared" si="221"/>
        <v>JOÃO LISBOA</v>
      </c>
      <c r="K554" s="16">
        <v>200</v>
      </c>
      <c r="L554" s="167" t="str">
        <f>IF(K554&lt;&gt;"",VLOOKUP(K554,'Catálogo SAP'!A:F,3,FALSE),"")</f>
        <v>S.VP-01445</v>
      </c>
      <c r="M554" s="162" t="str">
        <f>IF(K554&lt;&gt;"",VLOOKUP(K554,'Catálogo SAP'!A:F,4,FALSE),"")</f>
        <v>Km Rodado Caminhão Basculante - C/Motorista</v>
      </c>
      <c r="N554" s="168" t="str">
        <f>IF(K554&lt;&gt;"",VLOOKUP(K554,'Catálogo SAP'!A:F,5,FALSE),"")</f>
        <v>KM</v>
      </c>
      <c r="O554" s="160">
        <v>296</v>
      </c>
      <c r="P554" s="70">
        <f t="shared" si="216"/>
        <v>296</v>
      </c>
      <c r="Q554" s="163" t="e">
        <f t="shared" si="215"/>
        <v>#VALUE!</v>
      </c>
      <c r="R554" s="44" t="str">
        <f>IF(J554&lt;&gt;"",VLOOKUP(J554,'RESUMO DR'!$B$4:$E$253,4,FALSE),"-")</f>
        <v>T-01</v>
      </c>
      <c r="S554" s="58" t="str">
        <f>IF(J554&lt;&gt;"",VLOOKUP(J554,'RESUMO DR'!$B$4:$E$253,3,FALSE),"-")</f>
        <v>IMPERATRIZ</v>
      </c>
      <c r="T554" s="129"/>
      <c r="U554" s="129"/>
      <c r="V554" s="129"/>
      <c r="W554" s="128"/>
      <c r="X554" s="127"/>
      <c r="Y554" s="127"/>
      <c r="Z554" s="4"/>
    </row>
    <row r="555" spans="1:26" ht="18" customHeight="1">
      <c r="A555" s="5">
        <v>1804</v>
      </c>
      <c r="B555" s="21">
        <v>45663</v>
      </c>
      <c r="C555" s="21" t="s">
        <v>127</v>
      </c>
      <c r="D555" s="74" t="str">
        <f t="shared" si="219"/>
        <v>seg</v>
      </c>
      <c r="E555" s="169">
        <f>IF(K555&lt;&gt;"",VLOOKUP(K555,'Catálogo SAP'!$A$1:$F$245,2,FALSE),"-")</f>
        <v>200</v>
      </c>
      <c r="F555" s="225">
        <v>49900</v>
      </c>
      <c r="G555" s="225">
        <v>50000</v>
      </c>
      <c r="H555" s="226"/>
      <c r="I555" s="230">
        <v>442</v>
      </c>
      <c r="J555" s="162" t="str">
        <f t="shared" si="221"/>
        <v>Palmeirante</v>
      </c>
      <c r="K555" s="16">
        <v>200</v>
      </c>
      <c r="L555" s="167" t="str">
        <f>IF(K555&lt;&gt;"",VLOOKUP(K555,'Catálogo SAP'!A:F,3,FALSE),"")</f>
        <v>S.VP-01445</v>
      </c>
      <c r="M555" s="162" t="str">
        <f>IF(K555&lt;&gt;"",VLOOKUP(K555,'Catálogo SAP'!A:F,4,FALSE),"")</f>
        <v>Km Rodado Caminhão Basculante - C/Motorista</v>
      </c>
      <c r="N555" s="168" t="str">
        <f>IF(K555&lt;&gt;"",VLOOKUP(K555,'Catálogo SAP'!A:F,5,FALSE),"")</f>
        <v>KM</v>
      </c>
      <c r="O555" s="160">
        <v>100</v>
      </c>
      <c r="P555" s="70">
        <f t="shared" si="216"/>
        <v>100</v>
      </c>
      <c r="Q555" s="163" t="e">
        <f t="shared" si="215"/>
        <v>#VALUE!</v>
      </c>
      <c r="R555" s="44" t="str">
        <f>IF(J555&lt;&gt;"",VLOOKUP(J555,'RESUMO DR'!$B$4:$E$253,4,FALSE),"-")</f>
        <v>T-02</v>
      </c>
      <c r="S555" s="58" t="str">
        <f>IF(J555&lt;&gt;"",VLOOKUP(J555,'RESUMO DR'!$B$4:$E$253,3,FALSE),"-")</f>
        <v>ARAGUAINA</v>
      </c>
      <c r="T555" s="129"/>
      <c r="U555" s="129"/>
      <c r="V555" s="129"/>
      <c r="W555" s="128"/>
      <c r="X555" s="127"/>
      <c r="Y555" s="127"/>
      <c r="Z555" s="4"/>
    </row>
    <row r="556" spans="1:26" ht="18" customHeight="1">
      <c r="A556" s="5">
        <v>1943</v>
      </c>
      <c r="B556" s="21">
        <v>45663</v>
      </c>
      <c r="C556" s="21" t="s">
        <v>307</v>
      </c>
      <c r="D556" s="74" t="str">
        <f t="shared" si="219"/>
        <v>seg</v>
      </c>
      <c r="E556" s="169">
        <f>IF(K556&lt;&gt;"",VLOOKUP(K556,'Catálogo SAP'!$A$1:$F$245,2,FALSE),"-")</f>
        <v>200</v>
      </c>
      <c r="F556" s="16">
        <v>66438</v>
      </c>
      <c r="G556" s="16">
        <v>66753</v>
      </c>
      <c r="H556" s="22"/>
      <c r="I556" s="133">
        <v>59</v>
      </c>
      <c r="J556" s="162" t="str">
        <f t="shared" si="221"/>
        <v>JOÃO LISBOA</v>
      </c>
      <c r="K556" s="16">
        <v>200</v>
      </c>
      <c r="L556" s="167" t="str">
        <f>IF(K556&lt;&gt;"",VLOOKUP(K556,'Catálogo SAP'!A:F,3,FALSE),"")</f>
        <v>S.VP-01445</v>
      </c>
      <c r="M556" s="162" t="str">
        <f>IF(K556&lt;&gt;"",VLOOKUP(K556,'Catálogo SAP'!A:F,4,FALSE),"")</f>
        <v>Km Rodado Caminhão Basculante - C/Motorista</v>
      </c>
      <c r="N556" s="168" t="str">
        <f>IF(K556&lt;&gt;"",VLOOKUP(K556,'Catálogo SAP'!A:F,5,FALSE),"")</f>
        <v>KM</v>
      </c>
      <c r="O556" s="160">
        <v>315</v>
      </c>
      <c r="P556" s="70">
        <f t="shared" si="216"/>
        <v>315</v>
      </c>
      <c r="Q556" s="163" t="e">
        <f t="shared" si="215"/>
        <v>#VALUE!</v>
      </c>
      <c r="R556" s="44" t="str">
        <f>IF(J556&lt;&gt;"",VLOOKUP(J556,'RESUMO DR'!$B$4:$E$253,4,FALSE),"-")</f>
        <v>T-01</v>
      </c>
      <c r="S556" s="58" t="str">
        <f>IF(J556&lt;&gt;"",VLOOKUP(J556,'RESUMO DR'!$B$4:$E$253,3,FALSE),"-")</f>
        <v>IMPERATRIZ</v>
      </c>
      <c r="T556" s="129"/>
      <c r="U556" s="129"/>
      <c r="V556" s="129"/>
      <c r="W556" s="128"/>
      <c r="X556" s="127"/>
      <c r="Y556" s="127"/>
      <c r="Z556" s="4"/>
    </row>
    <row r="557" spans="1:26" ht="18" customHeight="1">
      <c r="A557" s="5">
        <v>1943</v>
      </c>
      <c r="B557" s="21">
        <v>45663</v>
      </c>
      <c r="C557" s="21" t="s">
        <v>308</v>
      </c>
      <c r="D557" s="74" t="str">
        <f t="shared" si="219"/>
        <v>seg</v>
      </c>
      <c r="E557" s="169">
        <f>IF(K557&lt;&gt;"",VLOOKUP(K557,'Catálogo SAP'!$A$1:$F$245,2,FALSE),"-")</f>
        <v>200</v>
      </c>
      <c r="F557" s="16">
        <v>66181</v>
      </c>
      <c r="G557" s="16">
        <v>66464</v>
      </c>
      <c r="H557" s="22"/>
      <c r="I557" s="133">
        <v>59</v>
      </c>
      <c r="J557" s="162" t="str">
        <f t="shared" si="221"/>
        <v>JOÃO LISBOA</v>
      </c>
      <c r="K557" s="16">
        <v>200</v>
      </c>
      <c r="L557" s="167" t="str">
        <f>IF(K557&lt;&gt;"",VLOOKUP(K557,'Catálogo SAP'!A:F,3,FALSE),"")</f>
        <v>S.VP-01445</v>
      </c>
      <c r="M557" s="162" t="str">
        <f>IF(K557&lt;&gt;"",VLOOKUP(K557,'Catálogo SAP'!A:F,4,FALSE),"")</f>
        <v>Km Rodado Caminhão Basculante - C/Motorista</v>
      </c>
      <c r="N557" s="168" t="str">
        <f>IF(K557&lt;&gt;"",VLOOKUP(K557,'Catálogo SAP'!A:F,5,FALSE),"")</f>
        <v>KM</v>
      </c>
      <c r="O557" s="160">
        <v>283</v>
      </c>
      <c r="P557" s="70">
        <f t="shared" si="216"/>
        <v>283</v>
      </c>
      <c r="Q557" s="163" t="e">
        <f t="shared" si="215"/>
        <v>#VALUE!</v>
      </c>
      <c r="R557" s="44" t="str">
        <f>IF(J557&lt;&gt;"",VLOOKUP(J557,'RESUMO DR'!$B$4:$E$253,4,FALSE),"-")</f>
        <v>T-01</v>
      </c>
      <c r="S557" s="58" t="str">
        <f>IF(J557&lt;&gt;"",VLOOKUP(J557,'RESUMO DR'!$B$4:$E$253,3,FALSE),"-")</f>
        <v>IMPERATRIZ</v>
      </c>
      <c r="T557" s="129"/>
      <c r="U557" s="129"/>
      <c r="V557" s="129"/>
      <c r="W557" s="128"/>
      <c r="X557" s="127"/>
      <c r="Y557" s="127"/>
      <c r="Z557" s="4"/>
    </row>
    <row r="558" spans="1:26" ht="18" customHeight="1">
      <c r="A558" s="5">
        <v>1949</v>
      </c>
      <c r="B558" s="21">
        <v>45663</v>
      </c>
      <c r="C558" s="21" t="s">
        <v>129</v>
      </c>
      <c r="D558" s="74" t="str">
        <f t="shared" si="219"/>
        <v>seg</v>
      </c>
      <c r="E558" s="169">
        <f>IF(K558&lt;&gt;"",VLOOKUP(K558,'Catálogo SAP'!$A$1:$F$245,2,FALSE),"-")</f>
        <v>200</v>
      </c>
      <c r="F558" s="225">
        <v>81075</v>
      </c>
      <c r="G558" s="225">
        <v>81137</v>
      </c>
      <c r="H558" s="226"/>
      <c r="I558" s="230">
        <v>574</v>
      </c>
      <c r="J558" s="162" t="str">
        <f t="shared" si="221"/>
        <v>Tupirama</v>
      </c>
      <c r="K558" s="16">
        <v>200</v>
      </c>
      <c r="L558" s="167" t="str">
        <f>IF(K558&lt;&gt;"",VLOOKUP(K558,'Catálogo SAP'!A:F,3,FALSE),"")</f>
        <v>S.VP-01445</v>
      </c>
      <c r="M558" s="162" t="str">
        <f>IF(K558&lt;&gt;"",VLOOKUP(K558,'Catálogo SAP'!A:F,4,FALSE),"")</f>
        <v>Km Rodado Caminhão Basculante - C/Motorista</v>
      </c>
      <c r="N558" s="168" t="str">
        <f>IF(K558&lt;&gt;"",VLOOKUP(K558,'Catálogo SAP'!A:F,5,FALSE),"")</f>
        <v>KM</v>
      </c>
      <c r="O558" s="160">
        <v>62</v>
      </c>
      <c r="P558" s="70">
        <f t="shared" si="216"/>
        <v>62</v>
      </c>
      <c r="Q558" s="163" t="e">
        <f t="shared" si="215"/>
        <v>#VALUE!</v>
      </c>
      <c r="R558" s="44" t="str">
        <f>IF(J558&lt;&gt;"",VLOOKUP(J558,'RESUMO DR'!$B$4:$E$253,4,FALSE),"-")</f>
        <v>T-03</v>
      </c>
      <c r="S558" s="58" t="str">
        <f>IF(J558&lt;&gt;"",VLOOKUP(J558,'RESUMO DR'!$B$4:$E$253,3,FALSE),"-")</f>
        <v>PALMAS</v>
      </c>
      <c r="T558" s="129"/>
      <c r="U558" s="129"/>
      <c r="V558" s="129"/>
      <c r="W558" s="128"/>
      <c r="X558" s="127"/>
      <c r="Y558" s="127"/>
      <c r="Z558" s="4"/>
    </row>
    <row r="559" spans="1:26" ht="18" customHeight="1">
      <c r="A559" s="5">
        <v>1946</v>
      </c>
      <c r="B559" s="21">
        <v>45663</v>
      </c>
      <c r="C559" s="21" t="s">
        <v>298</v>
      </c>
      <c r="D559" s="74" t="str">
        <f t="shared" si="219"/>
        <v>seg</v>
      </c>
      <c r="E559" s="169">
        <f>IF(K559&lt;&gt;"",VLOOKUP(K559,'Catálogo SAP'!$A$1:$F$245,2,FALSE),"-")</f>
        <v>170</v>
      </c>
      <c r="F559" s="225">
        <v>558</v>
      </c>
      <c r="G559" s="225">
        <v>558</v>
      </c>
      <c r="H559" s="226"/>
      <c r="I559" s="230">
        <v>95</v>
      </c>
      <c r="J559" s="162" t="str">
        <f t="shared" si="221"/>
        <v>IMPERATRIZ</v>
      </c>
      <c r="K559" s="16">
        <v>170</v>
      </c>
      <c r="L559" s="167" t="str">
        <f>IF(K559&lt;&gt;"",VLOOKUP(K559,'Catálogo SAP'!A:F,3,FALSE),"")</f>
        <v>S.VP-01442</v>
      </c>
      <c r="M559" s="162" t="str">
        <f>IF(K559&lt;&gt;"",VLOOKUP(K559,'Catálogo SAP'!A:F,4,FALSE),"")</f>
        <v>Hora Improdutiva Pa Carregadeira C/Operador</v>
      </c>
      <c r="N559" s="168" t="str">
        <f>IF(K559&lt;&gt;"",VLOOKUP(K559,'Catálogo SAP'!A:F,5,FALSE),"")</f>
        <v>H</v>
      </c>
      <c r="O559" s="160">
        <v>9</v>
      </c>
      <c r="P559" s="70">
        <f t="shared" si="216"/>
        <v>0</v>
      </c>
      <c r="Q559" s="163" t="e">
        <f t="shared" si="215"/>
        <v>#VALUE!</v>
      </c>
      <c r="R559" s="44" t="str">
        <f>IF(J559&lt;&gt;"",VLOOKUP(J559,'RESUMO DR'!$B$4:$E$253,4,FALSE),"-")</f>
        <v>T-01</v>
      </c>
      <c r="S559" s="58" t="str">
        <f>IF(J559&lt;&gt;"",VLOOKUP(J559,'RESUMO DR'!$B$4:$E$253,3,FALSE),"-")</f>
        <v>IMPERATRIZ</v>
      </c>
      <c r="T559" s="129"/>
      <c r="U559" s="129"/>
      <c r="V559" s="129"/>
      <c r="W559" s="128"/>
      <c r="X559" s="127"/>
      <c r="Y559" s="127"/>
      <c r="Z559" s="4"/>
    </row>
    <row r="560" spans="1:26" ht="18" customHeight="1">
      <c r="A560" s="5">
        <v>1944</v>
      </c>
      <c r="B560" s="21">
        <v>45663</v>
      </c>
      <c r="C560" s="21" t="s">
        <v>131</v>
      </c>
      <c r="D560" s="74" t="str">
        <f t="shared" si="219"/>
        <v>seg</v>
      </c>
      <c r="E560" s="169">
        <f>IF(K560&lt;&gt;"",VLOOKUP(K560,'Catálogo SAP'!$A$1:$F$245,2,FALSE),"-")</f>
        <v>520</v>
      </c>
      <c r="F560" s="225">
        <v>10610</v>
      </c>
      <c r="G560" s="225">
        <v>10618</v>
      </c>
      <c r="H560" s="226"/>
      <c r="I560" s="230">
        <v>195</v>
      </c>
      <c r="J560" s="162" t="str">
        <f t="shared" si="221"/>
        <v>PORTO FRANCO</v>
      </c>
      <c r="K560" s="16">
        <v>520</v>
      </c>
      <c r="L560" s="167" t="str">
        <f>IF(K560&lt;&gt;"",VLOOKUP(K560,'Catálogo SAP'!A:F,3,FALSE),"")</f>
        <v>S.VP-01469</v>
      </c>
      <c r="M560" s="162" t="str">
        <f>IF(K560&lt;&gt;"",VLOOKUP(K560,'Catálogo SAP'!A:F,4,FALSE),"")</f>
        <v>Hora Produtiva Escavadeira Hidraulica</v>
      </c>
      <c r="N560" s="168" t="str">
        <f>IF(K560&lt;&gt;"",VLOOKUP(K560,'Catálogo SAP'!A:F,5,FALSE),"")</f>
        <v>H</v>
      </c>
      <c r="O560" s="160">
        <v>8</v>
      </c>
      <c r="P560" s="70">
        <f t="shared" si="216"/>
        <v>8</v>
      </c>
      <c r="Q560" s="163" t="e">
        <f t="shared" ref="Q560:Q588" si="222">IF(K560="","-",N560*O560)</f>
        <v>#VALUE!</v>
      </c>
      <c r="R560" s="44" t="str">
        <f>IF(J560&lt;&gt;"",VLOOKUP(J560,'RESUMO DR'!$B$4:$E$253,4,FALSE),"-")</f>
        <v>T-01</v>
      </c>
      <c r="S560" s="58" t="str">
        <f>IF(J560&lt;&gt;"",VLOOKUP(J560,'RESUMO DR'!$B$4:$E$253,3,FALSE),"-")</f>
        <v>IMPERATRIZ</v>
      </c>
      <c r="T560" s="129"/>
      <c r="U560" s="129"/>
      <c r="V560" s="129"/>
      <c r="W560" s="128"/>
      <c r="X560" s="127"/>
      <c r="Y560" s="127"/>
      <c r="Z560" s="4"/>
    </row>
    <row r="561" spans="1:28" ht="18" customHeight="1">
      <c r="A561" s="5">
        <v>1944</v>
      </c>
      <c r="B561" s="21">
        <v>45663</v>
      </c>
      <c r="C561" s="21" t="s">
        <v>131</v>
      </c>
      <c r="D561" s="74" t="str">
        <f t="shared" si="219"/>
        <v>seg</v>
      </c>
      <c r="E561" s="169">
        <f>IF(K561&lt;&gt;"",VLOOKUP(K561,'Catálogo SAP'!$A$1:$F$245,2,FALSE),"-")</f>
        <v>530</v>
      </c>
      <c r="F561" s="225">
        <v>10618</v>
      </c>
      <c r="G561" s="225">
        <v>10618</v>
      </c>
      <c r="H561" s="226"/>
      <c r="I561" s="230">
        <v>195</v>
      </c>
      <c r="J561" s="162" t="str">
        <f t="shared" si="221"/>
        <v>PORTO FRANCO</v>
      </c>
      <c r="K561" s="16">
        <v>530</v>
      </c>
      <c r="L561" s="167" t="str">
        <f>IF(K561&lt;&gt;"",VLOOKUP(K561,'Catálogo SAP'!A:F,3,FALSE),"")</f>
        <v>S.VP-01470</v>
      </c>
      <c r="M561" s="162" t="str">
        <f>IF(K561&lt;&gt;"",VLOOKUP(K561,'Catálogo SAP'!A:F,4,FALSE),"")</f>
        <v>Hora Improdutiva Escavadeira Hidraulica</v>
      </c>
      <c r="N561" s="168" t="str">
        <f>IF(K561&lt;&gt;"",VLOOKUP(K561,'Catálogo SAP'!A:F,5,FALSE),"")</f>
        <v>H</v>
      </c>
      <c r="O561" s="160">
        <v>1</v>
      </c>
      <c r="P561" s="70">
        <f t="shared" si="216"/>
        <v>0</v>
      </c>
      <c r="Q561" s="163" t="e">
        <f t="shared" si="222"/>
        <v>#VALUE!</v>
      </c>
      <c r="R561" s="44" t="str">
        <f>IF(J561&lt;&gt;"",VLOOKUP(J561,'RESUMO DR'!$B$4:$E$253,4,FALSE),"-")</f>
        <v>T-01</v>
      </c>
      <c r="S561" s="58" t="str">
        <f>IF(J561&lt;&gt;"",VLOOKUP(J561,'RESUMO DR'!$B$4:$E$253,3,FALSE),"-")</f>
        <v>IMPERATRIZ</v>
      </c>
      <c r="T561" s="129"/>
      <c r="U561" s="129"/>
      <c r="V561" s="129"/>
      <c r="W561" s="128"/>
      <c r="X561" s="127"/>
      <c r="Y561" s="127"/>
      <c r="Z561" s="4"/>
    </row>
    <row r="562" spans="1:28" ht="18" customHeight="1">
      <c r="A562" s="5">
        <v>1804</v>
      </c>
      <c r="B562" s="21">
        <v>45663</v>
      </c>
      <c r="C562" s="21" t="s">
        <v>311</v>
      </c>
      <c r="D562" s="74" t="str">
        <f t="shared" si="219"/>
        <v>seg</v>
      </c>
      <c r="E562" s="169">
        <f>IF(K562&lt;&gt;"",VLOOKUP(K562,'Catálogo SAP'!$A$1:$F$245,2,FALSE),"-")</f>
        <v>120</v>
      </c>
      <c r="F562" s="16">
        <v>1189</v>
      </c>
      <c r="G562" s="225">
        <v>1196</v>
      </c>
      <c r="H562" s="22"/>
      <c r="I562" s="133">
        <v>442</v>
      </c>
      <c r="J562" s="162" t="str">
        <f t="shared" si="221"/>
        <v>Palmeirante</v>
      </c>
      <c r="K562" s="16">
        <v>120</v>
      </c>
      <c r="L562" s="167" t="str">
        <f>IF(K562&lt;&gt;"",VLOOKUP(K562,'Catálogo SAP'!A:F,3,FALSE),"")</f>
        <v>S.VP-01437</v>
      </c>
      <c r="M562" s="162" t="str">
        <f>IF(K562&lt;&gt;"",VLOOKUP(K562,'Catálogo SAP'!A:F,4,FALSE),"")</f>
        <v>Hr Produtiva Retroescavadeira C/Operador</v>
      </c>
      <c r="N562" s="168" t="str">
        <f>IF(K562&lt;&gt;"",VLOOKUP(K562,'Catálogo SAP'!A:F,5,FALSE),"")</f>
        <v>H</v>
      </c>
      <c r="O562" s="160">
        <v>7</v>
      </c>
      <c r="P562" s="70">
        <f t="shared" si="216"/>
        <v>7</v>
      </c>
      <c r="Q562" s="163" t="e">
        <f t="shared" si="222"/>
        <v>#VALUE!</v>
      </c>
      <c r="R562" s="44" t="str">
        <f>IF(J562&lt;&gt;"",VLOOKUP(J562,'RESUMO DR'!$B$4:$E$253,4,FALSE),"-")</f>
        <v>T-02</v>
      </c>
      <c r="S562" s="58" t="str">
        <f>IF(J562&lt;&gt;"",VLOOKUP(J562,'RESUMO DR'!$B$4:$E$253,3,FALSE),"-")</f>
        <v>ARAGUAINA</v>
      </c>
      <c r="T562" s="129"/>
      <c r="U562" s="129"/>
      <c r="V562" s="129"/>
      <c r="W562" s="128"/>
      <c r="X562" s="127"/>
      <c r="Y562" s="127"/>
      <c r="Z562" s="4"/>
    </row>
    <row r="563" spans="1:28" ht="18" customHeight="1">
      <c r="A563" s="5">
        <v>1804</v>
      </c>
      <c r="B563" s="21">
        <v>45663</v>
      </c>
      <c r="C563" s="21" t="s">
        <v>311</v>
      </c>
      <c r="D563" s="74" t="str">
        <f t="shared" si="219"/>
        <v>seg</v>
      </c>
      <c r="E563" s="169">
        <f>IF(K563&lt;&gt;"",VLOOKUP(K563,'Catálogo SAP'!$A$1:$F$245,2,FALSE),"-")</f>
        <v>130</v>
      </c>
      <c r="F563" s="225">
        <v>1196</v>
      </c>
      <c r="G563" s="225">
        <v>1196</v>
      </c>
      <c r="H563" s="226"/>
      <c r="I563" s="230">
        <v>442</v>
      </c>
      <c r="J563" s="162" t="str">
        <f t="shared" si="221"/>
        <v>Palmeirante</v>
      </c>
      <c r="K563" s="16">
        <v>130</v>
      </c>
      <c r="L563" s="167" t="str">
        <f>IF(K563&lt;&gt;"",VLOOKUP(K563,'Catálogo SAP'!A:F,3,FALSE),"")</f>
        <v>S.VP-01438</v>
      </c>
      <c r="M563" s="162" t="str">
        <f>IF(K563&lt;&gt;"",VLOOKUP(K563,'Catálogo SAP'!A:F,4,FALSE),"")</f>
        <v>Hr Improdutiva Retroescavadeira C/Operador</v>
      </c>
      <c r="N563" s="168" t="str">
        <f>IF(K563&lt;&gt;"",VLOOKUP(K563,'Catálogo SAP'!A:F,5,FALSE),"")</f>
        <v>H</v>
      </c>
      <c r="O563" s="160">
        <v>2</v>
      </c>
      <c r="P563" s="70">
        <f t="shared" si="216"/>
        <v>0</v>
      </c>
      <c r="Q563" s="163" t="e">
        <f t="shared" si="222"/>
        <v>#VALUE!</v>
      </c>
      <c r="R563" s="44" t="str">
        <f>IF(J563&lt;&gt;"",VLOOKUP(J563,'RESUMO DR'!$B$4:$E$253,4,FALSE),"-")</f>
        <v>T-02</v>
      </c>
      <c r="S563" s="58" t="str">
        <f>IF(J563&lt;&gt;"",VLOOKUP(J563,'RESUMO DR'!$B$4:$E$253,3,FALSE),"-")</f>
        <v>ARAGUAINA</v>
      </c>
      <c r="T563" s="129"/>
      <c r="U563" s="129"/>
      <c r="V563" s="129"/>
      <c r="W563" s="128"/>
      <c r="X563" s="127"/>
      <c r="Y563" s="127"/>
      <c r="Z563" s="4"/>
    </row>
    <row r="564" spans="1:28" ht="18" customHeight="1">
      <c r="A564" s="5">
        <v>1804</v>
      </c>
      <c r="B564" s="21">
        <v>45663</v>
      </c>
      <c r="C564" s="21" t="s">
        <v>305</v>
      </c>
      <c r="D564" s="74" t="str">
        <f t="shared" si="219"/>
        <v>seg</v>
      </c>
      <c r="E564" s="169">
        <f>IF(K564&lt;&gt;"",VLOOKUP(K564,'Catálogo SAP'!$A$1:$F$245,2,FALSE),"-")</f>
        <v>280</v>
      </c>
      <c r="F564" s="225">
        <v>238</v>
      </c>
      <c r="G564" s="16">
        <v>245</v>
      </c>
      <c r="H564" s="226"/>
      <c r="I564" s="230">
        <v>442</v>
      </c>
      <c r="J564" s="162" t="str">
        <f t="shared" si="221"/>
        <v>Palmeirante</v>
      </c>
      <c r="K564" s="16">
        <v>280</v>
      </c>
      <c r="L564" s="167" t="str">
        <f>IF(K564&lt;&gt;"",VLOOKUP(K564,'Catálogo SAP'!A:F,3,FALSE),"")</f>
        <v>S.VP-01453</v>
      </c>
      <c r="M564" s="162" t="str">
        <f>IF(K564&lt;&gt;"",VLOOKUP(K564,'Catálogo SAP'!A:F,4,FALSE),"")</f>
        <v>Hora Produtiva Motoniveladora C/Operador</v>
      </c>
      <c r="N564" s="168" t="str">
        <f>IF(K564&lt;&gt;"",VLOOKUP(K564,'Catálogo SAP'!A:F,5,FALSE),"")</f>
        <v>H</v>
      </c>
      <c r="O564" s="160">
        <v>7</v>
      </c>
      <c r="P564" s="70">
        <f t="shared" si="216"/>
        <v>7</v>
      </c>
      <c r="Q564" s="163" t="e">
        <f t="shared" si="222"/>
        <v>#VALUE!</v>
      </c>
      <c r="R564" s="44" t="str">
        <f>IF(J564&lt;&gt;"",VLOOKUP(J564,'RESUMO DR'!$B$4:$E$253,4,FALSE),"-")</f>
        <v>T-02</v>
      </c>
      <c r="S564" s="58" t="str">
        <f>IF(J564&lt;&gt;"",VLOOKUP(J564,'RESUMO DR'!$B$4:$E$253,3,FALSE),"-")</f>
        <v>ARAGUAINA</v>
      </c>
      <c r="T564" s="129"/>
      <c r="U564" s="129"/>
      <c r="V564" s="129"/>
      <c r="W564" s="128"/>
      <c r="X564" s="127"/>
      <c r="Y564" s="127"/>
      <c r="Z564" s="4"/>
    </row>
    <row r="565" spans="1:28" ht="18" customHeight="1">
      <c r="A565" s="5">
        <v>1804</v>
      </c>
      <c r="B565" s="21">
        <v>45663</v>
      </c>
      <c r="C565" s="21" t="s">
        <v>305</v>
      </c>
      <c r="D565" s="74" t="str">
        <f t="shared" si="219"/>
        <v>seg</v>
      </c>
      <c r="E565" s="169">
        <f>IF(K565&lt;&gt;"",VLOOKUP(K565,'Catálogo SAP'!$A$1:$F$245,2,FALSE),"-")</f>
        <v>290</v>
      </c>
      <c r="F565" s="16">
        <v>245</v>
      </c>
      <c r="G565" s="16">
        <v>245</v>
      </c>
      <c r="H565" s="22"/>
      <c r="I565" s="133">
        <v>442</v>
      </c>
      <c r="J565" s="162" t="str">
        <f t="shared" si="221"/>
        <v>Palmeirante</v>
      </c>
      <c r="K565" s="16">
        <v>290</v>
      </c>
      <c r="L565" s="167" t="str">
        <f>IF(K565&lt;&gt;"",VLOOKUP(K565,'Catálogo SAP'!A:F,3,FALSE),"")</f>
        <v>S.VP-01454</v>
      </c>
      <c r="M565" s="162" t="str">
        <f>IF(K565&lt;&gt;"",VLOOKUP(K565,'Catálogo SAP'!A:F,4,FALSE),"")</f>
        <v>Hora Improdutiva Motoniveladora C/Operador</v>
      </c>
      <c r="N565" s="168" t="str">
        <f>IF(K565&lt;&gt;"",VLOOKUP(K565,'Catálogo SAP'!A:F,5,FALSE),"")</f>
        <v>H</v>
      </c>
      <c r="O565" s="160">
        <v>2</v>
      </c>
      <c r="P565" s="70">
        <f t="shared" si="216"/>
        <v>0</v>
      </c>
      <c r="Q565" s="163" t="e">
        <f t="shared" si="222"/>
        <v>#VALUE!</v>
      </c>
      <c r="R565" s="44" t="str">
        <f>IF(J565&lt;&gt;"",VLOOKUP(J565,'RESUMO DR'!$B$4:$E$253,4,FALSE),"-")</f>
        <v>T-02</v>
      </c>
      <c r="S565" s="58" t="str">
        <f>IF(J565&lt;&gt;"",VLOOKUP(J565,'RESUMO DR'!$B$4:$E$253,3,FALSE),"-")</f>
        <v>ARAGUAINA</v>
      </c>
      <c r="T565" s="129"/>
      <c r="U565" s="129"/>
      <c r="V565" s="129"/>
      <c r="W565" s="128"/>
      <c r="X565" s="127"/>
      <c r="Y565" s="127"/>
      <c r="Z565" s="4"/>
    </row>
    <row r="566" spans="1:28" ht="18" customHeight="1">
      <c r="A566" s="5">
        <v>1947</v>
      </c>
      <c r="B566" s="21">
        <v>45663</v>
      </c>
      <c r="C566" s="21" t="s">
        <v>302</v>
      </c>
      <c r="D566" s="74" t="str">
        <f t="shared" si="219"/>
        <v>seg</v>
      </c>
      <c r="E566" s="169">
        <f>IF(K566&lt;&gt;"",VLOOKUP(K566,'Catálogo SAP'!$A$1:$F$245,2,FALSE),"-")</f>
        <v>170</v>
      </c>
      <c r="F566" s="16">
        <v>137</v>
      </c>
      <c r="G566" s="16">
        <v>137</v>
      </c>
      <c r="H566" s="22"/>
      <c r="I566" s="133">
        <v>563</v>
      </c>
      <c r="J566" s="162" t="str">
        <f t="shared" si="221"/>
        <v>Tupirama</v>
      </c>
      <c r="K566" s="16">
        <v>170</v>
      </c>
      <c r="L566" s="167" t="str">
        <f>IF(K566&lt;&gt;"",VLOOKUP(K566,'Catálogo SAP'!A:F,3,FALSE),"")</f>
        <v>S.VP-01442</v>
      </c>
      <c r="M566" s="162" t="str">
        <f>IF(K566&lt;&gt;"",VLOOKUP(K566,'Catálogo SAP'!A:F,4,FALSE),"")</f>
        <v>Hora Improdutiva Pa Carregadeira C/Operador</v>
      </c>
      <c r="N566" s="168" t="str">
        <f>IF(K566&lt;&gt;"",VLOOKUP(K566,'Catálogo SAP'!A:F,5,FALSE),"")</f>
        <v>H</v>
      </c>
      <c r="O566" s="160">
        <v>9</v>
      </c>
      <c r="P566" s="70">
        <f t="shared" si="216"/>
        <v>0</v>
      </c>
      <c r="Q566" s="163" t="e">
        <f t="shared" si="222"/>
        <v>#VALUE!</v>
      </c>
      <c r="R566" s="44" t="str">
        <f>IF(J566&lt;&gt;"",VLOOKUP(J566,'RESUMO DR'!$B$4:$E$253,4,FALSE),"-")</f>
        <v>T-03</v>
      </c>
      <c r="S566" s="58" t="str">
        <f>IF(J566&lt;&gt;"",VLOOKUP(J566,'RESUMO DR'!$B$4:$E$253,3,FALSE),"-")</f>
        <v>PALMAS</v>
      </c>
      <c r="T566" s="129"/>
      <c r="U566" s="129"/>
      <c r="V566" s="129"/>
      <c r="W566" s="128"/>
      <c r="X566" s="127"/>
      <c r="Y566" s="127"/>
      <c r="Z566" s="4"/>
    </row>
    <row r="567" spans="1:28" ht="18" customHeight="1">
      <c r="A567" s="5"/>
      <c r="B567" s="21">
        <v>45663</v>
      </c>
      <c r="C567" s="21" t="s">
        <v>302</v>
      </c>
      <c r="D567" s="74" t="str">
        <f t="shared" si="219"/>
        <v>seg</v>
      </c>
      <c r="E567" s="169" t="str">
        <f>IF(K567&lt;&gt;"",VLOOKUP(K567,'Catálogo SAP'!$A$1:$F$245,2,FALSE),"-")</f>
        <v>-</v>
      </c>
      <c r="F567" s="16"/>
      <c r="G567" s="16"/>
      <c r="H567" s="22"/>
      <c r="I567" s="133"/>
      <c r="J567" s="162" t="str">
        <f t="shared" si="221"/>
        <v/>
      </c>
      <c r="K567" s="16"/>
      <c r="L567" s="167" t="str">
        <f>IF(K567&lt;&gt;"",VLOOKUP(K567,'Catálogo SAP'!A:F,3,FALSE),"")</f>
        <v/>
      </c>
      <c r="M567" s="162" t="str">
        <f>IF(K567&lt;&gt;"",VLOOKUP(K567,'Catálogo SAP'!A:F,4,FALSE),"")</f>
        <v/>
      </c>
      <c r="N567" s="168" t="str">
        <f>IF(K567&lt;&gt;"",VLOOKUP(K567,'Catálogo SAP'!A:F,5,FALSE),"")</f>
        <v/>
      </c>
      <c r="O567" s="160"/>
      <c r="P567" s="70" t="str">
        <f t="shared" si="216"/>
        <v>-</v>
      </c>
      <c r="Q567" s="214" t="str">
        <f t="shared" si="222"/>
        <v>-</v>
      </c>
      <c r="R567" s="44" t="str">
        <f>IF(J567&lt;&gt;"",VLOOKUP(J567,'RESUMO DR'!$B$4:$E$253,4,FALSE),"-")</f>
        <v>-</v>
      </c>
      <c r="S567" s="58" t="str">
        <f>IF(J567&lt;&gt;"",VLOOKUP(J567,'RESUMO DR'!$B$4:$E$253,3,FALSE),"-")</f>
        <v>-</v>
      </c>
      <c r="T567" s="129"/>
      <c r="U567" s="129"/>
      <c r="V567" s="129"/>
      <c r="W567" s="128"/>
      <c r="X567" s="127"/>
      <c r="Y567" s="127"/>
      <c r="Z567" s="4"/>
    </row>
    <row r="568" spans="1:28" ht="18" customHeight="1">
      <c r="A568" s="5">
        <v>1945</v>
      </c>
      <c r="B568" s="21">
        <v>45663</v>
      </c>
      <c r="C568" s="21" t="s">
        <v>134</v>
      </c>
      <c r="D568" s="74" t="str">
        <f t="shared" si="219"/>
        <v>seg</v>
      </c>
      <c r="E568" s="169">
        <f>IF(K568&lt;&gt;"",VLOOKUP(K568,'Catálogo SAP'!$A$1:$F$245,2,FALSE),"-")</f>
        <v>480</v>
      </c>
      <c r="F568" s="225">
        <v>3403</v>
      </c>
      <c r="G568" s="225">
        <v>3407</v>
      </c>
      <c r="H568" s="226"/>
      <c r="I568" s="230">
        <v>104</v>
      </c>
      <c r="J568" s="162" t="str">
        <f t="shared" si="221"/>
        <v>EDSON LOBÃO</v>
      </c>
      <c r="K568" s="16">
        <v>480</v>
      </c>
      <c r="L568" s="167" t="str">
        <f>IF(K568&lt;&gt;"",VLOOKUP(K568,'Catálogo SAP'!A:F,3,FALSE),"")</f>
        <v>S.VP-01465</v>
      </c>
      <c r="M568" s="162" t="str">
        <f>IF(K568&lt;&gt;"",VLOOKUP(K568,'Catálogo SAP'!A:F,4,FALSE),"")</f>
        <v>Hora Produtiva Miniescavadeira Hidraulica C/ Operador</v>
      </c>
      <c r="N568" s="168" t="str">
        <f>IF(K568&lt;&gt;"",VLOOKUP(K568,'Catálogo SAP'!A:F,5,FALSE),"")</f>
        <v>H</v>
      </c>
      <c r="O568" s="160">
        <v>4</v>
      </c>
      <c r="P568" s="70">
        <f t="shared" si="216"/>
        <v>4</v>
      </c>
      <c r="Q568" s="163" t="e">
        <f t="shared" si="222"/>
        <v>#VALUE!</v>
      </c>
      <c r="R568" s="44" t="str">
        <f>IF(J568&lt;&gt;"",VLOOKUP(J568,'RESUMO DR'!$B$4:$E$253,4,FALSE),"-")</f>
        <v>T-01</v>
      </c>
      <c r="S568" s="58" t="str">
        <f>IF(J568&lt;&gt;"",VLOOKUP(J568,'RESUMO DR'!$B$4:$E$253,3,FALSE),"-")</f>
        <v>IMPERATRIZ</v>
      </c>
      <c r="T568" s="129"/>
      <c r="U568" s="129"/>
      <c r="V568" s="129"/>
      <c r="W568" s="128"/>
      <c r="X568" s="127"/>
      <c r="Y568" s="127"/>
      <c r="Z568" s="4"/>
    </row>
    <row r="569" spans="1:28" ht="18" customHeight="1">
      <c r="A569" s="5">
        <v>1945</v>
      </c>
      <c r="B569" s="21">
        <v>45663</v>
      </c>
      <c r="C569" s="21" t="s">
        <v>134</v>
      </c>
      <c r="D569" s="74" t="str">
        <f t="shared" si="219"/>
        <v>seg</v>
      </c>
      <c r="E569" s="169">
        <f>IF(K569&lt;&gt;"",VLOOKUP(K569,'Catálogo SAP'!$A$1:$F$245,2,FALSE),"-")</f>
        <v>490</v>
      </c>
      <c r="F569" s="225">
        <v>3407</v>
      </c>
      <c r="G569" s="225">
        <v>3407</v>
      </c>
      <c r="H569" s="226"/>
      <c r="I569" s="230">
        <v>104</v>
      </c>
      <c r="J569" s="162" t="str">
        <f t="shared" si="221"/>
        <v>EDSON LOBÃO</v>
      </c>
      <c r="K569" s="16">
        <v>490</v>
      </c>
      <c r="L569" s="167" t="str">
        <f>IF(K569&lt;&gt;"",VLOOKUP(K569,'Catálogo SAP'!A:F,3,FALSE),"")</f>
        <v>S.VP-01466</v>
      </c>
      <c r="M569" s="162" t="str">
        <f>IF(K569&lt;&gt;"",VLOOKUP(K569,'Catálogo SAP'!A:F,4,FALSE),"")</f>
        <v>Hora Improdutiva Miniescavadeira Hidraulica C/ Operador</v>
      </c>
      <c r="N569" s="168" t="str">
        <f>IF(K569&lt;&gt;"",VLOOKUP(K569,'Catálogo SAP'!A:F,5,FALSE),"")</f>
        <v>H</v>
      </c>
      <c r="O569" s="160">
        <v>5</v>
      </c>
      <c r="P569" s="70">
        <f t="shared" si="216"/>
        <v>0</v>
      </c>
      <c r="Q569" s="163" t="e">
        <f t="shared" si="222"/>
        <v>#VALUE!</v>
      </c>
      <c r="R569" s="44" t="str">
        <f>IF(J569&lt;&gt;"",VLOOKUP(J569,'RESUMO DR'!$B$4:$E$253,4,FALSE),"-")</f>
        <v>T-01</v>
      </c>
      <c r="S569" s="58" t="str">
        <f>IF(J569&lt;&gt;"",VLOOKUP(J569,'RESUMO DR'!$B$4:$E$253,3,FALSE),"-")</f>
        <v>IMPERATRIZ</v>
      </c>
      <c r="T569" s="129"/>
      <c r="U569" s="129"/>
      <c r="V569" s="129"/>
      <c r="W569" s="128"/>
      <c r="X569" s="127"/>
      <c r="Y569" s="127"/>
      <c r="Z569" s="38">
        <v>15000</v>
      </c>
    </row>
    <row r="570" spans="1:28" ht="18" customHeight="1">
      <c r="A570" s="5">
        <v>1943</v>
      </c>
      <c r="B570" s="21">
        <v>45663</v>
      </c>
      <c r="C570" s="21" t="s">
        <v>315</v>
      </c>
      <c r="D570" s="74" t="str">
        <f t="shared" si="219"/>
        <v>seg</v>
      </c>
      <c r="E570" s="169">
        <f>IF(K570&lt;&gt;"",VLOOKUP(K570,'Catálogo SAP'!$A$1:$F$245,2,FALSE),"-")</f>
        <v>160</v>
      </c>
      <c r="F570" s="16">
        <v>1389</v>
      </c>
      <c r="G570" s="16">
        <v>1398</v>
      </c>
      <c r="H570" s="22"/>
      <c r="I570" s="133">
        <v>66</v>
      </c>
      <c r="J570" s="162" t="str">
        <f t="shared" si="221"/>
        <v>JOÃO LISBOA</v>
      </c>
      <c r="K570" s="16">
        <v>160</v>
      </c>
      <c r="L570" s="167" t="str">
        <f>IF(K570&lt;&gt;"",VLOOKUP(K570,'Catálogo SAP'!A:F,3,FALSE),"")</f>
        <v>S.VP-01441</v>
      </c>
      <c r="M570" s="162" t="str">
        <f>IF(K570&lt;&gt;"",VLOOKUP(K570,'Catálogo SAP'!A:F,4,FALSE),"")</f>
        <v>Hora Produtiva Pa Carregadeira C/Operador</v>
      </c>
      <c r="N570" s="168" t="str">
        <f>IF(K570&lt;&gt;"",VLOOKUP(K570,'Catálogo SAP'!A:F,5,FALSE),"")</f>
        <v>H</v>
      </c>
      <c r="O570" s="160">
        <v>9</v>
      </c>
      <c r="P570" s="70">
        <f t="shared" si="216"/>
        <v>9</v>
      </c>
      <c r="Q570" s="163" t="e">
        <f t="shared" si="222"/>
        <v>#VALUE!</v>
      </c>
      <c r="R570" s="44" t="str">
        <f>IF(J570&lt;&gt;"",VLOOKUP(J570,'RESUMO DR'!$B$4:$E$253,4,FALSE),"-")</f>
        <v>T-01</v>
      </c>
      <c r="S570" s="58" t="str">
        <f>IF(J570&lt;&gt;"",VLOOKUP(J570,'RESUMO DR'!$B$4:$E$253,3,FALSE),"-")</f>
        <v>IMPERATRIZ</v>
      </c>
      <c r="T570" s="129"/>
      <c r="U570" s="129"/>
      <c r="V570" s="129"/>
      <c r="W570" s="128"/>
      <c r="X570" s="127"/>
      <c r="Y570" s="127"/>
      <c r="Z570" s="4"/>
    </row>
    <row r="571" spans="1:28" ht="18" customHeight="1">
      <c r="A571" s="5">
        <v>1949</v>
      </c>
      <c r="B571" s="21">
        <v>45663</v>
      </c>
      <c r="C571" s="21" t="s">
        <v>306</v>
      </c>
      <c r="D571" s="74" t="str">
        <f t="shared" si="219"/>
        <v>seg</v>
      </c>
      <c r="E571" s="169">
        <f>IF(K571&lt;&gt;"",VLOOKUP(K571,'Catálogo SAP'!$A$1:$F$245,2,FALSE),"-")</f>
        <v>290</v>
      </c>
      <c r="F571" s="225">
        <v>137</v>
      </c>
      <c r="G571" s="225">
        <v>137</v>
      </c>
      <c r="H571" s="226"/>
      <c r="I571" s="230">
        <v>574</v>
      </c>
      <c r="J571" s="162" t="str">
        <f t="shared" si="221"/>
        <v>Tupirama</v>
      </c>
      <c r="K571" s="16">
        <v>290</v>
      </c>
      <c r="L571" s="167" t="str">
        <f>IF(K571&lt;&gt;"",VLOOKUP(K571,'Catálogo SAP'!A:F,3,FALSE),"")</f>
        <v>S.VP-01454</v>
      </c>
      <c r="M571" s="162" t="str">
        <f>IF(K571&lt;&gt;"",VLOOKUP(K571,'Catálogo SAP'!A:F,4,FALSE),"")</f>
        <v>Hora Improdutiva Motoniveladora C/Operador</v>
      </c>
      <c r="N571" s="168" t="str">
        <f>IF(K571&lt;&gt;"",VLOOKUP(K571,'Catálogo SAP'!A:F,5,FALSE),"")</f>
        <v>H</v>
      </c>
      <c r="O571" s="160">
        <v>9</v>
      </c>
      <c r="P571" s="70">
        <f t="shared" si="216"/>
        <v>0</v>
      </c>
      <c r="Q571" s="163" t="e">
        <f t="shared" si="222"/>
        <v>#VALUE!</v>
      </c>
      <c r="R571" s="44" t="str">
        <f>IF(J571&lt;&gt;"",VLOOKUP(J571,'RESUMO DR'!$B$4:$E$253,4,FALSE),"-")</f>
        <v>T-03</v>
      </c>
      <c r="S571" s="58" t="str">
        <f>IF(J571&lt;&gt;"",VLOOKUP(J571,'RESUMO DR'!$B$4:$E$253,3,FALSE),"-")</f>
        <v>PALMAS</v>
      </c>
      <c r="T571" s="129"/>
      <c r="U571" s="129"/>
      <c r="V571" s="129"/>
      <c r="W571" s="128"/>
      <c r="X571" s="127"/>
      <c r="Y571" s="127"/>
      <c r="Z571" s="4"/>
    </row>
    <row r="572" spans="1:28" ht="18" customHeight="1">
      <c r="A572" s="5">
        <v>1802</v>
      </c>
      <c r="B572" s="21">
        <v>45663</v>
      </c>
      <c r="C572" s="21" t="s">
        <v>312</v>
      </c>
      <c r="D572" s="74" t="str">
        <f t="shared" si="219"/>
        <v>seg</v>
      </c>
      <c r="E572" s="169">
        <f>IF(K572&lt;&gt;"",VLOOKUP(K572,'Catálogo SAP'!$A$1:$F$245,2,FALSE),"-")</f>
        <v>200</v>
      </c>
      <c r="F572" s="225">
        <v>73349</v>
      </c>
      <c r="G572" s="225">
        <v>73961</v>
      </c>
      <c r="H572" s="226"/>
      <c r="I572" s="230">
        <v>318</v>
      </c>
      <c r="J572" s="162" t="str">
        <f t="shared" si="221"/>
        <v>BABAÇULÂNDIA</v>
      </c>
      <c r="K572" s="16">
        <v>200</v>
      </c>
      <c r="L572" s="167" t="str">
        <f>IF(K572&lt;&gt;"",VLOOKUP(K572,'Catálogo SAP'!A:F,3,FALSE),"")</f>
        <v>S.VP-01445</v>
      </c>
      <c r="M572" s="162" t="str">
        <f>IF(K572&lt;&gt;"",VLOOKUP(K572,'Catálogo SAP'!A:F,4,FALSE),"")</f>
        <v>Km Rodado Caminhão Basculante - C/Motorista</v>
      </c>
      <c r="N572" s="168" t="str">
        <f>IF(K572&lt;&gt;"",VLOOKUP(K572,'Catálogo SAP'!A:F,5,FALSE),"")</f>
        <v>KM</v>
      </c>
      <c r="O572" s="160">
        <v>612</v>
      </c>
      <c r="P572" s="70">
        <f t="shared" si="216"/>
        <v>612</v>
      </c>
      <c r="Q572" s="163" t="e">
        <f t="shared" si="222"/>
        <v>#VALUE!</v>
      </c>
      <c r="R572" s="44" t="str">
        <f>IF(J572&lt;&gt;"",VLOOKUP(J572,'RESUMO DR'!$B$4:$E$253,4,FALSE),"-")</f>
        <v>T-02</v>
      </c>
      <c r="S572" s="58" t="str">
        <f>IF(J572&lt;&gt;"",VLOOKUP(J572,'RESUMO DR'!$B$4:$E$253,3,FALSE),"-")</f>
        <v>ARAGUAINA</v>
      </c>
      <c r="T572" s="129"/>
      <c r="U572" s="129"/>
      <c r="V572" s="129"/>
      <c r="W572" s="128"/>
      <c r="X572" s="127"/>
      <c r="Y572" s="127"/>
      <c r="Z572" s="4"/>
      <c r="AA572" s="170">
        <f>650*2</f>
        <v>1300</v>
      </c>
      <c r="AB572" s="1" t="s">
        <v>145</v>
      </c>
    </row>
    <row r="573" spans="1:28" ht="18" customHeight="1">
      <c r="A573" s="5">
        <v>1948</v>
      </c>
      <c r="B573" s="21">
        <v>45663</v>
      </c>
      <c r="C573" s="21" t="s">
        <v>310</v>
      </c>
      <c r="D573" s="74" t="str">
        <f t="shared" si="219"/>
        <v>seg</v>
      </c>
      <c r="E573" s="169">
        <f>IF(K573&lt;&gt;"",VLOOKUP(K573,'Catálogo SAP'!$A$1:$F$245,2,FALSE),"-")</f>
        <v>120</v>
      </c>
      <c r="F573" s="225">
        <v>150</v>
      </c>
      <c r="G573" s="225">
        <v>156</v>
      </c>
      <c r="H573" s="226"/>
      <c r="I573" s="230">
        <v>453</v>
      </c>
      <c r="J573" s="162" t="str">
        <f t="shared" si="221"/>
        <v>Palmeirante</v>
      </c>
      <c r="K573" s="16">
        <v>120</v>
      </c>
      <c r="L573" s="167" t="str">
        <f>IF(K573&lt;&gt;"",VLOOKUP(K573,'Catálogo SAP'!A:F,3,FALSE),"")</f>
        <v>S.VP-01437</v>
      </c>
      <c r="M573" s="162" t="str">
        <f>IF(K573&lt;&gt;"",VLOOKUP(K573,'Catálogo SAP'!A:F,4,FALSE),"")</f>
        <v>Hr Produtiva Retroescavadeira C/Operador</v>
      </c>
      <c r="N573" s="168" t="str">
        <f>IF(K573&lt;&gt;"",VLOOKUP(K573,'Catálogo SAP'!A:F,5,FALSE),"")</f>
        <v>H</v>
      </c>
      <c r="O573" s="160">
        <v>6</v>
      </c>
      <c r="P573" s="70">
        <f t="shared" si="216"/>
        <v>6</v>
      </c>
      <c r="Q573" s="163" t="e">
        <f t="shared" si="222"/>
        <v>#VALUE!</v>
      </c>
      <c r="R573" s="44" t="s">
        <v>192</v>
      </c>
      <c r="S573" s="58" t="s">
        <v>193</v>
      </c>
      <c r="T573" s="129"/>
      <c r="U573" s="129"/>
      <c r="V573" s="129"/>
      <c r="W573" s="128"/>
      <c r="X573" s="127"/>
      <c r="Y573" s="127"/>
      <c r="Z573" s="4"/>
      <c r="AA573" s="170">
        <v>3.48</v>
      </c>
      <c r="AB573" s="1" t="s">
        <v>146</v>
      </c>
    </row>
    <row r="574" spans="1:28" ht="18" customHeight="1">
      <c r="A574" s="5">
        <v>1948</v>
      </c>
      <c r="B574" s="21">
        <v>45663</v>
      </c>
      <c r="C574" s="21" t="s">
        <v>310</v>
      </c>
      <c r="D574" s="74" t="str">
        <f t="shared" si="219"/>
        <v>seg</v>
      </c>
      <c r="E574" s="169">
        <f>IF(K574&lt;&gt;"",VLOOKUP(K574,'Catálogo SAP'!$A$1:$F$245,2,FALSE),"-")</f>
        <v>130</v>
      </c>
      <c r="F574" s="225">
        <v>156</v>
      </c>
      <c r="G574" s="225">
        <v>156</v>
      </c>
      <c r="H574" s="226"/>
      <c r="I574" s="230">
        <v>453</v>
      </c>
      <c r="J574" s="162" t="str">
        <f t="shared" si="221"/>
        <v>Palmeirante</v>
      </c>
      <c r="K574" s="16">
        <v>130</v>
      </c>
      <c r="L574" s="167" t="str">
        <f>IF(K574&lt;&gt;"",VLOOKUP(K574,'Catálogo SAP'!A:F,3,FALSE),"")</f>
        <v>S.VP-01438</v>
      </c>
      <c r="M574" s="162" t="str">
        <f>IF(K574&lt;&gt;"",VLOOKUP(K574,'Catálogo SAP'!A:F,4,FALSE),"")</f>
        <v>Hr Improdutiva Retroescavadeira C/Operador</v>
      </c>
      <c r="N574" s="168" t="str">
        <f>IF(K574&lt;&gt;"",VLOOKUP(K574,'Catálogo SAP'!A:F,5,FALSE),"")</f>
        <v>H</v>
      </c>
      <c r="O574" s="160">
        <v>3</v>
      </c>
      <c r="P574" s="70">
        <f t="shared" si="216"/>
        <v>0</v>
      </c>
      <c r="Q574" s="163" t="e">
        <f t="shared" si="222"/>
        <v>#VALUE!</v>
      </c>
      <c r="R574" s="44" t="s">
        <v>192</v>
      </c>
      <c r="S574" s="58" t="s">
        <v>193</v>
      </c>
      <c r="T574" s="129"/>
      <c r="U574" s="129"/>
      <c r="V574" s="129"/>
      <c r="W574" s="128"/>
      <c r="X574" s="127"/>
      <c r="Y574" s="127"/>
      <c r="Z574" s="4"/>
      <c r="AA574" s="195">
        <f>AA572/AA573</f>
        <v>373.56321839080459</v>
      </c>
      <c r="AB574" s="1" t="s">
        <v>147</v>
      </c>
    </row>
    <row r="575" spans="1:28" ht="18" customHeight="1">
      <c r="A575" s="5"/>
      <c r="B575" s="21">
        <v>45663</v>
      </c>
      <c r="C575" s="21" t="s">
        <v>138</v>
      </c>
      <c r="D575" s="74" t="str">
        <f t="shared" si="219"/>
        <v>seg</v>
      </c>
      <c r="E575" s="169" t="str">
        <f>IF(K575&lt;&gt;"",VLOOKUP(K575,'Catálogo SAP'!$A$1:$F$245,2,FALSE),"-")</f>
        <v>-</v>
      </c>
      <c r="F575" s="225"/>
      <c r="G575" s="225"/>
      <c r="H575" s="226"/>
      <c r="I575" s="230"/>
      <c r="J575" s="162" t="str">
        <f t="shared" si="221"/>
        <v/>
      </c>
      <c r="K575" s="16"/>
      <c r="L575" s="167" t="str">
        <f>IF(K575&lt;&gt;"",VLOOKUP(K575,'Catálogo SAP'!A:F,3,FALSE),"")</f>
        <v/>
      </c>
      <c r="M575" s="162" t="str">
        <f>IF(K575&lt;&gt;"",VLOOKUP(K575,'Catálogo SAP'!A:F,4,FALSE),"")</f>
        <v/>
      </c>
      <c r="N575" s="168" t="str">
        <f>IF(K575&lt;&gt;"",VLOOKUP(K575,'Catálogo SAP'!A:F,5,FALSE),"")</f>
        <v/>
      </c>
      <c r="O575" s="160"/>
      <c r="P575" s="70" t="str">
        <f t="shared" si="216"/>
        <v>-</v>
      </c>
      <c r="Q575" s="163" t="str">
        <f t="shared" si="222"/>
        <v>-</v>
      </c>
      <c r="R575" s="44" t="str">
        <f>IF(J575&lt;&gt;"",VLOOKUP(J575,'RESUMO DR'!$B$4:$E$253,4,FALSE),"-")</f>
        <v>-</v>
      </c>
      <c r="S575" s="58" t="str">
        <f>IF(J575&lt;&gt;"",VLOOKUP(J575,'RESUMO DR'!$B$4:$E$253,3,FALSE),"-")</f>
        <v>-</v>
      </c>
      <c r="T575" s="129"/>
      <c r="U575" s="129"/>
      <c r="V575" s="129"/>
      <c r="W575" s="128"/>
      <c r="X575" s="127"/>
      <c r="Y575" s="127"/>
      <c r="Z575" s="4"/>
      <c r="AA575" s="170">
        <v>6.21</v>
      </c>
      <c r="AB575" s="1" t="s">
        <v>148</v>
      </c>
    </row>
    <row r="576" spans="1:28" ht="18" customHeight="1">
      <c r="A576" s="5"/>
      <c r="B576" s="21">
        <v>45663</v>
      </c>
      <c r="C576" s="21" t="s">
        <v>139</v>
      </c>
      <c r="D576" s="74" t="str">
        <f t="shared" si="219"/>
        <v>seg</v>
      </c>
      <c r="E576" s="169" t="str">
        <f>IF(K576&lt;&gt;"",VLOOKUP(K576,'Catálogo SAP'!$A$1:$F$245,2,FALSE),"-")</f>
        <v>-</v>
      </c>
      <c r="F576" s="225"/>
      <c r="G576" s="225"/>
      <c r="H576" s="226"/>
      <c r="I576" s="230"/>
      <c r="J576" s="162" t="str">
        <f t="shared" si="221"/>
        <v/>
      </c>
      <c r="K576" s="16"/>
      <c r="L576" s="167" t="str">
        <f>IF(K576&lt;&gt;"",VLOOKUP(K576,'Catálogo SAP'!A:F,3,FALSE),"")</f>
        <v/>
      </c>
      <c r="M576" s="162" t="str">
        <f>IF(K576&lt;&gt;"",VLOOKUP(K576,'Catálogo SAP'!A:F,4,FALSE),"")</f>
        <v/>
      </c>
      <c r="N576" s="168" t="str">
        <f>IF(K576&lt;&gt;"",VLOOKUP(K576,'Catálogo SAP'!A:F,5,FALSE),"")</f>
        <v/>
      </c>
      <c r="O576" s="160"/>
      <c r="P576" s="70" t="str">
        <f t="shared" si="216"/>
        <v>-</v>
      </c>
      <c r="Q576" s="163" t="str">
        <f t="shared" si="222"/>
        <v>-</v>
      </c>
      <c r="R576" s="44" t="str">
        <f>IF(J576&lt;&gt;"",VLOOKUP(J576,'RESUMO DR'!$B$4:$E$253,4,FALSE),"-")</f>
        <v>-</v>
      </c>
      <c r="S576" s="58" t="str">
        <f>IF(J576&lt;&gt;"",VLOOKUP(J576,'RESUMO DR'!$B$4:$E$253,3,FALSE),"-")</f>
        <v>-</v>
      </c>
      <c r="T576" s="129"/>
      <c r="U576" s="129"/>
      <c r="V576" s="129"/>
      <c r="W576" s="128"/>
      <c r="X576" s="127"/>
      <c r="Y576" s="127"/>
      <c r="Z576" s="4"/>
      <c r="AA576" s="196">
        <f>AA574*AA575</f>
        <v>2319.8275862068963</v>
      </c>
      <c r="AB576" s="1" t="s">
        <v>149</v>
      </c>
    </row>
    <row r="577" spans="1:26" ht="18" customHeight="1">
      <c r="A577" s="5"/>
      <c r="B577" s="222"/>
      <c r="C577" s="222"/>
      <c r="D577" s="223"/>
      <c r="E577" s="224"/>
      <c r="F577" s="225"/>
      <c r="G577" s="225"/>
      <c r="H577" s="226"/>
      <c r="I577" s="227"/>
      <c r="J577" s="162" t="str">
        <f t="shared" si="221"/>
        <v/>
      </c>
      <c r="K577" s="225"/>
      <c r="L577" s="167" t="str">
        <f>IF(K577&lt;&gt;"",VLOOKUP(K577,'Catálogo SAP'!A:F,3,FALSE),"")</f>
        <v/>
      </c>
      <c r="M577" s="162" t="str">
        <f>IF(K577&lt;&gt;"",VLOOKUP(K577,'Catálogo SAP'!A:F,4,FALSE),"")</f>
        <v/>
      </c>
      <c r="N577" s="168" t="str">
        <f>IF(K577&lt;&gt;"",VLOOKUP(K577,'Catálogo SAP'!A:F,5,FALSE),"")</f>
        <v/>
      </c>
      <c r="O577" s="231"/>
      <c r="P577" s="70" t="str">
        <f t="shared" si="216"/>
        <v>-</v>
      </c>
      <c r="Q577" s="163" t="str">
        <f t="shared" ref="Q577:Q580" si="223">IF(K577="","-",N577*O577)</f>
        <v>-</v>
      </c>
      <c r="R577" s="44" t="str">
        <f>IF(J577&lt;&gt;"",VLOOKUP(J577,'RESUMO DR'!$B$4:$E$253,4,FALSE),"-")</f>
        <v>-</v>
      </c>
      <c r="S577" s="58" t="str">
        <f>IF(J577&lt;&gt;"",VLOOKUP(J577,'RESUMO DR'!$B$4:$E$253,3,FALSE),"-")</f>
        <v>-</v>
      </c>
      <c r="T577" s="129"/>
      <c r="U577" s="129"/>
      <c r="V577" s="129"/>
      <c r="W577" s="128"/>
      <c r="X577" s="127"/>
      <c r="Y577" s="127"/>
      <c r="Z577" s="4"/>
    </row>
    <row r="578" spans="1:26" ht="18" customHeight="1">
      <c r="A578" s="5">
        <v>1570</v>
      </c>
      <c r="B578" s="21">
        <v>45664</v>
      </c>
      <c r="C578" s="21" t="s">
        <v>121</v>
      </c>
      <c r="D578" s="223" t="str">
        <f t="shared" si="219"/>
        <v>ter</v>
      </c>
      <c r="E578" s="224">
        <f>IF(K578&lt;&gt;"",VLOOKUP(K578,'Catálogo SAP'!$A$1:$F$245,2,FALSE),"-")</f>
        <v>120</v>
      </c>
      <c r="F578" s="225">
        <v>8730</v>
      </c>
      <c r="G578" s="225">
        <v>8734</v>
      </c>
      <c r="H578" s="226"/>
      <c r="I578" s="230">
        <v>300</v>
      </c>
      <c r="J578" s="162" t="str">
        <f t="shared" si="221"/>
        <v>SAO LUIS</v>
      </c>
      <c r="K578" s="16">
        <v>120</v>
      </c>
      <c r="L578" s="167" t="str">
        <f>IF(K578&lt;&gt;"",VLOOKUP(K578,'Catálogo SAP'!A:F,3,FALSE),"")</f>
        <v>S.VP-01437</v>
      </c>
      <c r="M578" s="162" t="str">
        <f>IF(K578&lt;&gt;"",VLOOKUP(K578,'Catálogo SAP'!A:F,4,FALSE),"")</f>
        <v>Hr Produtiva Retroescavadeira C/Operador</v>
      </c>
      <c r="N578" s="168" t="str">
        <f>IF(K578&lt;&gt;"",VLOOKUP(K578,'Catálogo SAP'!A:F,5,FALSE),"")</f>
        <v>H</v>
      </c>
      <c r="O578" s="231">
        <v>4</v>
      </c>
      <c r="P578" s="70">
        <f t="shared" si="216"/>
        <v>4</v>
      </c>
      <c r="Q578" s="163" t="e">
        <f t="shared" si="223"/>
        <v>#VALUE!</v>
      </c>
      <c r="R578" s="44" t="str">
        <f>IF(J578&lt;&gt;"",VLOOKUP(J578,'RESUMO DR'!$B$4:$E$253,4,FALSE),"-")</f>
        <v>T-02</v>
      </c>
      <c r="S578" s="58" t="str">
        <f>IF(J578&lt;&gt;"",VLOOKUP(J578,'RESUMO DR'!$B$4:$E$253,3,FALSE),"-")</f>
        <v>ARAGUAINA</v>
      </c>
      <c r="T578" s="129"/>
      <c r="U578" s="129"/>
      <c r="V578" s="129"/>
      <c r="W578" s="128"/>
      <c r="X578" s="127"/>
      <c r="Y578" s="127"/>
      <c r="Z578" s="4"/>
    </row>
    <row r="579" spans="1:26" ht="18" customHeight="1">
      <c r="A579" s="5">
        <v>1570</v>
      </c>
      <c r="B579" s="21">
        <v>45664</v>
      </c>
      <c r="C579" s="21" t="s">
        <v>121</v>
      </c>
      <c r="D579" s="223" t="str">
        <f t="shared" ref="D579" si="224">IF(B579="","-",TEXT(B579,"ddd"))</f>
        <v>ter</v>
      </c>
      <c r="E579" s="224">
        <f>IF(K579&lt;&gt;"",VLOOKUP(K579,'Catálogo SAP'!$A$1:$F$245,2,FALSE),"-")</f>
        <v>130</v>
      </c>
      <c r="F579" s="225">
        <v>8734</v>
      </c>
      <c r="G579" s="225">
        <v>8734</v>
      </c>
      <c r="H579" s="226"/>
      <c r="I579" s="230">
        <v>300</v>
      </c>
      <c r="J579" s="162" t="str">
        <f t="shared" si="221"/>
        <v>SAO LUIS</v>
      </c>
      <c r="K579" s="16">
        <v>130</v>
      </c>
      <c r="L579" s="167" t="str">
        <f>IF(K579&lt;&gt;"",VLOOKUP(K579,'Catálogo SAP'!A:F,3,FALSE),"")</f>
        <v>S.VP-01438</v>
      </c>
      <c r="M579" s="162" t="str">
        <f>IF(K579&lt;&gt;"",VLOOKUP(K579,'Catálogo SAP'!A:F,4,FALSE),"")</f>
        <v>Hr Improdutiva Retroescavadeira C/Operador</v>
      </c>
      <c r="N579" s="168" t="str">
        <f>IF(K579&lt;&gt;"",VLOOKUP(K579,'Catálogo SAP'!A:F,5,FALSE),"")</f>
        <v>H</v>
      </c>
      <c r="O579" s="231">
        <v>5</v>
      </c>
      <c r="P579" s="70">
        <f t="shared" si="216"/>
        <v>0</v>
      </c>
      <c r="Q579" s="163" t="e">
        <f t="shared" si="223"/>
        <v>#VALUE!</v>
      </c>
      <c r="R579" s="44" t="str">
        <f>IF(J579&lt;&gt;"",VLOOKUP(J579,'RESUMO DR'!$B$4:$E$253,4,FALSE),"-")</f>
        <v>T-02</v>
      </c>
      <c r="S579" s="58" t="str">
        <f>IF(J579&lt;&gt;"",VLOOKUP(J579,'RESUMO DR'!$B$4:$E$253,3,FALSE),"-")</f>
        <v>ARAGUAINA</v>
      </c>
      <c r="T579" s="129"/>
      <c r="U579" s="129"/>
      <c r="V579" s="129"/>
      <c r="W579" s="128"/>
      <c r="X579" s="127"/>
      <c r="Y579" s="127"/>
      <c r="Z579" s="4"/>
    </row>
    <row r="580" spans="1:26" ht="18" customHeight="1">
      <c r="A580" s="5">
        <v>1812</v>
      </c>
      <c r="B580" s="21">
        <v>45664</v>
      </c>
      <c r="C580" s="21" t="s">
        <v>122</v>
      </c>
      <c r="D580" s="74" t="str">
        <f t="shared" si="219"/>
        <v>ter</v>
      </c>
      <c r="E580" s="169">
        <f>IF(K580&lt;&gt;"",VLOOKUP(K580,'Catálogo SAP'!$A$1:$F$245,2,FALSE),"-")</f>
        <v>120</v>
      </c>
      <c r="F580" s="225">
        <v>3880</v>
      </c>
      <c r="G580" s="225">
        <v>3889</v>
      </c>
      <c r="H580" s="226"/>
      <c r="I580" s="230">
        <v>326</v>
      </c>
      <c r="J580" s="162" t="str">
        <f t="shared" si="221"/>
        <v>BABAÇULÂNDIA</v>
      </c>
      <c r="K580" s="16">
        <v>120</v>
      </c>
      <c r="L580" s="167" t="str">
        <f>IF(K580&lt;&gt;"",VLOOKUP(K580,'Catálogo SAP'!A:F,3,FALSE),"")</f>
        <v>S.VP-01437</v>
      </c>
      <c r="M580" s="162" t="str">
        <f>IF(K580&lt;&gt;"",VLOOKUP(K580,'Catálogo SAP'!A:F,4,FALSE),"")</f>
        <v>Hr Produtiva Retroescavadeira C/Operador</v>
      </c>
      <c r="N580" s="168" t="str">
        <f>IF(K580&lt;&gt;"",VLOOKUP(K580,'Catálogo SAP'!A:F,5,FALSE),"")</f>
        <v>H</v>
      </c>
      <c r="O580" s="160">
        <v>9</v>
      </c>
      <c r="P580" s="70">
        <f t="shared" si="216"/>
        <v>9</v>
      </c>
      <c r="Q580" s="163" t="e">
        <f t="shared" si="223"/>
        <v>#VALUE!</v>
      </c>
      <c r="R580" s="44" t="str">
        <f>IF(J580&lt;&gt;"",VLOOKUP(J580,'RESUMO DR'!$B$4:$E$253,4,FALSE),"-")</f>
        <v>T-02</v>
      </c>
      <c r="S580" s="58" t="str">
        <f>IF(J580&lt;&gt;"",VLOOKUP(J580,'RESUMO DR'!$B$4:$E$253,3,FALSE),"-")</f>
        <v>ARAGUAINA</v>
      </c>
      <c r="T580" s="129"/>
      <c r="U580" s="129"/>
      <c r="V580" s="129"/>
      <c r="W580" s="128"/>
      <c r="X580" s="127"/>
      <c r="Y580" s="127"/>
      <c r="Z580" s="4"/>
    </row>
    <row r="581" spans="1:26" ht="18" customHeight="1">
      <c r="A581" s="5">
        <v>1815</v>
      </c>
      <c r="B581" s="21">
        <v>45664</v>
      </c>
      <c r="C581" s="21" t="s">
        <v>123</v>
      </c>
      <c r="D581" s="74" t="str">
        <f t="shared" si="219"/>
        <v>ter</v>
      </c>
      <c r="E581" s="169">
        <f>IF(K581&lt;&gt;"",VLOOKUP(K581,'Catálogo SAP'!$A$1:$F$245,2,FALSE),"-")</f>
        <v>130</v>
      </c>
      <c r="F581" s="225">
        <v>5890</v>
      </c>
      <c r="G581" s="225">
        <v>5890</v>
      </c>
      <c r="H581" s="226"/>
      <c r="I581" s="230">
        <v>438</v>
      </c>
      <c r="J581" s="162" t="str">
        <f t="shared" si="221"/>
        <v>Palmeirante</v>
      </c>
      <c r="K581" s="16">
        <v>130</v>
      </c>
      <c r="L581" s="167" t="str">
        <f>IF(K581&lt;&gt;"",VLOOKUP(K581,'Catálogo SAP'!A:F,3,FALSE),"")</f>
        <v>S.VP-01438</v>
      </c>
      <c r="M581" s="162" t="str">
        <f>IF(K581&lt;&gt;"",VLOOKUP(K581,'Catálogo SAP'!A:F,4,FALSE),"")</f>
        <v>Hr Improdutiva Retroescavadeira C/Operador</v>
      </c>
      <c r="N581" s="168" t="str">
        <f>IF(K581&lt;&gt;"",VLOOKUP(K581,'Catálogo SAP'!A:F,5,FALSE),"")</f>
        <v>H</v>
      </c>
      <c r="O581" s="160">
        <v>9</v>
      </c>
      <c r="P581" s="70">
        <f t="shared" si="216"/>
        <v>0</v>
      </c>
      <c r="Q581" s="163" t="e">
        <f t="shared" si="222"/>
        <v>#VALUE!</v>
      </c>
      <c r="R581" s="44" t="s">
        <v>192</v>
      </c>
      <c r="S581" s="58" t="s">
        <v>193</v>
      </c>
      <c r="T581" s="129"/>
      <c r="U581" s="129"/>
      <c r="V581" s="129"/>
      <c r="W581" s="128"/>
      <c r="X581" s="127"/>
      <c r="Y581" s="127"/>
      <c r="Z581" s="4"/>
    </row>
    <row r="582" spans="1:26" ht="18" customHeight="1">
      <c r="A582" s="5">
        <v>1814</v>
      </c>
      <c r="B582" s="21">
        <v>45664</v>
      </c>
      <c r="C582" s="21" t="s">
        <v>124</v>
      </c>
      <c r="D582" s="74" t="str">
        <f t="shared" si="219"/>
        <v>ter</v>
      </c>
      <c r="E582" s="169">
        <f>IF(K582&lt;&gt;"",VLOOKUP(K582,'Catálogo SAP'!$A$1:$F$245,2,FALSE),"-")</f>
        <v>400</v>
      </c>
      <c r="F582" s="16">
        <v>419174</v>
      </c>
      <c r="G582" s="16">
        <v>419667</v>
      </c>
      <c r="H582" s="22"/>
      <c r="I582" s="133">
        <v>442</v>
      </c>
      <c r="J582" s="162" t="str">
        <f t="shared" si="221"/>
        <v>Palmeirante</v>
      </c>
      <c r="K582" s="16">
        <v>400</v>
      </c>
      <c r="L582" s="167" t="str">
        <f>IF(K582&lt;&gt;"",VLOOKUP(K582,'Catálogo SAP'!A:F,3,FALSE),"")</f>
        <v>S.VP-01461</v>
      </c>
      <c r="M582" s="162" t="str">
        <f>IF(K582&lt;&gt;"",VLOOKUP(K582,'Catálogo SAP'!A:F,4,FALSE),"")</f>
        <v>Km Rodado Carreta Prancha - C/ Motorista</v>
      </c>
      <c r="N582" s="168" t="str">
        <f>IF(K582&lt;&gt;"",VLOOKUP(K582,'Catálogo SAP'!A:F,5,FALSE),"")</f>
        <v>KM</v>
      </c>
      <c r="O582" s="160">
        <v>493</v>
      </c>
      <c r="P582" s="70">
        <f t="shared" ref="P582:P645" si="225">IF(G582="","-",G582-F582)</f>
        <v>493</v>
      </c>
      <c r="Q582" s="163" t="e">
        <f t="shared" si="222"/>
        <v>#VALUE!</v>
      </c>
      <c r="R582" s="44" t="s">
        <v>192</v>
      </c>
      <c r="S582" s="58" t="s">
        <v>193</v>
      </c>
      <c r="T582" s="129"/>
      <c r="U582" s="129"/>
      <c r="V582" s="129"/>
      <c r="W582" s="128"/>
      <c r="X582" s="127"/>
      <c r="Y582" s="127"/>
      <c r="Z582" s="4"/>
    </row>
    <row r="583" spans="1:26" ht="18" customHeight="1">
      <c r="A583" s="5"/>
      <c r="B583" s="21">
        <v>45664</v>
      </c>
      <c r="C583" s="21" t="s">
        <v>124</v>
      </c>
      <c r="D583" s="74" t="str">
        <f t="shared" si="219"/>
        <v>ter</v>
      </c>
      <c r="E583" s="169" t="str">
        <f>IF(K583&lt;&gt;"",VLOOKUP(K583,'Catálogo SAP'!$A$1:$F$245,2,FALSE),"-")</f>
        <v>-</v>
      </c>
      <c r="F583" s="16"/>
      <c r="G583" s="16"/>
      <c r="H583" s="22"/>
      <c r="I583" s="133"/>
      <c r="J583" s="162" t="str">
        <f t="shared" si="221"/>
        <v/>
      </c>
      <c r="K583" s="16"/>
      <c r="L583" s="167" t="str">
        <f>IF(K583&lt;&gt;"",VLOOKUP(K583,'Catálogo SAP'!A:F,3,FALSE),"")</f>
        <v/>
      </c>
      <c r="M583" s="162" t="str">
        <f>IF(K583&lt;&gt;"",VLOOKUP(K583,'Catálogo SAP'!A:F,4,FALSE),"")</f>
        <v/>
      </c>
      <c r="N583" s="168" t="str">
        <f>IF(K583&lt;&gt;"",VLOOKUP(K583,'Catálogo SAP'!A:F,5,FALSE),"")</f>
        <v/>
      </c>
      <c r="O583" s="160"/>
      <c r="P583" s="70" t="str">
        <f t="shared" si="225"/>
        <v>-</v>
      </c>
      <c r="Q583" s="163" t="str">
        <f t="shared" si="222"/>
        <v>-</v>
      </c>
      <c r="R583" s="44" t="str">
        <f>IF(J583&lt;&gt;"",VLOOKUP(J583,'RESUMO DR'!$B$4:$E$253,4,FALSE),"-")</f>
        <v>-</v>
      </c>
      <c r="S583" s="58" t="str">
        <f>IF(J583&lt;&gt;"",VLOOKUP(J583,'RESUMO DR'!$B$4:$E$253,3,FALSE),"-")</f>
        <v>-</v>
      </c>
      <c r="T583" s="129"/>
      <c r="U583" s="129"/>
      <c r="V583" s="129"/>
      <c r="W583" s="128"/>
      <c r="X583" s="127"/>
      <c r="Y583" s="127"/>
      <c r="Z583" s="4"/>
    </row>
    <row r="584" spans="1:26" ht="18" customHeight="1">
      <c r="A584" s="5">
        <v>1807</v>
      </c>
      <c r="B584" s="21">
        <v>45664</v>
      </c>
      <c r="C584" s="21" t="s">
        <v>307</v>
      </c>
      <c r="D584" s="74" t="str">
        <f t="shared" si="219"/>
        <v>ter</v>
      </c>
      <c r="E584" s="169">
        <f>IF(K584&lt;&gt;"",VLOOKUP(K584,'Catálogo SAP'!$A$1:$F$245,2,FALSE),"-")</f>
        <v>200</v>
      </c>
      <c r="F584" s="225">
        <v>66753</v>
      </c>
      <c r="G584" s="225">
        <v>67066</v>
      </c>
      <c r="H584" s="226"/>
      <c r="I584" s="230">
        <v>54</v>
      </c>
      <c r="J584" s="162" t="str">
        <f t="shared" si="221"/>
        <v>JOÃO LISBOA</v>
      </c>
      <c r="K584" s="16">
        <v>200</v>
      </c>
      <c r="L584" s="167" t="str">
        <f>IF(K584&lt;&gt;"",VLOOKUP(K584,'Catálogo SAP'!A:F,3,FALSE),"")</f>
        <v>S.VP-01445</v>
      </c>
      <c r="M584" s="162" t="str">
        <f>IF(K584&lt;&gt;"",VLOOKUP(K584,'Catálogo SAP'!A:F,4,FALSE),"")</f>
        <v>Km Rodado Caminhão Basculante - C/Motorista</v>
      </c>
      <c r="N584" s="168" t="str">
        <f>IF(K584&lt;&gt;"",VLOOKUP(K584,'Catálogo SAP'!A:F,5,FALSE),"")</f>
        <v>KM</v>
      </c>
      <c r="O584" s="160">
        <v>313</v>
      </c>
      <c r="P584" s="70">
        <f t="shared" si="225"/>
        <v>313</v>
      </c>
      <c r="Q584" s="163" t="e">
        <f t="shared" si="222"/>
        <v>#VALUE!</v>
      </c>
      <c r="R584" s="44" t="str">
        <f>IF(J584&lt;&gt;"",VLOOKUP(J584,'RESUMO DR'!$B$4:$E$253,4,FALSE),"-")</f>
        <v>T-01</v>
      </c>
      <c r="S584" s="58" t="str">
        <f>IF(J584&lt;&gt;"",VLOOKUP(J584,'RESUMO DR'!$B$4:$E$253,3,FALSE),"-")</f>
        <v>IMPERATRIZ</v>
      </c>
      <c r="T584" s="129"/>
      <c r="U584" s="129"/>
      <c r="V584" s="129"/>
      <c r="W584" s="128"/>
      <c r="X584" s="127"/>
      <c r="Y584" s="127"/>
      <c r="Z584" s="4"/>
    </row>
    <row r="585" spans="1:26" ht="18" customHeight="1">
      <c r="A585" s="5">
        <v>1807</v>
      </c>
      <c r="B585" s="21">
        <v>45664</v>
      </c>
      <c r="C585" s="21" t="s">
        <v>308</v>
      </c>
      <c r="D585" s="74" t="str">
        <f t="shared" si="219"/>
        <v>ter</v>
      </c>
      <c r="E585" s="169">
        <f>IF(K585&lt;&gt;"",VLOOKUP(K585,'Catálogo SAP'!$A$1:$F$245,2,FALSE),"-")</f>
        <v>200</v>
      </c>
      <c r="F585" s="225">
        <v>66464</v>
      </c>
      <c r="G585" s="225">
        <v>66756</v>
      </c>
      <c r="H585" s="226"/>
      <c r="I585" s="230">
        <v>54</v>
      </c>
      <c r="J585" s="162" t="str">
        <f t="shared" ref="J585:J683" si="226">IF(AND(I585&gt;=0.001,I585&lt;=16),"AÇAILÂNDIA","")&amp;IF(AND(I585&gt;=16.001,I585&lt;=44),"S.F. BREJÃO","")&amp;IF(AND(I585&gt;=44.001,I585&lt;=78),"JOÃO LISBOA","")&amp;IF(AND(I585&gt;=78.001,I585&lt;=96.397),"IMPERATRIZ","")&amp;IF(AND(I585&gt;=96.398,I585&lt;=122.82),"EDSON LOBÃO","")&amp;IF(AND(I585&gt;=122.821,I585&lt;=152.303),"RIBAMAR FIQUENE","")&amp;IF(AND(I585&gt;=152.304,I585&lt;=172.403),"CAMPESTRE","")&amp;IF(AND(I585&gt;=172.404,I585&lt;=195),"PORTO FRANCO","")&amp;IF(AND(I585&gt;=300,I585&lt;=300),"SAO LUIS","")&amp;IF(AND(I585&gt;=385.4,I585&lt;=465.4),"Palmeirante","")&amp;IF(AND(I585&gt;=465.401,I585&lt;=520.455),"Tupiratins","")&amp;IF(AND(I585&gt;=520.456,I585&lt;=536.741),"Guaraí","")&amp;IF(AND(I585&gt;=536.742,I585&lt;=580.293),"Tupirama","")&amp;IF(AND(I585&gt;=580.294,I585&lt;=608.637),"Rio dos Bois","")&amp;IF(AND(I585&gt;=608.638,I585&lt;=698.981),"Miracema","")&amp;IF(AND(I585&gt;=698.982,I585&lt;=735.6),"Porto Nacional","")&amp;IF(AND(I585&gt;=195.1,I585&lt;=213.603),"ESTREITO","")&amp;IF(AND(I585&gt;=213.604,I585&lt;=218.976),"AGUIARNÓPOLIS","")&amp;IF(AND(I585&gt;=218.977,I585&lt;=253.5),"PALMEIRAS DO TOCANTINS","")&amp;IF(AND(I585&gt;=253.501,I585&lt;=274.15),"DARCINÓPOLIS","")&amp;IF(AND(I585&gt;=274.151,I585&lt;=299.999),"BABAÇULÂNDIA","")&amp;IF(AND(I585&gt;=356.62,I585&lt;=385.4),"ARAGUAÍNA","")&amp;IF(AND(I585&gt;=300.001,I585&lt;=356.619),"BABAÇULÂNDIA","")&amp;IF(AND(I585&gt;=900,I585&lt;=902),"ENG. VLI","")</f>
        <v>JOÃO LISBOA</v>
      </c>
      <c r="K585" s="16">
        <v>200</v>
      </c>
      <c r="L585" s="167" t="str">
        <f>IF(K585&lt;&gt;"",VLOOKUP(K585,'Catálogo SAP'!A:F,3,FALSE),"")</f>
        <v>S.VP-01445</v>
      </c>
      <c r="M585" s="162" t="str">
        <f>IF(K585&lt;&gt;"",VLOOKUP(K585,'Catálogo SAP'!A:F,4,FALSE),"")</f>
        <v>Km Rodado Caminhão Basculante - C/Motorista</v>
      </c>
      <c r="N585" s="168" t="str">
        <f>IF(K585&lt;&gt;"",VLOOKUP(K585,'Catálogo SAP'!A:F,5,FALSE),"")</f>
        <v>KM</v>
      </c>
      <c r="O585" s="160">
        <v>292</v>
      </c>
      <c r="P585" s="70">
        <f t="shared" si="225"/>
        <v>292</v>
      </c>
      <c r="Q585" s="163" t="e">
        <f t="shared" si="222"/>
        <v>#VALUE!</v>
      </c>
      <c r="R585" s="44" t="str">
        <f>IF(J585&lt;&gt;"",VLOOKUP(J585,'RESUMO DR'!$B$4:$E$253,4,FALSE),"-")</f>
        <v>T-01</v>
      </c>
      <c r="S585" s="58" t="str">
        <f>IF(J585&lt;&gt;"",VLOOKUP(J585,'RESUMO DR'!$B$4:$E$253,3,FALSE),"-")</f>
        <v>IMPERATRIZ</v>
      </c>
      <c r="T585" s="129"/>
      <c r="U585" s="129"/>
      <c r="V585" s="129"/>
      <c r="W585" s="128"/>
      <c r="X585" s="127"/>
      <c r="Y585" s="127"/>
      <c r="Z585" s="4"/>
    </row>
    <row r="586" spans="1:26" ht="18" customHeight="1">
      <c r="A586" s="5">
        <v>1810</v>
      </c>
      <c r="B586" s="21">
        <v>45664</v>
      </c>
      <c r="C586" s="21" t="s">
        <v>127</v>
      </c>
      <c r="D586" s="74" t="str">
        <f t="shared" si="219"/>
        <v>ter</v>
      </c>
      <c r="E586" s="169">
        <f>IF(K586&lt;&gt;"",VLOOKUP(K586,'Catálogo SAP'!$A$1:$F$245,2,FALSE),"-")</f>
        <v>200</v>
      </c>
      <c r="F586" s="225">
        <v>50000</v>
      </c>
      <c r="G586" s="225">
        <v>50090</v>
      </c>
      <c r="H586" s="226"/>
      <c r="I586" s="230">
        <v>442</v>
      </c>
      <c r="J586" s="162" t="str">
        <f t="shared" si="221"/>
        <v>Palmeirante</v>
      </c>
      <c r="K586" s="16">
        <v>200</v>
      </c>
      <c r="L586" s="167" t="str">
        <f>IF(K586&lt;&gt;"",VLOOKUP(K586,'Catálogo SAP'!A:F,3,FALSE),"")</f>
        <v>S.VP-01445</v>
      </c>
      <c r="M586" s="162" t="str">
        <f>IF(K586&lt;&gt;"",VLOOKUP(K586,'Catálogo SAP'!A:F,4,FALSE),"")</f>
        <v>Km Rodado Caminhão Basculante - C/Motorista</v>
      </c>
      <c r="N586" s="168" t="str">
        <f>IF(K586&lt;&gt;"",VLOOKUP(K586,'Catálogo SAP'!A:F,5,FALSE),"")</f>
        <v>KM</v>
      </c>
      <c r="O586" s="160">
        <v>90</v>
      </c>
      <c r="P586" s="70">
        <f t="shared" si="225"/>
        <v>90</v>
      </c>
      <c r="Q586" s="163" t="e">
        <f t="shared" si="222"/>
        <v>#VALUE!</v>
      </c>
      <c r="R586" s="44" t="str">
        <f>IF(J586&lt;&gt;"",VLOOKUP(J586,'RESUMO DR'!$B$4:$E$253,4,FALSE),"-")</f>
        <v>T-02</v>
      </c>
      <c r="S586" s="58" t="str">
        <f>IF(J586&lt;&gt;"",VLOOKUP(J586,'RESUMO DR'!$B$4:$E$253,3,FALSE),"-")</f>
        <v>ARAGUAINA</v>
      </c>
      <c r="T586" s="129"/>
      <c r="U586" s="129"/>
      <c r="V586" s="129"/>
      <c r="W586" s="128"/>
      <c r="X586" s="127"/>
      <c r="Y586" s="127"/>
      <c r="Z586" s="4"/>
    </row>
    <row r="587" spans="1:26" ht="18" customHeight="1">
      <c r="A587" s="5">
        <v>1809</v>
      </c>
      <c r="B587" s="21">
        <v>45664</v>
      </c>
      <c r="C587" s="21" t="s">
        <v>313</v>
      </c>
      <c r="D587" s="74" t="str">
        <f t="shared" si="219"/>
        <v>ter</v>
      </c>
      <c r="E587" s="169">
        <f>IF(K587&lt;&gt;"",VLOOKUP(K587,'Catálogo SAP'!$A$1:$F$245,2,FALSE),"-")</f>
        <v>200</v>
      </c>
      <c r="F587" s="225">
        <v>62299</v>
      </c>
      <c r="G587" s="225">
        <v>62398</v>
      </c>
      <c r="H587" s="226"/>
      <c r="I587" s="230">
        <v>91</v>
      </c>
      <c r="J587" s="162" t="str">
        <f t="shared" si="226"/>
        <v>IMPERATRIZ</v>
      </c>
      <c r="K587" s="16">
        <v>200</v>
      </c>
      <c r="L587" s="167" t="str">
        <f>IF(K587&lt;&gt;"",VLOOKUP(K587,'Catálogo SAP'!A:F,3,FALSE),"")</f>
        <v>S.VP-01445</v>
      </c>
      <c r="M587" s="162" t="str">
        <f>IF(K587&lt;&gt;"",VLOOKUP(K587,'Catálogo SAP'!A:F,4,FALSE),"")</f>
        <v>Km Rodado Caminhão Basculante - C/Motorista</v>
      </c>
      <c r="N587" s="168" t="str">
        <f>IF(K587&lt;&gt;"",VLOOKUP(K587,'Catálogo SAP'!A:F,5,FALSE),"")</f>
        <v>KM</v>
      </c>
      <c r="O587" s="160">
        <v>99</v>
      </c>
      <c r="P587" s="70">
        <f t="shared" si="225"/>
        <v>99</v>
      </c>
      <c r="Q587" s="163" t="e">
        <f t="shared" si="222"/>
        <v>#VALUE!</v>
      </c>
      <c r="R587" s="44" t="str">
        <f>IF(J587&lt;&gt;"",VLOOKUP(J587,'RESUMO DR'!$B$4:$E$253,4,FALSE),"-")</f>
        <v>T-01</v>
      </c>
      <c r="S587" s="58" t="str">
        <f>IF(J587&lt;&gt;"",VLOOKUP(J587,'RESUMO DR'!$B$4:$E$253,3,FALSE),"-")</f>
        <v>IMPERATRIZ</v>
      </c>
      <c r="T587" s="129"/>
      <c r="U587" s="129"/>
      <c r="V587" s="129"/>
      <c r="W587" s="128"/>
      <c r="X587" s="127"/>
      <c r="Y587" s="127"/>
      <c r="Z587" s="4"/>
    </row>
    <row r="588" spans="1:26" ht="13.8">
      <c r="A588" s="5">
        <v>1807</v>
      </c>
      <c r="B588" s="21">
        <v>45664</v>
      </c>
      <c r="C588" s="21" t="s">
        <v>314</v>
      </c>
      <c r="D588" s="74" t="str">
        <f t="shared" si="219"/>
        <v>ter</v>
      </c>
      <c r="E588" s="169">
        <f>IF(K588&lt;&gt;"",VLOOKUP(K588,'Catálogo SAP'!$A$1:$F$245,2,FALSE),"-")</f>
        <v>200</v>
      </c>
      <c r="F588" s="225">
        <v>66199</v>
      </c>
      <c r="G588" s="225">
        <v>66518</v>
      </c>
      <c r="H588" s="226"/>
      <c r="I588" s="230">
        <v>54</v>
      </c>
      <c r="J588" s="162" t="str">
        <f t="shared" si="226"/>
        <v>JOÃO LISBOA</v>
      </c>
      <c r="K588" s="16">
        <v>200</v>
      </c>
      <c r="L588" s="167" t="str">
        <f>IF(K588&lt;&gt;"",VLOOKUP(K588,'Catálogo SAP'!A:F,3,FALSE),"")</f>
        <v>S.VP-01445</v>
      </c>
      <c r="M588" s="162" t="str">
        <f>IF(K588&lt;&gt;"",VLOOKUP(K588,'Catálogo SAP'!A:F,4,FALSE),"")</f>
        <v>Km Rodado Caminhão Basculante - C/Motorista</v>
      </c>
      <c r="N588" s="168" t="str">
        <f>IF(K588&lt;&gt;"",VLOOKUP(K588,'Catálogo SAP'!A:F,5,FALSE),"")</f>
        <v>KM</v>
      </c>
      <c r="O588" s="160">
        <v>319</v>
      </c>
      <c r="P588" s="70">
        <f t="shared" si="225"/>
        <v>319</v>
      </c>
      <c r="Q588" s="163" t="e">
        <f t="shared" si="222"/>
        <v>#VALUE!</v>
      </c>
      <c r="R588" s="44" t="str">
        <f>IF(J588&lt;&gt;"",VLOOKUP(J588,'RESUMO DR'!$B$4:$E$253,4,FALSE),"-")</f>
        <v>T-01</v>
      </c>
      <c r="S588" s="58" t="str">
        <f>IF(J588&lt;&gt;"",VLOOKUP(J588,'RESUMO DR'!$B$4:$E$253,3,FALSE),"-")</f>
        <v>IMPERATRIZ</v>
      </c>
      <c r="T588" s="129"/>
      <c r="U588" s="129"/>
      <c r="V588" s="129"/>
      <c r="W588" s="128"/>
      <c r="X588" s="127"/>
      <c r="Y588" s="127"/>
      <c r="Z588" s="4"/>
    </row>
    <row r="589" spans="1:26" ht="18" customHeight="1">
      <c r="A589" s="5">
        <v>1815</v>
      </c>
      <c r="B589" s="21">
        <v>45664</v>
      </c>
      <c r="C589" s="21" t="s">
        <v>129</v>
      </c>
      <c r="D589" s="74" t="str">
        <f t="shared" si="219"/>
        <v>ter</v>
      </c>
      <c r="E589" s="169">
        <f>IF(K589&lt;&gt;"",VLOOKUP(K589,'Catálogo SAP'!$A$1:$F$245,2,FALSE),"-")</f>
        <v>200</v>
      </c>
      <c r="F589" s="225">
        <v>81137</v>
      </c>
      <c r="G589" s="225">
        <v>81242</v>
      </c>
      <c r="H589" s="226"/>
      <c r="I589" s="230">
        <v>438</v>
      </c>
      <c r="J589" s="162" t="str">
        <f t="shared" si="226"/>
        <v>Palmeirante</v>
      </c>
      <c r="K589" s="16">
        <v>200</v>
      </c>
      <c r="L589" s="167" t="str">
        <f>IF(K589&lt;&gt;"",VLOOKUP(K589,'Catálogo SAP'!A:F,3,FALSE),"")</f>
        <v>S.VP-01445</v>
      </c>
      <c r="M589" s="162" t="str">
        <f>IF(K589&lt;&gt;"",VLOOKUP(K589,'Catálogo SAP'!A:F,4,FALSE),"")</f>
        <v>Km Rodado Caminhão Basculante - C/Motorista</v>
      </c>
      <c r="N589" s="168" t="str">
        <f>IF(K589&lt;&gt;"",VLOOKUP(K589,'Catálogo SAP'!A:F,5,FALSE),"")</f>
        <v>KM</v>
      </c>
      <c r="O589" s="160">
        <v>105</v>
      </c>
      <c r="P589" s="70">
        <f t="shared" si="225"/>
        <v>105</v>
      </c>
      <c r="Q589" s="163" t="e">
        <f t="shared" ref="Q589:Q632" si="227">IF(K589="","-",N589*O589)</f>
        <v>#VALUE!</v>
      </c>
      <c r="R589" s="44" t="s">
        <v>192</v>
      </c>
      <c r="S589" s="58" t="s">
        <v>193</v>
      </c>
      <c r="T589" s="129"/>
      <c r="U589" s="129"/>
      <c r="V589" s="129"/>
      <c r="W589" s="128"/>
      <c r="X589" s="127"/>
      <c r="Y589" s="127"/>
      <c r="Z589" s="4"/>
    </row>
    <row r="590" spans="1:26" ht="13.8">
      <c r="A590" s="5">
        <v>1809</v>
      </c>
      <c r="B590" s="21">
        <v>45664</v>
      </c>
      <c r="C590" s="21" t="s">
        <v>298</v>
      </c>
      <c r="D590" s="74" t="str">
        <f t="shared" si="219"/>
        <v>ter</v>
      </c>
      <c r="E590" s="169">
        <f>IF(K590&lt;&gt;"",VLOOKUP(K590,'Catálogo SAP'!$A$1:$F$245,2,FALSE),"-")</f>
        <v>160</v>
      </c>
      <c r="F590" s="225">
        <v>558</v>
      </c>
      <c r="G590" s="225">
        <v>564</v>
      </c>
      <c r="H590" s="226"/>
      <c r="I590" s="230">
        <v>91</v>
      </c>
      <c r="J590" s="162" t="str">
        <f t="shared" si="226"/>
        <v>IMPERATRIZ</v>
      </c>
      <c r="K590" s="16">
        <v>160</v>
      </c>
      <c r="L590" s="167" t="str">
        <f>IF(K590&lt;&gt;"",VLOOKUP(K590,'Catálogo SAP'!A:F,3,FALSE),"")</f>
        <v>S.VP-01441</v>
      </c>
      <c r="M590" s="162" t="str">
        <f>IF(K590&lt;&gt;"",VLOOKUP(K590,'Catálogo SAP'!A:F,4,FALSE),"")</f>
        <v>Hora Produtiva Pa Carregadeira C/Operador</v>
      </c>
      <c r="N590" s="168" t="str">
        <f>IF(K590&lt;&gt;"",VLOOKUP(K590,'Catálogo SAP'!A:F,5,FALSE),"")</f>
        <v>H</v>
      </c>
      <c r="O590" s="160">
        <v>6</v>
      </c>
      <c r="P590" s="70">
        <f t="shared" si="225"/>
        <v>6</v>
      </c>
      <c r="Q590" s="163" t="e">
        <f t="shared" si="227"/>
        <v>#VALUE!</v>
      </c>
      <c r="R590" s="44" t="str">
        <f>IF(J590&lt;&gt;"",VLOOKUP(J590,'RESUMO DR'!$B$4:$E$253,4,FALSE),"-")</f>
        <v>T-01</v>
      </c>
      <c r="S590" s="58" t="str">
        <f>IF(J590&lt;&gt;"",VLOOKUP(J590,'RESUMO DR'!$B$4:$E$253,3,FALSE),"-")</f>
        <v>IMPERATRIZ</v>
      </c>
      <c r="T590" s="129"/>
      <c r="U590" s="129"/>
      <c r="V590" s="129"/>
      <c r="W590" s="128"/>
      <c r="X590" s="127"/>
      <c r="Y590" s="127"/>
      <c r="Z590" s="4"/>
    </row>
    <row r="591" spans="1:26" ht="13.8">
      <c r="A591" s="5">
        <v>1809</v>
      </c>
      <c r="B591" s="21">
        <v>45664</v>
      </c>
      <c r="C591" s="21" t="s">
        <v>298</v>
      </c>
      <c r="D591" s="74" t="str">
        <f t="shared" ref="D591" si="228">IF(B591="","-",TEXT(B591,"ddd"))</f>
        <v>ter</v>
      </c>
      <c r="E591" s="169">
        <f>IF(K591&lt;&gt;"",VLOOKUP(K591,'Catálogo SAP'!$A$1:$F$245,2,FALSE),"-")</f>
        <v>170</v>
      </c>
      <c r="F591" s="225">
        <v>564</v>
      </c>
      <c r="G591" s="225">
        <v>564</v>
      </c>
      <c r="H591" s="226"/>
      <c r="I591" s="230">
        <v>91</v>
      </c>
      <c r="J591" s="162" t="str">
        <f t="shared" si="226"/>
        <v>IMPERATRIZ</v>
      </c>
      <c r="K591" s="225">
        <v>170</v>
      </c>
      <c r="L591" s="167" t="str">
        <f>IF(K591&lt;&gt;"",VLOOKUP(K591,'Catálogo SAP'!A:F,3,FALSE),"")</f>
        <v>S.VP-01442</v>
      </c>
      <c r="M591" s="162" t="str">
        <f>IF(K591&lt;&gt;"",VLOOKUP(K591,'Catálogo SAP'!A:F,4,FALSE),"")</f>
        <v>Hora Improdutiva Pa Carregadeira C/Operador</v>
      </c>
      <c r="N591" s="168" t="str">
        <f>IF(K591&lt;&gt;"",VLOOKUP(K591,'Catálogo SAP'!A:F,5,FALSE),"")</f>
        <v>H</v>
      </c>
      <c r="O591" s="231">
        <v>3</v>
      </c>
      <c r="P591" s="70">
        <f t="shared" si="225"/>
        <v>0</v>
      </c>
      <c r="Q591" s="163" t="e">
        <f t="shared" ref="Q591:Q593" si="229">IF(K591="","-",N591*O591)</f>
        <v>#VALUE!</v>
      </c>
      <c r="R591" s="44" t="str">
        <f>IF(J591&lt;&gt;"",VLOOKUP(J591,'RESUMO DR'!$B$4:$E$253,4,FALSE),"-")</f>
        <v>T-01</v>
      </c>
      <c r="S591" s="58" t="str">
        <f>IF(J591&lt;&gt;"",VLOOKUP(J591,'RESUMO DR'!$B$4:$E$253,3,FALSE),"-")</f>
        <v>IMPERATRIZ</v>
      </c>
      <c r="T591" s="129"/>
      <c r="U591" s="129"/>
      <c r="V591" s="129"/>
      <c r="W591" s="128"/>
      <c r="X591" s="127"/>
      <c r="Y591" s="127"/>
      <c r="Z591" s="4"/>
    </row>
    <row r="592" spans="1:26" ht="18" customHeight="1">
      <c r="A592" s="5">
        <v>1879</v>
      </c>
      <c r="B592" s="21">
        <v>45664</v>
      </c>
      <c r="C592" s="21" t="s">
        <v>131</v>
      </c>
      <c r="D592" s="74" t="str">
        <f t="shared" si="219"/>
        <v>ter</v>
      </c>
      <c r="E592" s="169">
        <f>IF(K592&lt;&gt;"",VLOOKUP(K592,'Catálogo SAP'!$A$1:$F$245,2,FALSE),"-")</f>
        <v>520</v>
      </c>
      <c r="F592" s="225">
        <v>10618</v>
      </c>
      <c r="G592" s="225">
        <v>10628</v>
      </c>
      <c r="H592" s="226"/>
      <c r="I592" s="230">
        <v>320</v>
      </c>
      <c r="J592" s="162" t="str">
        <f t="shared" si="226"/>
        <v>BABAÇULÂNDIA</v>
      </c>
      <c r="K592" s="16">
        <v>520</v>
      </c>
      <c r="L592" s="167" t="str">
        <f>IF(K592&lt;&gt;"",VLOOKUP(K592,'Catálogo SAP'!A:F,3,FALSE),"")</f>
        <v>S.VP-01469</v>
      </c>
      <c r="M592" s="162" t="str">
        <f>IF(K592&lt;&gt;"",VLOOKUP(K592,'Catálogo SAP'!A:F,4,FALSE),"")</f>
        <v>Hora Produtiva Escavadeira Hidraulica</v>
      </c>
      <c r="N592" s="168" t="str">
        <f>IF(K592&lt;&gt;"",VLOOKUP(K592,'Catálogo SAP'!A:F,5,FALSE),"")</f>
        <v>H</v>
      </c>
      <c r="O592" s="160">
        <v>10</v>
      </c>
      <c r="P592" s="70">
        <f t="shared" si="225"/>
        <v>10</v>
      </c>
      <c r="Q592" s="163" t="e">
        <f t="shared" si="229"/>
        <v>#VALUE!</v>
      </c>
      <c r="R592" s="44" t="str">
        <f>IF(J592&lt;&gt;"",VLOOKUP(J592,'RESUMO DR'!$B$4:$E$253,4,FALSE),"-")</f>
        <v>T-02</v>
      </c>
      <c r="S592" s="58" t="str">
        <f>IF(J592&lt;&gt;"",VLOOKUP(J592,'RESUMO DR'!$B$4:$E$253,3,FALSE),"-")</f>
        <v>ARAGUAINA</v>
      </c>
      <c r="T592" s="129"/>
      <c r="U592" s="129"/>
      <c r="V592" s="129"/>
      <c r="W592" s="128"/>
      <c r="X592" s="127"/>
      <c r="Y592" s="127"/>
      <c r="Z592" s="4"/>
    </row>
    <row r="593" spans="1:26" ht="13.8">
      <c r="A593" s="5"/>
      <c r="B593" s="21">
        <v>45664</v>
      </c>
      <c r="C593" s="21" t="s">
        <v>131</v>
      </c>
      <c r="D593" s="74" t="str">
        <f t="shared" si="219"/>
        <v>ter</v>
      </c>
      <c r="E593" s="169" t="str">
        <f>IF(K593&lt;&gt;"",VLOOKUP(K593,'Catálogo SAP'!$A$1:$F$245,2,FALSE),"-")</f>
        <v>-</v>
      </c>
      <c r="F593" s="225"/>
      <c r="G593" s="225"/>
      <c r="H593" s="226"/>
      <c r="I593" s="230"/>
      <c r="J593" s="162" t="str">
        <f t="shared" si="226"/>
        <v/>
      </c>
      <c r="K593" s="16"/>
      <c r="L593" s="167" t="str">
        <f>IF(K593&lt;&gt;"",VLOOKUP(K593,'Catálogo SAP'!A:F,3,FALSE),"")</f>
        <v/>
      </c>
      <c r="M593" s="162" t="str">
        <f>IF(K593&lt;&gt;"",VLOOKUP(K593,'Catálogo SAP'!A:F,4,FALSE),"")</f>
        <v/>
      </c>
      <c r="N593" s="168" t="str">
        <f>IF(K593&lt;&gt;"",VLOOKUP(K593,'Catálogo SAP'!A:F,5,FALSE),"")</f>
        <v/>
      </c>
      <c r="O593" s="160"/>
      <c r="P593" s="70" t="str">
        <f t="shared" si="225"/>
        <v>-</v>
      </c>
      <c r="Q593" s="163" t="str">
        <f t="shared" si="229"/>
        <v>-</v>
      </c>
      <c r="R593" s="44" t="str">
        <f>IF(J593&lt;&gt;"",VLOOKUP(J593,'RESUMO DR'!$B$4:$E$253,4,FALSE),"-")</f>
        <v>-</v>
      </c>
      <c r="S593" s="58" t="str">
        <f>IF(J593&lt;&gt;"",VLOOKUP(J593,'RESUMO DR'!$B$4:$E$253,3,FALSE),"-")</f>
        <v>-</v>
      </c>
      <c r="T593" s="129"/>
      <c r="U593" s="129"/>
      <c r="V593" s="129"/>
      <c r="W593" s="128"/>
      <c r="X593" s="127"/>
      <c r="Y593" s="127"/>
      <c r="Z593" s="4"/>
    </row>
    <row r="594" spans="1:26" ht="18" customHeight="1">
      <c r="A594" s="5">
        <v>1810</v>
      </c>
      <c r="B594" s="21">
        <v>45664</v>
      </c>
      <c r="C594" s="21" t="s">
        <v>311</v>
      </c>
      <c r="D594" s="74" t="str">
        <f t="shared" si="219"/>
        <v>ter</v>
      </c>
      <c r="E594" s="169">
        <f>IF(K594&lt;&gt;"",VLOOKUP(K594,'Catálogo SAP'!$A$1:$F$245,2,FALSE),"-")</f>
        <v>120</v>
      </c>
      <c r="F594" s="16">
        <v>1196</v>
      </c>
      <c r="G594" s="225">
        <v>1205</v>
      </c>
      <c r="H594" s="22"/>
      <c r="I594" s="133">
        <v>442</v>
      </c>
      <c r="J594" s="162" t="str">
        <f t="shared" si="226"/>
        <v>Palmeirante</v>
      </c>
      <c r="K594" s="16">
        <v>120</v>
      </c>
      <c r="L594" s="167" t="str">
        <f>IF(K594&lt;&gt;"",VLOOKUP(K594,'Catálogo SAP'!A:F,3,FALSE),"")</f>
        <v>S.VP-01437</v>
      </c>
      <c r="M594" s="162" t="str">
        <f>IF(K594&lt;&gt;"",VLOOKUP(K594,'Catálogo SAP'!A:F,4,FALSE),"")</f>
        <v>Hr Produtiva Retroescavadeira C/Operador</v>
      </c>
      <c r="N594" s="168" t="str">
        <f>IF(K594&lt;&gt;"",VLOOKUP(K594,'Catálogo SAP'!A:F,5,FALSE),"")</f>
        <v>H</v>
      </c>
      <c r="O594" s="160">
        <v>9</v>
      </c>
      <c r="P594" s="70">
        <f t="shared" si="225"/>
        <v>9</v>
      </c>
      <c r="Q594" s="163" t="e">
        <f t="shared" si="227"/>
        <v>#VALUE!</v>
      </c>
      <c r="R594" s="44" t="str">
        <f>IF(J594&lt;&gt;"",VLOOKUP(J594,'RESUMO DR'!$B$4:$E$253,4,FALSE),"-")</f>
        <v>T-02</v>
      </c>
      <c r="S594" s="58" t="str">
        <f>IF(J594&lt;&gt;"",VLOOKUP(J594,'RESUMO DR'!$B$4:$E$253,3,FALSE),"-")</f>
        <v>ARAGUAINA</v>
      </c>
      <c r="T594" s="129"/>
      <c r="U594" s="129"/>
      <c r="V594" s="129"/>
      <c r="W594" s="128"/>
      <c r="X594" s="127"/>
      <c r="Y594" s="127"/>
      <c r="Z594" s="4"/>
    </row>
    <row r="595" spans="1:26" ht="13.8">
      <c r="A595" s="5"/>
      <c r="B595" s="21">
        <v>45664</v>
      </c>
      <c r="C595" s="21" t="s">
        <v>311</v>
      </c>
      <c r="D595" s="74" t="str">
        <f t="shared" si="219"/>
        <v>ter</v>
      </c>
      <c r="E595" s="169" t="str">
        <f>IF(K595&lt;&gt;"",VLOOKUP(K595,'Catálogo SAP'!$A$1:$F$245,2,FALSE),"-")</f>
        <v>-</v>
      </c>
      <c r="F595" s="225"/>
      <c r="G595" s="225"/>
      <c r="H595" s="226"/>
      <c r="I595" s="230"/>
      <c r="J595" s="162" t="str">
        <f t="shared" si="226"/>
        <v/>
      </c>
      <c r="K595" s="16"/>
      <c r="L595" s="167" t="str">
        <f>IF(K595&lt;&gt;"",VLOOKUP(K595,'Catálogo SAP'!A:F,3,FALSE),"")</f>
        <v/>
      </c>
      <c r="M595" s="162" t="str">
        <f>IF(K595&lt;&gt;"",VLOOKUP(K595,'Catálogo SAP'!A:F,4,FALSE),"")</f>
        <v/>
      </c>
      <c r="N595" s="168" t="str">
        <f>IF(K595&lt;&gt;"",VLOOKUP(K595,'Catálogo SAP'!A:F,5,FALSE),"")</f>
        <v/>
      </c>
      <c r="O595" s="160"/>
      <c r="P595" s="70" t="str">
        <f t="shared" si="225"/>
        <v>-</v>
      </c>
      <c r="Q595" s="163" t="str">
        <f t="shared" si="227"/>
        <v>-</v>
      </c>
      <c r="R595" s="44" t="str">
        <f>IF(J595&lt;&gt;"",VLOOKUP(J595,'RESUMO DR'!$B$4:$E$253,4,FALSE),"-")</f>
        <v>-</v>
      </c>
      <c r="S595" s="58" t="str">
        <f>IF(J595&lt;&gt;"",VLOOKUP(J595,'RESUMO DR'!$B$4:$E$253,3,FALSE),"-")</f>
        <v>-</v>
      </c>
      <c r="T595" s="129"/>
      <c r="U595" s="129"/>
      <c r="V595" s="129"/>
      <c r="W595" s="128"/>
      <c r="X595" s="127"/>
      <c r="Y595" s="127"/>
      <c r="Z595" s="198">
        <v>15000</v>
      </c>
    </row>
    <row r="596" spans="1:26" ht="18" customHeight="1">
      <c r="A596" s="5">
        <v>1810</v>
      </c>
      <c r="B596" s="21">
        <v>45664</v>
      </c>
      <c r="C596" s="21" t="s">
        <v>305</v>
      </c>
      <c r="D596" s="74" t="str">
        <f t="shared" si="219"/>
        <v>ter</v>
      </c>
      <c r="E596" s="169">
        <f>IF(K596&lt;&gt;"",VLOOKUP(K596,'Catálogo SAP'!$A$1:$F$245,2,FALSE),"-")</f>
        <v>280</v>
      </c>
      <c r="F596" s="225">
        <v>245</v>
      </c>
      <c r="G596" s="16">
        <v>254</v>
      </c>
      <c r="H596" s="226"/>
      <c r="I596" s="230">
        <v>442</v>
      </c>
      <c r="J596" s="162" t="str">
        <f t="shared" si="226"/>
        <v>Palmeirante</v>
      </c>
      <c r="K596" s="16">
        <v>280</v>
      </c>
      <c r="L596" s="167" t="str">
        <f>IF(K596&lt;&gt;"",VLOOKUP(K596,'Catálogo SAP'!A:F,3,FALSE),"")</f>
        <v>S.VP-01453</v>
      </c>
      <c r="M596" s="162" t="str">
        <f>IF(K596&lt;&gt;"",VLOOKUP(K596,'Catálogo SAP'!A:F,4,FALSE),"")</f>
        <v>Hora Produtiva Motoniveladora C/Operador</v>
      </c>
      <c r="N596" s="168" t="str">
        <f>IF(K596&lt;&gt;"",VLOOKUP(K596,'Catálogo SAP'!A:F,5,FALSE),"")</f>
        <v>H</v>
      </c>
      <c r="O596" s="160">
        <v>9</v>
      </c>
      <c r="P596" s="70">
        <f t="shared" si="225"/>
        <v>9</v>
      </c>
      <c r="Q596" s="163" t="e">
        <f t="shared" si="227"/>
        <v>#VALUE!</v>
      </c>
      <c r="R596" s="44" t="str">
        <f>IF(J596&lt;&gt;"",VLOOKUP(J596,'RESUMO DR'!$B$4:$E$253,4,FALSE),"-")</f>
        <v>T-02</v>
      </c>
      <c r="S596" s="58" t="str">
        <f>IF(J596&lt;&gt;"",VLOOKUP(J596,'RESUMO DR'!$B$4:$E$253,3,FALSE),"-")</f>
        <v>ARAGUAINA</v>
      </c>
      <c r="T596" s="129"/>
      <c r="U596" s="129"/>
      <c r="V596" s="129"/>
      <c r="W596" s="128"/>
      <c r="X596" s="127"/>
      <c r="Y596" s="127"/>
      <c r="Z596" s="4"/>
    </row>
    <row r="597" spans="1:26" ht="13.8">
      <c r="A597" s="5"/>
      <c r="B597" s="21">
        <v>45664</v>
      </c>
      <c r="C597" s="21" t="s">
        <v>305</v>
      </c>
      <c r="D597" s="74" t="str">
        <f t="shared" si="219"/>
        <v>ter</v>
      </c>
      <c r="E597" s="169" t="str">
        <f>IF(K597&lt;&gt;"",VLOOKUP(K597,'Catálogo SAP'!$A$1:$F$245,2,FALSE),"-")</f>
        <v>-</v>
      </c>
      <c r="F597" s="16"/>
      <c r="G597" s="16"/>
      <c r="H597" s="22"/>
      <c r="I597" s="133"/>
      <c r="J597" s="162" t="str">
        <f t="shared" si="226"/>
        <v/>
      </c>
      <c r="K597" s="16"/>
      <c r="L597" s="167" t="str">
        <f>IF(K597&lt;&gt;"",VLOOKUP(K597,'Catálogo SAP'!A:F,3,FALSE),"")</f>
        <v/>
      </c>
      <c r="M597" s="162" t="str">
        <f>IF(K597&lt;&gt;"",VLOOKUP(K597,'Catálogo SAP'!A:F,4,FALSE),"")</f>
        <v/>
      </c>
      <c r="N597" s="168" t="str">
        <f>IF(K597&lt;&gt;"",VLOOKUP(K597,'Catálogo SAP'!A:F,5,FALSE),"")</f>
        <v/>
      </c>
      <c r="O597" s="160"/>
      <c r="P597" s="70" t="str">
        <f t="shared" si="225"/>
        <v>-</v>
      </c>
      <c r="Q597" s="163" t="str">
        <f t="shared" si="227"/>
        <v>-</v>
      </c>
      <c r="R597" s="44" t="str">
        <f>IF(J597&lt;&gt;"",VLOOKUP(J597,'RESUMO DR'!$B$4:$E$253,4,FALSE),"-")</f>
        <v>-</v>
      </c>
      <c r="S597" s="58" t="str">
        <f>IF(J597&lt;&gt;"",VLOOKUP(J597,'RESUMO DR'!$B$4:$E$253,3,FALSE),"-")</f>
        <v>-</v>
      </c>
      <c r="T597" s="129"/>
      <c r="U597" s="129"/>
      <c r="V597" s="129"/>
      <c r="W597" s="128"/>
      <c r="X597" s="127"/>
      <c r="Y597" s="127"/>
      <c r="Z597" s="4"/>
    </row>
    <row r="598" spans="1:26" ht="18" customHeight="1">
      <c r="A598" s="5">
        <v>1817</v>
      </c>
      <c r="B598" s="21">
        <v>45664</v>
      </c>
      <c r="C598" s="21" t="s">
        <v>302</v>
      </c>
      <c r="D598" s="74" t="str">
        <f t="shared" ref="D598:D667" si="230">IF(B598="","-",TEXT(B598,"ddd"))</f>
        <v>ter</v>
      </c>
      <c r="E598" s="169">
        <f>IF(K598&lt;&gt;"",VLOOKUP(K598,'Catálogo SAP'!$A$1:$F$245,2,FALSE),"-")</f>
        <v>170</v>
      </c>
      <c r="F598" s="16">
        <v>137</v>
      </c>
      <c r="G598" s="16">
        <v>137</v>
      </c>
      <c r="H598" s="22"/>
      <c r="I598" s="133">
        <v>563</v>
      </c>
      <c r="J598" s="162" t="str">
        <f t="shared" si="226"/>
        <v>Tupirama</v>
      </c>
      <c r="K598" s="16">
        <v>170</v>
      </c>
      <c r="L598" s="167" t="str">
        <f>IF(K598&lt;&gt;"",VLOOKUP(K598,'Catálogo SAP'!A:F,3,FALSE),"")</f>
        <v>S.VP-01442</v>
      </c>
      <c r="M598" s="162" t="str">
        <f>IF(K598&lt;&gt;"",VLOOKUP(K598,'Catálogo SAP'!A:F,4,FALSE),"")</f>
        <v>Hora Improdutiva Pa Carregadeira C/Operador</v>
      </c>
      <c r="N598" s="168" t="str">
        <f>IF(K598&lt;&gt;"",VLOOKUP(K598,'Catálogo SAP'!A:F,5,FALSE),"")</f>
        <v>H</v>
      </c>
      <c r="O598" s="160">
        <v>9</v>
      </c>
      <c r="P598" s="70">
        <f t="shared" si="225"/>
        <v>0</v>
      </c>
      <c r="Q598" s="163" t="e">
        <f t="shared" si="227"/>
        <v>#VALUE!</v>
      </c>
      <c r="R598" s="44" t="str">
        <f>IF(J598&lt;&gt;"",VLOOKUP(J598,'RESUMO DR'!$B$4:$E$253,4,FALSE),"-")</f>
        <v>T-03</v>
      </c>
      <c r="S598" s="58" t="str">
        <f>IF(J598&lt;&gt;"",VLOOKUP(J598,'RESUMO DR'!$B$4:$E$253,3,FALSE),"-")</f>
        <v>PALMAS</v>
      </c>
      <c r="T598" s="129"/>
      <c r="U598" s="129"/>
      <c r="V598" s="129"/>
      <c r="W598" s="128"/>
      <c r="X598" s="127"/>
      <c r="Y598" s="127"/>
      <c r="Z598" s="4"/>
    </row>
    <row r="599" spans="1:26" ht="18" customHeight="1">
      <c r="A599" s="5"/>
      <c r="B599" s="21">
        <v>45664</v>
      </c>
      <c r="C599" s="21" t="s">
        <v>302</v>
      </c>
      <c r="D599" s="74" t="str">
        <f t="shared" si="230"/>
        <v>ter</v>
      </c>
      <c r="E599" s="169" t="str">
        <f>IF(K599&lt;&gt;"",VLOOKUP(K599,'Catálogo SAP'!$A$1:$F$245,2,FALSE),"-")</f>
        <v>-</v>
      </c>
      <c r="F599" s="16"/>
      <c r="G599" s="16"/>
      <c r="H599" s="22"/>
      <c r="I599" s="133"/>
      <c r="J599" s="162" t="str">
        <f t="shared" si="226"/>
        <v/>
      </c>
      <c r="K599" s="16"/>
      <c r="L599" s="167" t="str">
        <f>IF(K599&lt;&gt;"",VLOOKUP(K599,'Catálogo SAP'!A:F,3,FALSE),"")</f>
        <v/>
      </c>
      <c r="M599" s="162" t="str">
        <f>IF(K599&lt;&gt;"",VLOOKUP(K599,'Catálogo SAP'!A:F,4,FALSE),"")</f>
        <v/>
      </c>
      <c r="N599" s="168" t="str">
        <f>IF(K599&lt;&gt;"",VLOOKUP(K599,'Catálogo SAP'!A:F,5,FALSE),"")</f>
        <v/>
      </c>
      <c r="O599" s="160"/>
      <c r="P599" s="70" t="str">
        <f t="shared" si="225"/>
        <v>-</v>
      </c>
      <c r="Q599" s="163" t="str">
        <f t="shared" si="227"/>
        <v>-</v>
      </c>
      <c r="R599" s="44" t="str">
        <f>IF(J599&lt;&gt;"",VLOOKUP(J599,'RESUMO DR'!$B$4:$E$253,4,FALSE),"-")</f>
        <v>-</v>
      </c>
      <c r="S599" s="58" t="str">
        <f>IF(J599&lt;&gt;"",VLOOKUP(J599,'RESUMO DR'!$B$4:$E$253,3,FALSE),"-")</f>
        <v>-</v>
      </c>
      <c r="T599" s="129"/>
      <c r="U599" s="129"/>
      <c r="V599" s="129"/>
      <c r="W599" s="128"/>
      <c r="X599" s="127"/>
      <c r="Y599" s="127"/>
      <c r="Z599" s="4"/>
    </row>
    <row r="600" spans="1:26" ht="18" customHeight="1">
      <c r="A600" s="5">
        <v>1820</v>
      </c>
      <c r="B600" s="21">
        <v>45664</v>
      </c>
      <c r="C600" s="21" t="s">
        <v>134</v>
      </c>
      <c r="D600" s="74" t="str">
        <f t="shared" si="230"/>
        <v>ter</v>
      </c>
      <c r="E600" s="169">
        <f>IF(K600&lt;&gt;"",VLOOKUP(K600,'Catálogo SAP'!$A$1:$F$245,2,FALSE),"-")</f>
        <v>480</v>
      </c>
      <c r="F600" s="225">
        <v>3407</v>
      </c>
      <c r="G600" s="225">
        <v>3412</v>
      </c>
      <c r="H600" s="226"/>
      <c r="I600" s="230">
        <v>103</v>
      </c>
      <c r="J600" s="162" t="str">
        <f t="shared" si="226"/>
        <v>EDSON LOBÃO</v>
      </c>
      <c r="K600" s="16">
        <v>480</v>
      </c>
      <c r="L600" s="167" t="str">
        <f>IF(K600&lt;&gt;"",VLOOKUP(K600,'Catálogo SAP'!A:F,3,FALSE),"")</f>
        <v>S.VP-01465</v>
      </c>
      <c r="M600" s="162" t="str">
        <f>IF(K600&lt;&gt;"",VLOOKUP(K600,'Catálogo SAP'!A:F,4,FALSE),"")</f>
        <v>Hora Produtiva Miniescavadeira Hidraulica C/ Operador</v>
      </c>
      <c r="N600" s="168" t="str">
        <f>IF(K600&lt;&gt;"",VLOOKUP(K600,'Catálogo SAP'!A:F,5,FALSE),"")</f>
        <v>H</v>
      </c>
      <c r="O600" s="160">
        <v>5</v>
      </c>
      <c r="P600" s="70">
        <f t="shared" si="225"/>
        <v>5</v>
      </c>
      <c r="Q600" s="163" t="e">
        <f t="shared" si="227"/>
        <v>#VALUE!</v>
      </c>
      <c r="R600" s="44" t="str">
        <f>IF(J600&lt;&gt;"",VLOOKUP(J600,'RESUMO DR'!$B$4:$E$253,4,FALSE),"-")</f>
        <v>T-01</v>
      </c>
      <c r="S600" s="58" t="str">
        <f>IF(J600&lt;&gt;"",VLOOKUP(J600,'RESUMO DR'!$B$4:$E$253,3,FALSE),"-")</f>
        <v>IMPERATRIZ</v>
      </c>
      <c r="T600" s="129"/>
      <c r="U600" s="129"/>
      <c r="V600" s="129"/>
      <c r="W600" s="128"/>
      <c r="X600" s="127"/>
      <c r="Y600" s="127"/>
      <c r="Z600" s="4"/>
    </row>
    <row r="601" spans="1:26" ht="18" customHeight="1">
      <c r="A601" s="5">
        <v>1820</v>
      </c>
      <c r="B601" s="21">
        <v>45664</v>
      </c>
      <c r="C601" s="21" t="s">
        <v>134</v>
      </c>
      <c r="D601" s="74" t="str">
        <f t="shared" si="230"/>
        <v>ter</v>
      </c>
      <c r="E601" s="169">
        <f>IF(K601&lt;&gt;"",VLOOKUP(K601,'Catálogo SAP'!$A$1:$F$245,2,FALSE),"-")</f>
        <v>490</v>
      </c>
      <c r="F601" s="225">
        <v>3412</v>
      </c>
      <c r="G601" s="225">
        <v>3412</v>
      </c>
      <c r="H601" s="226"/>
      <c r="I601" s="230">
        <v>103</v>
      </c>
      <c r="J601" s="162" t="str">
        <f t="shared" si="226"/>
        <v>EDSON LOBÃO</v>
      </c>
      <c r="K601" s="16">
        <v>490</v>
      </c>
      <c r="L601" s="167" t="str">
        <f>IF(K601&lt;&gt;"",VLOOKUP(K601,'Catálogo SAP'!A:F,3,FALSE),"")</f>
        <v>S.VP-01466</v>
      </c>
      <c r="M601" s="162" t="str">
        <f>IF(K601&lt;&gt;"",VLOOKUP(K601,'Catálogo SAP'!A:F,4,FALSE),"")</f>
        <v>Hora Improdutiva Miniescavadeira Hidraulica C/ Operador</v>
      </c>
      <c r="N601" s="168" t="str">
        <f>IF(K601&lt;&gt;"",VLOOKUP(K601,'Catálogo SAP'!A:F,5,FALSE),"")</f>
        <v>H</v>
      </c>
      <c r="O601" s="160">
        <v>4</v>
      </c>
      <c r="P601" s="70">
        <f t="shared" si="225"/>
        <v>0</v>
      </c>
      <c r="Q601" s="163" t="e">
        <f t="shared" si="227"/>
        <v>#VALUE!</v>
      </c>
      <c r="R601" s="44" t="str">
        <f>IF(J601&lt;&gt;"",VLOOKUP(J601,'RESUMO DR'!$B$4:$E$253,4,FALSE),"-")</f>
        <v>T-01</v>
      </c>
      <c r="S601" s="58" t="str">
        <f>IF(J601&lt;&gt;"",VLOOKUP(J601,'RESUMO DR'!$B$4:$E$253,3,FALSE),"-")</f>
        <v>IMPERATRIZ</v>
      </c>
      <c r="T601" s="129"/>
      <c r="U601" s="129"/>
      <c r="V601" s="129"/>
      <c r="W601" s="128"/>
      <c r="X601" s="127"/>
      <c r="Y601" s="127"/>
      <c r="Z601" s="4"/>
    </row>
    <row r="602" spans="1:26" ht="18" customHeight="1">
      <c r="A602" s="5">
        <v>1807</v>
      </c>
      <c r="B602" s="21">
        <v>45664</v>
      </c>
      <c r="C602" s="21" t="s">
        <v>315</v>
      </c>
      <c r="D602" s="74" t="str">
        <f t="shared" si="230"/>
        <v>ter</v>
      </c>
      <c r="E602" s="169">
        <f>IF(K602&lt;&gt;"",VLOOKUP(K602,'Catálogo SAP'!$A$1:$F$245,2,FALSE),"-")</f>
        <v>160</v>
      </c>
      <c r="F602" s="225">
        <v>1398</v>
      </c>
      <c r="G602" s="225">
        <v>1407</v>
      </c>
      <c r="H602" s="226"/>
      <c r="I602" s="230">
        <v>59</v>
      </c>
      <c r="J602" s="162" t="str">
        <f t="shared" si="226"/>
        <v>JOÃO LISBOA</v>
      </c>
      <c r="K602" s="16">
        <v>160</v>
      </c>
      <c r="L602" s="167" t="str">
        <f>IF(K602&lt;&gt;"",VLOOKUP(K602,'Catálogo SAP'!A:F,3,FALSE),"")</f>
        <v>S.VP-01441</v>
      </c>
      <c r="M602" s="162" t="str">
        <f>IF(K602&lt;&gt;"",VLOOKUP(K602,'Catálogo SAP'!A:F,4,FALSE),"")</f>
        <v>Hora Produtiva Pa Carregadeira C/Operador</v>
      </c>
      <c r="N602" s="168" t="str">
        <f>IF(K602&lt;&gt;"",VLOOKUP(K602,'Catálogo SAP'!A:F,5,FALSE),"")</f>
        <v>H</v>
      </c>
      <c r="O602" s="160">
        <v>9</v>
      </c>
      <c r="P602" s="70">
        <f t="shared" si="225"/>
        <v>9</v>
      </c>
      <c r="Q602" s="163" t="e">
        <f t="shared" ref="Q602:Q605" si="231">IF(K602="","-",N602*O602)</f>
        <v>#VALUE!</v>
      </c>
      <c r="R602" s="44" t="str">
        <f>IF(J602&lt;&gt;"",VLOOKUP(J602,'RESUMO DR'!$B$4:$E$253,4,FALSE),"-")</f>
        <v>T-01</v>
      </c>
      <c r="S602" s="58" t="str">
        <f>IF(J602&lt;&gt;"",VLOOKUP(J602,'RESUMO DR'!$B$4:$E$253,3,FALSE),"-")</f>
        <v>IMPERATRIZ</v>
      </c>
      <c r="T602" s="129"/>
      <c r="U602" s="129"/>
      <c r="V602" s="129"/>
      <c r="W602" s="128"/>
      <c r="X602" s="127"/>
      <c r="Y602" s="127"/>
      <c r="Z602" s="4"/>
    </row>
    <row r="603" spans="1:26" ht="15" customHeight="1">
      <c r="A603" s="5">
        <v>1815</v>
      </c>
      <c r="B603" s="21">
        <v>45664</v>
      </c>
      <c r="C603" s="21" t="s">
        <v>306</v>
      </c>
      <c r="D603" s="74" t="str">
        <f t="shared" si="230"/>
        <v>ter</v>
      </c>
      <c r="E603" s="169">
        <f>IF(K603&lt;&gt;"",VLOOKUP(K603,'Catálogo SAP'!$A$1:$F$245,2,FALSE),"-")</f>
        <v>290</v>
      </c>
      <c r="F603" s="225">
        <v>337</v>
      </c>
      <c r="G603" s="225">
        <v>337</v>
      </c>
      <c r="H603" s="226"/>
      <c r="I603" s="230">
        <v>438</v>
      </c>
      <c r="J603" s="162" t="str">
        <f t="shared" si="226"/>
        <v>Palmeirante</v>
      </c>
      <c r="K603" s="16">
        <v>290</v>
      </c>
      <c r="L603" s="167" t="str">
        <f>IF(K603&lt;&gt;"",VLOOKUP(K603,'Catálogo SAP'!A:F,3,FALSE),"")</f>
        <v>S.VP-01454</v>
      </c>
      <c r="M603" s="162" t="str">
        <f>IF(K603&lt;&gt;"",VLOOKUP(K603,'Catálogo SAP'!A:F,4,FALSE),"")</f>
        <v>Hora Improdutiva Motoniveladora C/Operador</v>
      </c>
      <c r="N603" s="168" t="str">
        <f>IF(K603&lt;&gt;"",VLOOKUP(K603,'Catálogo SAP'!A:F,5,FALSE),"")</f>
        <v>H</v>
      </c>
      <c r="O603" s="160">
        <v>9</v>
      </c>
      <c r="P603" s="70">
        <f t="shared" si="225"/>
        <v>0</v>
      </c>
      <c r="Q603" s="163" t="e">
        <f t="shared" si="231"/>
        <v>#VALUE!</v>
      </c>
      <c r="R603" s="44" t="s">
        <v>192</v>
      </c>
      <c r="S603" s="58" t="s">
        <v>193</v>
      </c>
      <c r="T603" s="129"/>
      <c r="U603" s="129"/>
      <c r="V603" s="129"/>
      <c r="W603" s="128"/>
      <c r="X603" s="127"/>
      <c r="Y603" s="127"/>
      <c r="Z603" s="4"/>
    </row>
    <row r="604" spans="1:26" ht="18" customHeight="1">
      <c r="A604" s="5"/>
      <c r="B604" s="21">
        <v>45664</v>
      </c>
      <c r="C604" s="21" t="s">
        <v>306</v>
      </c>
      <c r="D604" s="74" t="str">
        <f t="shared" si="230"/>
        <v>ter</v>
      </c>
      <c r="E604" s="169" t="str">
        <f>IF(K604&lt;&gt;"",VLOOKUP(K604,'Catálogo SAP'!$A$1:$F$245,2,FALSE),"-")</f>
        <v>-</v>
      </c>
      <c r="F604" s="16"/>
      <c r="G604" s="16"/>
      <c r="H604" s="22"/>
      <c r="I604" s="133"/>
      <c r="J604" s="162" t="str">
        <f t="shared" si="226"/>
        <v/>
      </c>
      <c r="K604" s="16"/>
      <c r="L604" s="167" t="str">
        <f>IF(K604&lt;&gt;"",VLOOKUP(K604,'Catálogo SAP'!A:F,3,FALSE),"")</f>
        <v/>
      </c>
      <c r="M604" s="162" t="str">
        <f>IF(K604&lt;&gt;"",VLOOKUP(K604,'Catálogo SAP'!A:F,4,FALSE),"")</f>
        <v/>
      </c>
      <c r="N604" s="168" t="str">
        <f>IF(K604&lt;&gt;"",VLOOKUP(K604,'Catálogo SAP'!A:F,5,FALSE),"")</f>
        <v/>
      </c>
      <c r="O604" s="160"/>
      <c r="P604" s="70" t="str">
        <f t="shared" si="225"/>
        <v>-</v>
      </c>
      <c r="Q604" s="163" t="str">
        <f t="shared" si="231"/>
        <v>-</v>
      </c>
      <c r="R604" s="44" t="str">
        <f>IF(J604&lt;&gt;"",VLOOKUP(J604,'RESUMO DR'!$B$4:$E$253,4,FALSE),"-")</f>
        <v>-</v>
      </c>
      <c r="S604" s="58" t="str">
        <f>IF(J604&lt;&gt;"",VLOOKUP(J604,'RESUMO DR'!$B$4:$E$253,3,FALSE),"-")</f>
        <v>-</v>
      </c>
      <c r="T604" s="129"/>
      <c r="U604" s="129"/>
      <c r="V604" s="129"/>
      <c r="W604" s="128"/>
      <c r="X604" s="127"/>
      <c r="Y604" s="127"/>
      <c r="Z604" s="4"/>
    </row>
    <row r="605" spans="1:26" ht="18" customHeight="1">
      <c r="A605" s="5">
        <v>1818</v>
      </c>
      <c r="B605" s="21">
        <v>45664</v>
      </c>
      <c r="C605" s="21" t="s">
        <v>310</v>
      </c>
      <c r="D605" s="74" t="str">
        <f t="shared" si="230"/>
        <v>ter</v>
      </c>
      <c r="E605" s="169">
        <f>IF(K605&lt;&gt;"",VLOOKUP(K605,'Catálogo SAP'!$A$1:$F$245,2,FALSE),"-")</f>
        <v>120</v>
      </c>
      <c r="F605" s="225">
        <v>156</v>
      </c>
      <c r="G605" s="225">
        <v>159</v>
      </c>
      <c r="H605" s="226"/>
      <c r="I605" s="230">
        <v>453</v>
      </c>
      <c r="J605" s="162" t="str">
        <f t="shared" si="226"/>
        <v>Palmeirante</v>
      </c>
      <c r="K605" s="16">
        <v>120</v>
      </c>
      <c r="L605" s="167" t="str">
        <f>IF(K605&lt;&gt;"",VLOOKUP(K605,'Catálogo SAP'!A:F,3,FALSE),"")</f>
        <v>S.VP-01437</v>
      </c>
      <c r="M605" s="162" t="str">
        <f>IF(K605&lt;&gt;"",VLOOKUP(K605,'Catálogo SAP'!A:F,4,FALSE),"")</f>
        <v>Hr Produtiva Retroescavadeira C/Operador</v>
      </c>
      <c r="N605" s="168" t="str">
        <f>IF(K605&lt;&gt;"",VLOOKUP(K605,'Catálogo SAP'!A:F,5,FALSE),"")</f>
        <v>H</v>
      </c>
      <c r="O605" s="160">
        <v>3</v>
      </c>
      <c r="P605" s="70">
        <f t="shared" si="225"/>
        <v>3</v>
      </c>
      <c r="Q605" s="163" t="e">
        <f t="shared" si="231"/>
        <v>#VALUE!</v>
      </c>
      <c r="R605" s="44" t="s">
        <v>192</v>
      </c>
      <c r="S605" s="58" t="s">
        <v>193</v>
      </c>
      <c r="T605" s="129"/>
      <c r="U605" s="129"/>
      <c r="V605" s="129"/>
      <c r="W605" s="128"/>
      <c r="X605" s="127"/>
      <c r="Y605" s="127"/>
      <c r="Z605" s="4"/>
    </row>
    <row r="606" spans="1:26" ht="18" customHeight="1">
      <c r="A606" s="5">
        <v>1818</v>
      </c>
      <c r="B606" s="21">
        <v>45664</v>
      </c>
      <c r="C606" s="21" t="s">
        <v>310</v>
      </c>
      <c r="D606" s="74" t="str">
        <f t="shared" si="230"/>
        <v>ter</v>
      </c>
      <c r="E606" s="169">
        <f>IF(K606&lt;&gt;"",VLOOKUP(K606,'Catálogo SAP'!$A$1:$F$245,2,FALSE),"-")</f>
        <v>130</v>
      </c>
      <c r="F606" s="225">
        <v>159</v>
      </c>
      <c r="G606" s="225">
        <v>159</v>
      </c>
      <c r="H606" s="226"/>
      <c r="I606" s="230">
        <v>453</v>
      </c>
      <c r="J606" s="162" t="str">
        <f t="shared" si="226"/>
        <v>Palmeirante</v>
      </c>
      <c r="K606" s="16">
        <v>130</v>
      </c>
      <c r="L606" s="167" t="str">
        <f>IF(K606&lt;&gt;"",VLOOKUP(K606,'Catálogo SAP'!A:F,3,FALSE),"")</f>
        <v>S.VP-01438</v>
      </c>
      <c r="M606" s="162" t="str">
        <f>IF(K606&lt;&gt;"",VLOOKUP(K606,'Catálogo SAP'!A:F,4,FALSE),"")</f>
        <v>Hr Improdutiva Retroescavadeira C/Operador</v>
      </c>
      <c r="N606" s="168" t="str">
        <f>IF(K606&lt;&gt;"",VLOOKUP(K606,'Catálogo SAP'!A:F,5,FALSE),"")</f>
        <v>H</v>
      </c>
      <c r="O606" s="160">
        <v>6</v>
      </c>
      <c r="P606" s="70">
        <f t="shared" si="225"/>
        <v>0</v>
      </c>
      <c r="Q606" s="163" t="e">
        <f t="shared" si="227"/>
        <v>#VALUE!</v>
      </c>
      <c r="R606" s="44" t="s">
        <v>192</v>
      </c>
      <c r="S606" s="58" t="s">
        <v>193</v>
      </c>
      <c r="T606" s="129"/>
      <c r="U606" s="129"/>
      <c r="V606" s="129"/>
      <c r="W606" s="128"/>
      <c r="X606" s="127"/>
      <c r="Y606" s="127"/>
      <c r="Z606" s="4"/>
    </row>
    <row r="607" spans="1:26" ht="18" customHeight="1">
      <c r="A607" s="5">
        <v>1811</v>
      </c>
      <c r="B607" s="21">
        <v>45664</v>
      </c>
      <c r="C607" s="21" t="s">
        <v>312</v>
      </c>
      <c r="D607" s="74" t="str">
        <f t="shared" si="230"/>
        <v>ter</v>
      </c>
      <c r="E607" s="169">
        <f>IF(K607&lt;&gt;"",VLOOKUP(K607,'Catálogo SAP'!$A$1:$F$245,2,FALSE),"-")</f>
        <v>200</v>
      </c>
      <c r="F607" s="225">
        <v>73961</v>
      </c>
      <c r="G607" s="225">
        <v>74422</v>
      </c>
      <c r="H607" s="226"/>
      <c r="I607" s="230">
        <v>318</v>
      </c>
      <c r="J607" s="162" t="str">
        <f t="shared" si="226"/>
        <v>BABAÇULÂNDIA</v>
      </c>
      <c r="K607" s="16">
        <v>200</v>
      </c>
      <c r="L607" s="167" t="str">
        <f>IF(K607&lt;&gt;"",VLOOKUP(K607,'Catálogo SAP'!A:F,3,FALSE),"")</f>
        <v>S.VP-01445</v>
      </c>
      <c r="M607" s="162" t="str">
        <f>IF(K607&lt;&gt;"",VLOOKUP(K607,'Catálogo SAP'!A:F,4,FALSE),"")</f>
        <v>Km Rodado Caminhão Basculante - C/Motorista</v>
      </c>
      <c r="N607" s="168" t="str">
        <f>IF(K607&lt;&gt;"",VLOOKUP(K607,'Catálogo SAP'!A:F,5,FALSE),"")</f>
        <v>KM</v>
      </c>
      <c r="O607" s="160">
        <v>461</v>
      </c>
      <c r="P607" s="70">
        <f t="shared" si="225"/>
        <v>461</v>
      </c>
      <c r="Q607" s="163" t="e">
        <f t="shared" si="227"/>
        <v>#VALUE!</v>
      </c>
      <c r="R607" s="44" t="str">
        <f>IF(J607&lt;&gt;"",VLOOKUP(J607,'RESUMO DR'!$B$4:$E$253,4,FALSE),"-")</f>
        <v>T-02</v>
      </c>
      <c r="S607" s="58" t="str">
        <f>IF(J607&lt;&gt;"",VLOOKUP(J607,'RESUMO DR'!$B$4:$E$253,3,FALSE),"-")</f>
        <v>ARAGUAINA</v>
      </c>
      <c r="T607" s="129"/>
      <c r="U607" s="129"/>
      <c r="V607" s="129"/>
      <c r="W607" s="128"/>
      <c r="X607" s="127"/>
      <c r="Y607" s="127"/>
      <c r="Z607" s="4"/>
    </row>
    <row r="608" spans="1:26" ht="18" customHeight="1">
      <c r="A608" s="5"/>
      <c r="B608" s="21">
        <v>45664</v>
      </c>
      <c r="C608" s="21" t="s">
        <v>139</v>
      </c>
      <c r="D608" s="74" t="str">
        <f t="shared" si="230"/>
        <v>ter</v>
      </c>
      <c r="E608" s="169" t="str">
        <f>IF(K608&lt;&gt;"",VLOOKUP(K608,'Catálogo SAP'!$A$1:$F$245,2,FALSE),"-")</f>
        <v>-</v>
      </c>
      <c r="F608" s="16"/>
      <c r="G608" s="16"/>
      <c r="H608" s="22"/>
      <c r="I608" s="133"/>
      <c r="J608" s="162" t="str">
        <f t="shared" si="226"/>
        <v/>
      </c>
      <c r="K608" s="16"/>
      <c r="L608" s="167" t="str">
        <f>IF(K608&lt;&gt;"",VLOOKUP(K608,'Catálogo SAP'!A:F,3,FALSE),"")</f>
        <v/>
      </c>
      <c r="M608" s="162" t="str">
        <f>IF(K608&lt;&gt;"",VLOOKUP(K608,'Catálogo SAP'!A:F,4,FALSE),"")</f>
        <v/>
      </c>
      <c r="N608" s="168" t="str">
        <f>IF(K608&lt;&gt;"",VLOOKUP(K608,'Catálogo SAP'!A:F,5,FALSE),"")</f>
        <v/>
      </c>
      <c r="O608" s="160"/>
      <c r="P608" s="70" t="str">
        <f t="shared" si="225"/>
        <v>-</v>
      </c>
      <c r="Q608" s="163" t="str">
        <f t="shared" si="227"/>
        <v>-</v>
      </c>
      <c r="R608" s="44" t="str">
        <f>IF(J608&lt;&gt;"",VLOOKUP(J608,'RESUMO DR'!$B$4:$E$253,4,FALSE),"-")</f>
        <v>-</v>
      </c>
      <c r="S608" s="58" t="str">
        <f>IF(J608&lt;&gt;"",VLOOKUP(J608,'RESUMO DR'!$B$4:$E$253,3,FALSE),"-")</f>
        <v>-</v>
      </c>
      <c r="T608" s="129"/>
      <c r="U608" s="129"/>
      <c r="V608" s="129"/>
      <c r="W608" s="128"/>
      <c r="X608" s="127"/>
      <c r="Y608" s="127"/>
      <c r="Z608" s="4"/>
    </row>
    <row r="609" spans="1:27" ht="18" customHeight="1">
      <c r="A609" s="5"/>
      <c r="B609" s="21">
        <v>45664</v>
      </c>
      <c r="C609" s="21" t="s">
        <v>138</v>
      </c>
      <c r="D609" s="74" t="str">
        <f t="shared" si="230"/>
        <v>ter</v>
      </c>
      <c r="E609" s="169" t="str">
        <f>IF(K609&lt;&gt;"",VLOOKUP(K609,'Catálogo SAP'!$A$1:$F$245,2,FALSE),"-")</f>
        <v>-</v>
      </c>
      <c r="F609" s="225"/>
      <c r="G609" s="225"/>
      <c r="H609" s="226"/>
      <c r="I609" s="230"/>
      <c r="J609" s="162" t="str">
        <f t="shared" si="226"/>
        <v/>
      </c>
      <c r="K609" s="16"/>
      <c r="L609" s="167" t="str">
        <f>IF(K609&lt;&gt;"",VLOOKUP(K609,'Catálogo SAP'!A:F,3,FALSE),"")</f>
        <v/>
      </c>
      <c r="M609" s="162" t="str">
        <f>IF(K609&lt;&gt;"",VLOOKUP(K609,'Catálogo SAP'!A:F,4,FALSE),"")</f>
        <v/>
      </c>
      <c r="N609" s="168" t="str">
        <f>IF(K609&lt;&gt;"",VLOOKUP(K609,'Catálogo SAP'!A:F,5,FALSE),"")</f>
        <v/>
      </c>
      <c r="O609" s="160"/>
      <c r="P609" s="70" t="str">
        <f t="shared" si="225"/>
        <v>-</v>
      </c>
      <c r="Q609" s="163" t="str">
        <f t="shared" si="227"/>
        <v>-</v>
      </c>
      <c r="R609" s="44" t="str">
        <f>IF(J609&lt;&gt;"",VLOOKUP(J609,'RESUMO DR'!$B$4:$E$253,4,FALSE),"-")</f>
        <v>-</v>
      </c>
      <c r="S609" s="58" t="str">
        <f>IF(J609&lt;&gt;"",VLOOKUP(J609,'RESUMO DR'!$B$4:$E$253,3,FALSE),"-")</f>
        <v>-</v>
      </c>
      <c r="T609" s="129"/>
      <c r="U609" s="129"/>
      <c r="V609" s="129"/>
      <c r="W609" s="128"/>
      <c r="X609" s="127"/>
      <c r="Y609" s="127"/>
      <c r="Z609" s="4"/>
    </row>
    <row r="610" spans="1:27" ht="18" customHeight="1">
      <c r="A610" s="5"/>
      <c r="B610" s="222"/>
      <c r="C610" s="222"/>
      <c r="D610" s="223"/>
      <c r="E610" s="224"/>
      <c r="F610" s="225"/>
      <c r="G610" s="225"/>
      <c r="H610" s="226"/>
      <c r="I610" s="227"/>
      <c r="J610" s="228"/>
      <c r="K610" s="225"/>
      <c r="L610" s="167" t="str">
        <f>IF(K610&lt;&gt;"",VLOOKUP(K610,'Catálogo SAP'!A:F,3,FALSE),"")</f>
        <v/>
      </c>
      <c r="M610" s="162" t="str">
        <f>IF(K610&lt;&gt;"",VLOOKUP(K610,'Catálogo SAP'!A:F,4,FALSE),"")</f>
        <v/>
      </c>
      <c r="N610" s="168" t="str">
        <f>IF(K610&lt;&gt;"",VLOOKUP(K610,'Catálogo SAP'!A:F,5,FALSE),"")</f>
        <v/>
      </c>
      <c r="O610" s="231"/>
      <c r="P610" s="70" t="str">
        <f t="shared" si="225"/>
        <v>-</v>
      </c>
      <c r="Q610" s="229"/>
      <c r="R610" s="44" t="str">
        <f>IF(J610&lt;&gt;"",VLOOKUP(J610,'RESUMO DR'!$B$4:$E$253,4,FALSE),"-")</f>
        <v>-</v>
      </c>
      <c r="S610" s="58" t="str">
        <f>IF(J610&lt;&gt;"",VLOOKUP(J610,'RESUMO DR'!$B$4:$E$253,3,FALSE),"-")</f>
        <v>-</v>
      </c>
      <c r="T610" s="129"/>
      <c r="U610" s="129"/>
      <c r="V610" s="129"/>
      <c r="W610" s="128"/>
      <c r="X610" s="127"/>
      <c r="Y610" s="127"/>
      <c r="Z610" s="4"/>
    </row>
    <row r="611" spans="1:27" ht="18" customHeight="1">
      <c r="A611" s="5">
        <v>1571</v>
      </c>
      <c r="B611" s="21">
        <v>45665</v>
      </c>
      <c r="C611" s="21" t="s">
        <v>121</v>
      </c>
      <c r="D611" s="74" t="str">
        <f t="shared" si="230"/>
        <v>qua</v>
      </c>
      <c r="E611" s="169">
        <f>IF(K611&lt;&gt;"",VLOOKUP(K611,'Catálogo SAP'!$A$1:$F$245,2,FALSE),"-")</f>
        <v>120</v>
      </c>
      <c r="F611" s="225">
        <v>8734</v>
      </c>
      <c r="G611" s="16">
        <v>8741</v>
      </c>
      <c r="H611" s="22"/>
      <c r="I611" s="227">
        <v>300</v>
      </c>
      <c r="J611" s="162" t="str">
        <f t="shared" si="226"/>
        <v>SAO LUIS</v>
      </c>
      <c r="K611" s="16">
        <v>120</v>
      </c>
      <c r="L611" s="167" t="str">
        <f>IF(K611&lt;&gt;"",VLOOKUP(K611,'Catálogo SAP'!A:F,3,FALSE),"")</f>
        <v>S.VP-01437</v>
      </c>
      <c r="M611" s="162" t="str">
        <f>IF(K611&lt;&gt;"",VLOOKUP(K611,'Catálogo SAP'!A:F,4,FALSE),"")</f>
        <v>Hr Produtiva Retroescavadeira C/Operador</v>
      </c>
      <c r="N611" s="168" t="str">
        <f>IF(K611&lt;&gt;"",VLOOKUP(K611,'Catálogo SAP'!A:F,5,FALSE),"")</f>
        <v>H</v>
      </c>
      <c r="O611" s="160">
        <v>7</v>
      </c>
      <c r="P611" s="70">
        <f t="shared" si="225"/>
        <v>7</v>
      </c>
      <c r="Q611" s="163" t="e">
        <f t="shared" si="227"/>
        <v>#VALUE!</v>
      </c>
      <c r="R611" s="44" t="str">
        <f>IF(J611&lt;&gt;"",VLOOKUP(J611,'RESUMO DR'!$B$4:$E$253,4,FALSE),"-")</f>
        <v>T-02</v>
      </c>
      <c r="S611" s="58" t="str">
        <f>IF(J611&lt;&gt;"",VLOOKUP(J611,'RESUMO DR'!$B$4:$E$253,3,FALSE),"-")</f>
        <v>ARAGUAINA</v>
      </c>
      <c r="T611" s="129"/>
      <c r="U611" s="129"/>
      <c r="V611" s="129"/>
      <c r="W611" s="128"/>
      <c r="X611" s="127"/>
      <c r="Y611" s="127"/>
      <c r="Z611" s="4"/>
    </row>
    <row r="612" spans="1:27" ht="18" customHeight="1">
      <c r="A612" s="5">
        <v>1571</v>
      </c>
      <c r="B612" s="21">
        <v>45665</v>
      </c>
      <c r="C612" s="21" t="s">
        <v>121</v>
      </c>
      <c r="D612" s="74" t="str">
        <f t="shared" si="230"/>
        <v>qua</v>
      </c>
      <c r="E612" s="169">
        <f>IF(K612&lt;&gt;"",VLOOKUP(K612,'Catálogo SAP'!$A$1:$F$245,2,FALSE),"-")</f>
        <v>130</v>
      </c>
      <c r="F612" s="16">
        <v>8741</v>
      </c>
      <c r="G612" s="16">
        <v>8741</v>
      </c>
      <c r="H612" s="22"/>
      <c r="I612" s="227">
        <v>300</v>
      </c>
      <c r="J612" s="162" t="str">
        <f t="shared" si="226"/>
        <v>SAO LUIS</v>
      </c>
      <c r="K612" s="16">
        <v>130</v>
      </c>
      <c r="L612" s="167" t="str">
        <f>IF(K612&lt;&gt;"",VLOOKUP(K612,'Catálogo SAP'!A:F,3,FALSE),"")</f>
        <v>S.VP-01438</v>
      </c>
      <c r="M612" s="162" t="str">
        <f>IF(K612&lt;&gt;"",VLOOKUP(K612,'Catálogo SAP'!A:F,4,FALSE),"")</f>
        <v>Hr Improdutiva Retroescavadeira C/Operador</v>
      </c>
      <c r="N612" s="168" t="str">
        <f>IF(K612&lt;&gt;"",VLOOKUP(K612,'Catálogo SAP'!A:F,5,FALSE),"")</f>
        <v>H</v>
      </c>
      <c r="O612" s="160">
        <v>2</v>
      </c>
      <c r="P612" s="70">
        <f t="shared" si="225"/>
        <v>0</v>
      </c>
      <c r="Q612" s="163" t="e">
        <f t="shared" si="227"/>
        <v>#VALUE!</v>
      </c>
      <c r="R612" s="44" t="str">
        <f>IF(J612&lt;&gt;"",VLOOKUP(J612,'RESUMO DR'!$B$4:$E$253,4,FALSE),"-")</f>
        <v>T-02</v>
      </c>
      <c r="S612" s="58" t="str">
        <f>IF(J612&lt;&gt;"",VLOOKUP(J612,'RESUMO DR'!$B$4:$E$253,3,FALSE),"-")</f>
        <v>ARAGUAINA</v>
      </c>
      <c r="T612" s="129"/>
      <c r="U612" s="129"/>
      <c r="V612" s="129"/>
      <c r="W612" s="128"/>
      <c r="X612" s="127"/>
      <c r="Y612" s="127"/>
      <c r="Z612" s="4"/>
    </row>
    <row r="613" spans="1:27" ht="18" customHeight="1">
      <c r="A613" s="5">
        <v>1821</v>
      </c>
      <c r="B613" s="21">
        <v>45665</v>
      </c>
      <c r="C613" s="21" t="s">
        <v>122</v>
      </c>
      <c r="D613" s="74" t="str">
        <f t="shared" si="230"/>
        <v>qua</v>
      </c>
      <c r="E613" s="169">
        <f>IF(K613&lt;&gt;"",VLOOKUP(K613,'Catálogo SAP'!$A$1:$F$245,2,FALSE),"-")</f>
        <v>120</v>
      </c>
      <c r="F613" s="225">
        <v>3889</v>
      </c>
      <c r="G613" s="225">
        <v>3898</v>
      </c>
      <c r="H613" s="226"/>
      <c r="I613" s="230">
        <v>326</v>
      </c>
      <c r="J613" s="162" t="str">
        <f t="shared" si="226"/>
        <v>BABAÇULÂNDIA</v>
      </c>
      <c r="K613" s="16">
        <v>120</v>
      </c>
      <c r="L613" s="167" t="str">
        <f>IF(K613&lt;&gt;"",VLOOKUP(K613,'Catálogo SAP'!A:F,3,FALSE),"")</f>
        <v>S.VP-01437</v>
      </c>
      <c r="M613" s="162" t="str">
        <f>IF(K613&lt;&gt;"",VLOOKUP(K613,'Catálogo SAP'!A:F,4,FALSE),"")</f>
        <v>Hr Produtiva Retroescavadeira C/Operador</v>
      </c>
      <c r="N613" s="168" t="str">
        <f>IF(K613&lt;&gt;"",VLOOKUP(K613,'Catálogo SAP'!A:F,5,FALSE),"")</f>
        <v>H</v>
      </c>
      <c r="O613" s="160">
        <v>9</v>
      </c>
      <c r="P613" s="70">
        <f t="shared" si="225"/>
        <v>9</v>
      </c>
      <c r="Q613" s="163" t="e">
        <f t="shared" si="227"/>
        <v>#VALUE!</v>
      </c>
      <c r="R613" s="44" t="str">
        <f>IF(J613&lt;&gt;"",VLOOKUP(J613,'RESUMO DR'!$B$4:$E$253,4,FALSE),"-")</f>
        <v>T-02</v>
      </c>
      <c r="S613" s="58" t="str">
        <f>IF(J613&lt;&gt;"",VLOOKUP(J613,'RESUMO DR'!$B$4:$E$253,3,FALSE),"-")</f>
        <v>ARAGUAINA</v>
      </c>
      <c r="T613" s="129"/>
      <c r="U613" s="129"/>
      <c r="V613" s="129"/>
      <c r="W613" s="128"/>
      <c r="X613" s="127"/>
      <c r="Y613" s="127"/>
      <c r="Z613" s="4"/>
    </row>
    <row r="614" spans="1:27" ht="18" customHeight="1">
      <c r="A614" s="5">
        <v>1822</v>
      </c>
      <c r="B614" s="21">
        <v>45665</v>
      </c>
      <c r="C614" s="21" t="s">
        <v>123</v>
      </c>
      <c r="D614" s="74" t="str">
        <f t="shared" si="230"/>
        <v>qua</v>
      </c>
      <c r="E614" s="169">
        <f>IF(K614&lt;&gt;"",VLOOKUP(K614,'Catálogo SAP'!$A$1:$F$245,2,FALSE),"-")</f>
        <v>120</v>
      </c>
      <c r="F614" s="225">
        <v>5890</v>
      </c>
      <c r="G614" s="225">
        <v>5899</v>
      </c>
      <c r="H614" s="226"/>
      <c r="I614" s="230">
        <v>438</v>
      </c>
      <c r="J614" s="162" t="str">
        <f t="shared" si="226"/>
        <v>Palmeirante</v>
      </c>
      <c r="K614" s="16">
        <v>120</v>
      </c>
      <c r="L614" s="167" t="str">
        <f>IF(K614&lt;&gt;"",VLOOKUP(K614,'Catálogo SAP'!A:F,3,FALSE),"")</f>
        <v>S.VP-01437</v>
      </c>
      <c r="M614" s="162" t="str">
        <f>IF(K614&lt;&gt;"",VLOOKUP(K614,'Catálogo SAP'!A:F,4,FALSE),"")</f>
        <v>Hr Produtiva Retroescavadeira C/Operador</v>
      </c>
      <c r="N614" s="168" t="str">
        <f>IF(K614&lt;&gt;"",VLOOKUP(K614,'Catálogo SAP'!A:F,5,FALSE),"")</f>
        <v>H</v>
      </c>
      <c r="O614" s="160">
        <v>9</v>
      </c>
      <c r="P614" s="70">
        <f t="shared" si="225"/>
        <v>9</v>
      </c>
      <c r="Q614" s="163" t="e">
        <f t="shared" si="227"/>
        <v>#VALUE!</v>
      </c>
      <c r="R614" s="44" t="str">
        <f>IF(J614&lt;&gt;"",VLOOKUP(J614,'RESUMO DR'!$B$4:$E$253,4,FALSE),"-")</f>
        <v>T-02</v>
      </c>
      <c r="S614" s="58" t="str">
        <f>IF(J614&lt;&gt;"",VLOOKUP(J614,'RESUMO DR'!$B$4:$E$253,3,FALSE),"-")</f>
        <v>ARAGUAINA</v>
      </c>
      <c r="T614" s="129"/>
      <c r="U614" s="129"/>
      <c r="V614" s="129"/>
      <c r="W614" s="128"/>
      <c r="X614" s="127"/>
      <c r="Y614" s="127"/>
      <c r="Z614" s="4"/>
    </row>
    <row r="615" spans="1:27" ht="18" customHeight="1">
      <c r="A615" s="5"/>
      <c r="B615" s="21">
        <v>45665</v>
      </c>
      <c r="C615" s="21" t="s">
        <v>123</v>
      </c>
      <c r="D615" s="74" t="str">
        <f t="shared" ref="D615" si="232">IF(B615="","-",TEXT(B615,"ddd"))</f>
        <v>qua</v>
      </c>
      <c r="E615" s="169" t="str">
        <f>IF(K615&lt;&gt;"",VLOOKUP(K615,'Catálogo SAP'!$A$1:$F$245,2,FALSE),"-")</f>
        <v>-</v>
      </c>
      <c r="F615" s="225"/>
      <c r="G615" s="225"/>
      <c r="H615" s="226"/>
      <c r="I615" s="230"/>
      <c r="J615" s="162" t="str">
        <f t="shared" si="226"/>
        <v/>
      </c>
      <c r="K615" s="225"/>
      <c r="L615" s="167" t="str">
        <f>IF(K615&lt;&gt;"",VLOOKUP(K615,'Catálogo SAP'!A:F,3,FALSE),"")</f>
        <v/>
      </c>
      <c r="M615" s="162" t="str">
        <f>IF(K615&lt;&gt;"",VLOOKUP(K615,'Catálogo SAP'!A:F,4,FALSE),"")</f>
        <v/>
      </c>
      <c r="N615" s="168" t="str">
        <f>IF(K615&lt;&gt;"",VLOOKUP(K615,'Catálogo SAP'!A:F,5,FALSE),"")</f>
        <v/>
      </c>
      <c r="O615" s="160"/>
      <c r="P615" s="70" t="str">
        <f t="shared" si="225"/>
        <v>-</v>
      </c>
      <c r="Q615" s="163" t="str">
        <f t="shared" ref="Q615:Q616" si="233">IF(K615="","-",N615*O615)</f>
        <v>-</v>
      </c>
      <c r="R615" s="44" t="str">
        <f>IF(J615&lt;&gt;"",VLOOKUP(J615,'RESUMO DR'!$B$4:$E$253,4,FALSE),"-")</f>
        <v>-</v>
      </c>
      <c r="S615" s="58" t="str">
        <f>IF(J615&lt;&gt;"",VLOOKUP(J615,'RESUMO DR'!$B$4:$E$253,3,FALSE),"-")</f>
        <v>-</v>
      </c>
      <c r="T615" s="129"/>
      <c r="U615" s="129"/>
      <c r="V615" s="129"/>
      <c r="W615" s="128"/>
      <c r="X615" s="127"/>
      <c r="Y615" s="127"/>
      <c r="Z615" s="4"/>
    </row>
    <row r="616" spans="1:27" ht="13.8">
      <c r="A616" s="5">
        <v>1823</v>
      </c>
      <c r="B616" s="21">
        <v>45665</v>
      </c>
      <c r="C616" s="21" t="s">
        <v>124</v>
      </c>
      <c r="D616" s="74" t="str">
        <f t="shared" si="230"/>
        <v>qua</v>
      </c>
      <c r="E616" s="169">
        <f>IF(K616&lt;&gt;"",VLOOKUP(K616,'Catálogo SAP'!$A$1:$F$245,2,FALSE),"-")</f>
        <v>400</v>
      </c>
      <c r="F616" s="225">
        <v>419667</v>
      </c>
      <c r="G616" s="225">
        <v>420218</v>
      </c>
      <c r="H616" s="226"/>
      <c r="I616" s="230">
        <v>216</v>
      </c>
      <c r="J616" s="162" t="str">
        <f t="shared" si="226"/>
        <v>AGUIARNÓPOLIS</v>
      </c>
      <c r="K616" s="16">
        <v>400</v>
      </c>
      <c r="L616" s="167" t="str">
        <f>IF(K616&lt;&gt;"",VLOOKUP(K616,'Catálogo SAP'!A:F,3,FALSE),"")</f>
        <v>S.VP-01461</v>
      </c>
      <c r="M616" s="162" t="str">
        <f>IF(K616&lt;&gt;"",VLOOKUP(K616,'Catálogo SAP'!A:F,4,FALSE),"")</f>
        <v>Km Rodado Carreta Prancha - C/ Motorista</v>
      </c>
      <c r="N616" s="168" t="str">
        <f>IF(K616&lt;&gt;"",VLOOKUP(K616,'Catálogo SAP'!A:F,5,FALSE),"")</f>
        <v>KM</v>
      </c>
      <c r="O616" s="160">
        <v>551</v>
      </c>
      <c r="P616" s="70">
        <f t="shared" si="225"/>
        <v>551</v>
      </c>
      <c r="Q616" s="163" t="e">
        <f t="shared" si="233"/>
        <v>#VALUE!</v>
      </c>
      <c r="R616" s="44" t="str">
        <f>IF(J616&lt;&gt;"",VLOOKUP(J616,'RESUMO DR'!$B$4:$E$253,4,FALSE),"-")</f>
        <v>T-02</v>
      </c>
      <c r="S616" s="58" t="str">
        <f>IF(J616&lt;&gt;"",VLOOKUP(J616,'RESUMO DR'!$B$4:$E$253,3,FALSE),"-")</f>
        <v>ARAGUAINA</v>
      </c>
      <c r="T616" s="129"/>
      <c r="U616" s="129"/>
      <c r="V616" s="129"/>
      <c r="W616" s="128"/>
      <c r="X616" s="127"/>
      <c r="Y616" s="127"/>
      <c r="Z616" s="4"/>
    </row>
    <row r="617" spans="1:27" ht="13.8">
      <c r="A617" s="5"/>
      <c r="B617" s="21">
        <v>45665</v>
      </c>
      <c r="C617" s="21" t="s">
        <v>124</v>
      </c>
      <c r="D617" s="74" t="str">
        <f t="shared" si="230"/>
        <v>qua</v>
      </c>
      <c r="E617" s="169" t="str">
        <f>IF(K617&lt;&gt;"",VLOOKUP(K617,'Catálogo SAP'!$A$1:$F$245,2,FALSE),"-")</f>
        <v>-</v>
      </c>
      <c r="F617" s="225"/>
      <c r="G617" s="225"/>
      <c r="H617" s="226"/>
      <c r="I617" s="230"/>
      <c r="J617" s="162" t="str">
        <f t="shared" si="226"/>
        <v/>
      </c>
      <c r="K617" s="16"/>
      <c r="L617" s="167" t="str">
        <f>IF(K617&lt;&gt;"",VLOOKUP(K617,'Catálogo SAP'!A:F,3,FALSE),"")</f>
        <v/>
      </c>
      <c r="M617" s="162" t="str">
        <f>IF(K617&lt;&gt;"",VLOOKUP(K617,'Catálogo SAP'!A:F,4,FALSE),"")</f>
        <v/>
      </c>
      <c r="N617" s="168" t="str">
        <f>IF(K617&lt;&gt;"",VLOOKUP(K617,'Catálogo SAP'!A:F,5,FALSE),"")</f>
        <v/>
      </c>
      <c r="O617" s="160"/>
      <c r="P617" s="70" t="str">
        <f t="shared" si="225"/>
        <v>-</v>
      </c>
      <c r="Q617" s="163" t="str">
        <f t="shared" si="227"/>
        <v>-</v>
      </c>
      <c r="R617" s="44" t="str">
        <f>IF(J617&lt;&gt;"",VLOOKUP(J617,'RESUMO DR'!$B$4:$E$253,4,FALSE),"-")</f>
        <v>-</v>
      </c>
      <c r="S617" s="58" t="str">
        <f>IF(J617&lt;&gt;"",VLOOKUP(J617,'RESUMO DR'!$B$4:$E$253,3,FALSE),"-")</f>
        <v>-</v>
      </c>
      <c r="T617" s="129"/>
      <c r="U617" s="129"/>
      <c r="V617" s="129"/>
      <c r="W617" s="128"/>
      <c r="X617" s="127"/>
      <c r="Y617" s="127"/>
      <c r="Z617" s="4"/>
    </row>
    <row r="618" spans="1:27" ht="18" customHeight="1">
      <c r="A618" s="5">
        <v>1851</v>
      </c>
      <c r="B618" s="21">
        <v>45665</v>
      </c>
      <c r="C618" s="21" t="s">
        <v>307</v>
      </c>
      <c r="D618" s="74" t="str">
        <f t="shared" si="230"/>
        <v>qua</v>
      </c>
      <c r="E618" s="169">
        <f>IF(K618&lt;&gt;"",VLOOKUP(K618,'Catálogo SAP'!$A$1:$F$245,2,FALSE),"-")</f>
        <v>200</v>
      </c>
      <c r="F618" s="225">
        <v>67066</v>
      </c>
      <c r="G618" s="225">
        <v>67362</v>
      </c>
      <c r="H618" s="226"/>
      <c r="I618" s="230">
        <v>59</v>
      </c>
      <c r="J618" s="162" t="str">
        <f t="shared" si="226"/>
        <v>JOÃO LISBOA</v>
      </c>
      <c r="K618" s="16">
        <v>200</v>
      </c>
      <c r="L618" s="167" t="str">
        <f>IF(K618&lt;&gt;"",VLOOKUP(K618,'Catálogo SAP'!A:F,3,FALSE),"")</f>
        <v>S.VP-01445</v>
      </c>
      <c r="M618" s="162" t="str">
        <f>IF(K618&lt;&gt;"",VLOOKUP(K618,'Catálogo SAP'!A:F,4,FALSE),"")</f>
        <v>Km Rodado Caminhão Basculante - C/Motorista</v>
      </c>
      <c r="N618" s="168" t="str">
        <f>IF(K618&lt;&gt;"",VLOOKUP(K618,'Catálogo SAP'!A:F,5,FALSE),"")</f>
        <v>KM</v>
      </c>
      <c r="O618" s="160">
        <v>296</v>
      </c>
      <c r="P618" s="70">
        <f t="shared" si="225"/>
        <v>296</v>
      </c>
      <c r="Q618" s="163" t="e">
        <f t="shared" si="227"/>
        <v>#VALUE!</v>
      </c>
      <c r="R618" s="44" t="str">
        <f>IF(J618&lt;&gt;"",VLOOKUP(J618,'RESUMO DR'!$B$4:$E$253,4,FALSE),"-")</f>
        <v>T-01</v>
      </c>
      <c r="S618" s="58" t="str">
        <f>IF(J618&lt;&gt;"",VLOOKUP(J618,'RESUMO DR'!$B$4:$E$253,3,FALSE),"-")</f>
        <v>IMPERATRIZ</v>
      </c>
      <c r="T618" s="129"/>
      <c r="U618" s="129"/>
      <c r="V618" s="129"/>
      <c r="W618" s="128"/>
      <c r="X618" s="127"/>
      <c r="Y618" s="127"/>
      <c r="Z618" s="4"/>
    </row>
    <row r="619" spans="1:27" ht="18" customHeight="1">
      <c r="A619" s="5">
        <v>1851</v>
      </c>
      <c r="B619" s="21">
        <v>45665</v>
      </c>
      <c r="C619" s="21" t="s">
        <v>313</v>
      </c>
      <c r="D619" s="74" t="str">
        <f t="shared" si="230"/>
        <v>qua</v>
      </c>
      <c r="E619" s="169">
        <f>IF(K619&lt;&gt;"",VLOOKUP(K619,'Catálogo SAP'!$A$1:$F$245,2,FALSE),"-")</f>
        <v>200</v>
      </c>
      <c r="F619" s="225">
        <v>62398</v>
      </c>
      <c r="G619" s="225">
        <v>62712</v>
      </c>
      <c r="H619" s="226"/>
      <c r="I619" s="230">
        <v>59</v>
      </c>
      <c r="J619" s="162" t="str">
        <f t="shared" si="226"/>
        <v>JOÃO LISBOA</v>
      </c>
      <c r="K619" s="16">
        <v>200</v>
      </c>
      <c r="L619" s="167" t="str">
        <f>IF(K619&lt;&gt;"",VLOOKUP(K619,'Catálogo SAP'!A:F,3,FALSE),"")</f>
        <v>S.VP-01445</v>
      </c>
      <c r="M619" s="162" t="str">
        <f>IF(K619&lt;&gt;"",VLOOKUP(K619,'Catálogo SAP'!A:F,4,FALSE),"")</f>
        <v>Km Rodado Caminhão Basculante - C/Motorista</v>
      </c>
      <c r="N619" s="168" t="str">
        <f>IF(K619&lt;&gt;"",VLOOKUP(K619,'Catálogo SAP'!A:F,5,FALSE),"")</f>
        <v>KM</v>
      </c>
      <c r="O619" s="160">
        <v>314</v>
      </c>
      <c r="P619" s="70">
        <f t="shared" si="225"/>
        <v>314</v>
      </c>
      <c r="Q619" s="163" t="e">
        <f t="shared" si="227"/>
        <v>#VALUE!</v>
      </c>
      <c r="R619" s="44" t="str">
        <f>IF(J619&lt;&gt;"",VLOOKUP(J619,'RESUMO DR'!$B$4:$E$253,4,FALSE),"-")</f>
        <v>T-01</v>
      </c>
      <c r="S619" s="58" t="str">
        <f>IF(J619&lt;&gt;"",VLOOKUP(J619,'RESUMO DR'!$B$4:$E$253,3,FALSE),"-")</f>
        <v>IMPERATRIZ</v>
      </c>
      <c r="T619" s="129"/>
      <c r="U619" s="129"/>
      <c r="V619" s="129"/>
      <c r="W619" s="128"/>
      <c r="X619" s="127"/>
      <c r="Y619" s="127"/>
      <c r="Z619" s="4"/>
    </row>
    <row r="620" spans="1:27" ht="18" customHeight="1">
      <c r="A620" s="5">
        <v>1813</v>
      </c>
      <c r="B620" s="21">
        <v>45665</v>
      </c>
      <c r="C620" s="21" t="s">
        <v>127</v>
      </c>
      <c r="D620" s="74" t="str">
        <f t="shared" si="230"/>
        <v>qua</v>
      </c>
      <c r="E620" s="169">
        <f>IF(K620&lt;&gt;"",VLOOKUP(K620,'Catálogo SAP'!$A$1:$F$245,2,FALSE),"-")</f>
        <v>200</v>
      </c>
      <c r="F620" s="225">
        <v>50090</v>
      </c>
      <c r="G620" s="225">
        <v>50440</v>
      </c>
      <c r="H620" s="226"/>
      <c r="I620" s="230">
        <v>216</v>
      </c>
      <c r="J620" s="162" t="str">
        <f t="shared" si="226"/>
        <v>AGUIARNÓPOLIS</v>
      </c>
      <c r="K620" s="16">
        <v>200</v>
      </c>
      <c r="L620" s="167" t="str">
        <f>IF(K620&lt;&gt;"",VLOOKUP(K620,'Catálogo SAP'!A:F,3,FALSE),"")</f>
        <v>S.VP-01445</v>
      </c>
      <c r="M620" s="162" t="str">
        <f>IF(K620&lt;&gt;"",VLOOKUP(K620,'Catálogo SAP'!A:F,4,FALSE),"")</f>
        <v>Km Rodado Caminhão Basculante - C/Motorista</v>
      </c>
      <c r="N620" s="168" t="str">
        <f>IF(K620&lt;&gt;"",VLOOKUP(K620,'Catálogo SAP'!A:F,5,FALSE),"")</f>
        <v>KM</v>
      </c>
      <c r="O620" s="160">
        <v>350</v>
      </c>
      <c r="P620" s="70">
        <f t="shared" si="225"/>
        <v>350</v>
      </c>
      <c r="Q620" s="163" t="e">
        <f t="shared" ref="Q620" si="234">IF(K620="","-",N620*O620)</f>
        <v>#VALUE!</v>
      </c>
      <c r="R620" s="44" t="str">
        <f>IF(J620&lt;&gt;"",VLOOKUP(J620,'RESUMO DR'!$B$4:$E$253,4,FALSE),"-")</f>
        <v>T-02</v>
      </c>
      <c r="S620" s="58" t="str">
        <f>IF(J620&lt;&gt;"",VLOOKUP(J620,'RESUMO DR'!$B$4:$E$253,3,FALSE),"-")</f>
        <v>ARAGUAINA</v>
      </c>
      <c r="T620" s="129"/>
      <c r="U620" s="129"/>
      <c r="V620" s="129"/>
      <c r="W620" s="128"/>
      <c r="X620" s="127"/>
      <c r="Y620" s="127"/>
      <c r="Z620" s="4"/>
    </row>
    <row r="621" spans="1:27" ht="18" customHeight="1">
      <c r="A621" s="5">
        <v>1851</v>
      </c>
      <c r="B621" s="21">
        <v>45665</v>
      </c>
      <c r="C621" s="21" t="s">
        <v>308</v>
      </c>
      <c r="D621" s="74" t="str">
        <f t="shared" si="230"/>
        <v>qua</v>
      </c>
      <c r="E621" s="169">
        <f>IF(K621&lt;&gt;"",VLOOKUP(K621,'Catálogo SAP'!$A$1:$F$245,2,FALSE),"-")</f>
        <v>200</v>
      </c>
      <c r="F621" s="225">
        <v>66756</v>
      </c>
      <c r="G621" s="225">
        <v>67040</v>
      </c>
      <c r="H621" s="226"/>
      <c r="I621" s="230">
        <v>59</v>
      </c>
      <c r="J621" s="162" t="str">
        <f t="shared" si="226"/>
        <v>JOÃO LISBOA</v>
      </c>
      <c r="K621" s="16">
        <v>200</v>
      </c>
      <c r="L621" s="167" t="str">
        <f>IF(K621&lt;&gt;"",VLOOKUP(K621,'Catálogo SAP'!A:F,3,FALSE),"")</f>
        <v>S.VP-01445</v>
      </c>
      <c r="M621" s="162" t="str">
        <f>IF(K621&lt;&gt;"",VLOOKUP(K621,'Catálogo SAP'!A:F,4,FALSE),"")</f>
        <v>Km Rodado Caminhão Basculante - C/Motorista</v>
      </c>
      <c r="N621" s="168" t="str">
        <f>IF(K621&lt;&gt;"",VLOOKUP(K621,'Catálogo SAP'!A:F,5,FALSE),"")</f>
        <v>KM</v>
      </c>
      <c r="O621" s="160">
        <v>284</v>
      </c>
      <c r="P621" s="70">
        <f t="shared" si="225"/>
        <v>284</v>
      </c>
      <c r="Q621" s="163" t="e">
        <f t="shared" si="227"/>
        <v>#VALUE!</v>
      </c>
      <c r="R621" s="44" t="str">
        <f>IF(J621&lt;&gt;"",VLOOKUP(J621,'RESUMO DR'!$B$4:$E$253,4,FALSE),"-")</f>
        <v>T-01</v>
      </c>
      <c r="S621" s="58" t="str">
        <f>IF(J621&lt;&gt;"",VLOOKUP(J621,'RESUMO DR'!$B$4:$E$253,3,FALSE),"-")</f>
        <v>IMPERATRIZ</v>
      </c>
      <c r="T621" s="129"/>
      <c r="U621" s="129"/>
      <c r="V621" s="129"/>
      <c r="W621" s="128"/>
      <c r="X621" s="127"/>
      <c r="Y621" s="127"/>
      <c r="Z621" s="4"/>
    </row>
    <row r="622" spans="1:27" ht="18" customHeight="1">
      <c r="A622" s="5">
        <v>1851</v>
      </c>
      <c r="B622" s="21">
        <v>45665</v>
      </c>
      <c r="C622" s="21" t="s">
        <v>314</v>
      </c>
      <c r="D622" s="74" t="str">
        <f t="shared" si="230"/>
        <v>qua</v>
      </c>
      <c r="E622" s="169">
        <f>IF(K622&lt;&gt;"",VLOOKUP(K622,'Catálogo SAP'!$A$1:$F$245,2,FALSE),"-")</f>
        <v>200</v>
      </c>
      <c r="F622" s="16">
        <v>66518</v>
      </c>
      <c r="G622" s="16">
        <v>66830</v>
      </c>
      <c r="H622" s="22"/>
      <c r="I622" s="133">
        <v>59</v>
      </c>
      <c r="J622" s="162" t="str">
        <f t="shared" si="226"/>
        <v>JOÃO LISBOA</v>
      </c>
      <c r="K622" s="16">
        <v>200</v>
      </c>
      <c r="L622" s="167" t="str">
        <f>IF(K622&lt;&gt;"",VLOOKUP(K622,'Catálogo SAP'!A:F,3,FALSE),"")</f>
        <v>S.VP-01445</v>
      </c>
      <c r="M622" s="162" t="str">
        <f>IF(K622&lt;&gt;"",VLOOKUP(K622,'Catálogo SAP'!A:F,4,FALSE),"")</f>
        <v>Km Rodado Caminhão Basculante - C/Motorista</v>
      </c>
      <c r="N622" s="168" t="str">
        <f>IF(K622&lt;&gt;"",VLOOKUP(K622,'Catálogo SAP'!A:F,5,FALSE),"")</f>
        <v>KM</v>
      </c>
      <c r="O622" s="160">
        <v>312</v>
      </c>
      <c r="P622" s="70">
        <f t="shared" si="225"/>
        <v>312</v>
      </c>
      <c r="Q622" s="163" t="e">
        <f>IF(K622="","-",N622*O622)</f>
        <v>#VALUE!</v>
      </c>
      <c r="R622" s="44" t="str">
        <f>IF(J622&lt;&gt;"",VLOOKUP(J622,'RESUMO DR'!$B$4:$E$253,4,FALSE),"-")</f>
        <v>T-01</v>
      </c>
      <c r="S622" s="58" t="str">
        <f>IF(J622&lt;&gt;"",VLOOKUP(J622,'RESUMO DR'!$B$4:$E$253,3,FALSE),"-")</f>
        <v>IMPERATRIZ</v>
      </c>
      <c r="T622" s="129"/>
      <c r="U622" s="129"/>
      <c r="V622" s="129"/>
      <c r="W622" s="128"/>
      <c r="X622" s="127"/>
      <c r="Y622" s="127"/>
      <c r="Z622" s="38"/>
      <c r="AA622" s="38"/>
    </row>
    <row r="623" spans="1:27" ht="18" customHeight="1">
      <c r="A623" s="5">
        <v>1822</v>
      </c>
      <c r="B623" s="21">
        <v>45665</v>
      </c>
      <c r="C623" s="21" t="s">
        <v>129</v>
      </c>
      <c r="D623" s="74" t="str">
        <f t="shared" si="230"/>
        <v>qua</v>
      </c>
      <c r="E623" s="169">
        <f>IF(K623&lt;&gt;"",VLOOKUP(K623,'Catálogo SAP'!$A$1:$F$245,2,FALSE),"-")</f>
        <v>210</v>
      </c>
      <c r="F623" s="225">
        <v>81242</v>
      </c>
      <c r="G623" s="225">
        <v>81242</v>
      </c>
      <c r="H623" s="226"/>
      <c r="I623" s="230">
        <v>438</v>
      </c>
      <c r="J623" s="162" t="str">
        <f t="shared" si="226"/>
        <v>Palmeirante</v>
      </c>
      <c r="K623" s="16">
        <v>210</v>
      </c>
      <c r="L623" s="167" t="str">
        <f>IF(K623&lt;&gt;"",VLOOKUP(K623,'Catálogo SAP'!A:F,3,FALSE),"")</f>
        <v>S.VP-01446</v>
      </c>
      <c r="M623" s="162" t="str">
        <f>IF(K623&lt;&gt;"",VLOOKUP(K623,'Catálogo SAP'!A:F,4,FALSE),"")</f>
        <v>Hora Improdutiva Basculante - C/Motorista</v>
      </c>
      <c r="N623" s="168" t="str">
        <f>IF(K623&lt;&gt;"",VLOOKUP(K623,'Catálogo SAP'!A:F,5,FALSE),"")</f>
        <v>H</v>
      </c>
      <c r="O623" s="160">
        <v>9</v>
      </c>
      <c r="P623" s="70">
        <f t="shared" si="225"/>
        <v>0</v>
      </c>
      <c r="Q623" s="163" t="e">
        <f t="shared" si="227"/>
        <v>#VALUE!</v>
      </c>
      <c r="R623" s="44" t="str">
        <f>IF(J623&lt;&gt;"",VLOOKUP(J623,'RESUMO DR'!$B$4:$E$253,4,FALSE),"-")</f>
        <v>T-02</v>
      </c>
      <c r="S623" s="58" t="str">
        <f>IF(J623&lt;&gt;"",VLOOKUP(J623,'RESUMO DR'!$B$4:$E$253,3,FALSE),"-")</f>
        <v>ARAGUAINA</v>
      </c>
      <c r="T623" s="129"/>
      <c r="U623" s="129"/>
      <c r="V623" s="129"/>
      <c r="W623" s="128"/>
      <c r="X623" s="127"/>
      <c r="Y623" s="127"/>
      <c r="Z623" s="38">
        <f>Z126+Z157+Z185+Z297+Z481+Z569+Z595</f>
        <v>614300</v>
      </c>
    </row>
    <row r="624" spans="1:27" ht="18" customHeight="1">
      <c r="A624" s="5">
        <v>1852</v>
      </c>
      <c r="B624" s="21">
        <v>45665</v>
      </c>
      <c r="C624" s="21" t="s">
        <v>298</v>
      </c>
      <c r="D624" s="74" t="str">
        <f t="shared" si="230"/>
        <v>qua</v>
      </c>
      <c r="E624" s="169">
        <f>IF(K624&lt;&gt;"",VLOOKUP(K624,'Catálogo SAP'!$A$1:$F$245,2,FALSE),"-")</f>
        <v>160</v>
      </c>
      <c r="F624" s="225">
        <v>564</v>
      </c>
      <c r="G624" s="225">
        <v>573</v>
      </c>
      <c r="H624" s="226"/>
      <c r="I624" s="230">
        <v>91</v>
      </c>
      <c r="J624" s="162" t="str">
        <f t="shared" si="226"/>
        <v>IMPERATRIZ</v>
      </c>
      <c r="K624" s="16">
        <v>160</v>
      </c>
      <c r="L624" s="167" t="str">
        <f>IF(K624&lt;&gt;"",VLOOKUP(K624,'Catálogo SAP'!A:F,3,FALSE),"")</f>
        <v>S.VP-01441</v>
      </c>
      <c r="M624" s="162" t="str">
        <f>IF(K624&lt;&gt;"",VLOOKUP(K624,'Catálogo SAP'!A:F,4,FALSE),"")</f>
        <v>Hora Produtiva Pa Carregadeira C/Operador</v>
      </c>
      <c r="N624" s="168" t="str">
        <f>IF(K624&lt;&gt;"",VLOOKUP(K624,'Catálogo SAP'!A:F,5,FALSE),"")</f>
        <v>H</v>
      </c>
      <c r="O624" s="160">
        <v>9</v>
      </c>
      <c r="P624" s="70">
        <f t="shared" si="225"/>
        <v>9</v>
      </c>
      <c r="Q624" s="163" t="e">
        <f t="shared" si="227"/>
        <v>#VALUE!</v>
      </c>
      <c r="R624" s="44" t="str">
        <f>IF(J624&lt;&gt;"",VLOOKUP(J624,'RESUMO DR'!$B$4:$E$253,4,FALSE),"-")</f>
        <v>T-01</v>
      </c>
      <c r="S624" s="58" t="str">
        <f>IF(J624&lt;&gt;"",VLOOKUP(J624,'RESUMO DR'!$B$4:$E$253,3,FALSE),"-")</f>
        <v>IMPERATRIZ</v>
      </c>
      <c r="T624" s="129"/>
      <c r="U624" s="129"/>
      <c r="V624" s="129"/>
      <c r="W624" s="128"/>
      <c r="X624" s="127"/>
      <c r="Y624" s="127"/>
      <c r="Z624" s="4"/>
    </row>
    <row r="625" spans="1:26" ht="18" customHeight="1">
      <c r="A625" s="5">
        <v>1878</v>
      </c>
      <c r="B625" s="21">
        <v>45665</v>
      </c>
      <c r="C625" s="21" t="s">
        <v>131</v>
      </c>
      <c r="D625" s="74" t="str">
        <f t="shared" si="230"/>
        <v>qua</v>
      </c>
      <c r="E625" s="169">
        <f>IF(K625&lt;&gt;"",VLOOKUP(K625,'Catálogo SAP'!$A$1:$F$245,2,FALSE),"-")</f>
        <v>520</v>
      </c>
      <c r="F625" s="225">
        <v>10628</v>
      </c>
      <c r="G625" s="16">
        <v>10638</v>
      </c>
      <c r="H625" s="226"/>
      <c r="I625" s="230">
        <v>320</v>
      </c>
      <c r="J625" s="162" t="str">
        <f t="shared" si="226"/>
        <v>BABAÇULÂNDIA</v>
      </c>
      <c r="K625" s="16">
        <v>520</v>
      </c>
      <c r="L625" s="167" t="str">
        <f>IF(K625&lt;&gt;"",VLOOKUP(K625,'Catálogo SAP'!A:F,3,FALSE),"")</f>
        <v>S.VP-01469</v>
      </c>
      <c r="M625" s="162" t="str">
        <f>IF(K625&lt;&gt;"",VLOOKUP(K625,'Catálogo SAP'!A:F,4,FALSE),"")</f>
        <v>Hora Produtiva Escavadeira Hidraulica</v>
      </c>
      <c r="N625" s="168" t="str">
        <f>IF(K625&lt;&gt;"",VLOOKUP(K625,'Catálogo SAP'!A:F,5,FALSE),"")</f>
        <v>H</v>
      </c>
      <c r="O625" s="160">
        <v>10</v>
      </c>
      <c r="P625" s="70">
        <f t="shared" si="225"/>
        <v>10</v>
      </c>
      <c r="Q625" s="163" t="e">
        <f>IF(K625="","-",N625*O625)</f>
        <v>#VALUE!</v>
      </c>
      <c r="R625" s="44" t="str">
        <f>IF(J625&lt;&gt;"",VLOOKUP(J625,'RESUMO DR'!$B$4:$E$253,4,FALSE),"-")</f>
        <v>T-02</v>
      </c>
      <c r="S625" s="58" t="str">
        <f>IF(J625&lt;&gt;"",VLOOKUP(J625,'RESUMO DR'!$B$4:$E$253,3,FALSE),"-")</f>
        <v>ARAGUAINA</v>
      </c>
      <c r="T625" s="129"/>
      <c r="U625" s="129"/>
      <c r="V625" s="129"/>
      <c r="W625" s="128"/>
      <c r="X625" s="127"/>
      <c r="Y625" s="127"/>
      <c r="Z625" s="4"/>
    </row>
    <row r="626" spans="1:26" ht="18" customHeight="1">
      <c r="A626" s="5"/>
      <c r="B626" s="21">
        <v>45665</v>
      </c>
      <c r="C626" s="21" t="s">
        <v>131</v>
      </c>
      <c r="D626" s="74" t="str">
        <f t="shared" si="230"/>
        <v>qua</v>
      </c>
      <c r="E626" s="169" t="str">
        <f>IF(K626&lt;&gt;"",VLOOKUP(K626,'Catálogo SAP'!$A$1:$F$245,2,FALSE),"-")</f>
        <v>-</v>
      </c>
      <c r="F626" s="16"/>
      <c r="G626" s="16"/>
      <c r="H626" s="22"/>
      <c r="I626" s="133"/>
      <c r="J626" s="162" t="str">
        <f t="shared" si="226"/>
        <v/>
      </c>
      <c r="K626" s="16"/>
      <c r="L626" s="167" t="str">
        <f>IF(K626&lt;&gt;"",VLOOKUP(K626,'Catálogo SAP'!A:F,3,FALSE),"")</f>
        <v/>
      </c>
      <c r="M626" s="162" t="str">
        <f>IF(K626&lt;&gt;"",VLOOKUP(K626,'Catálogo SAP'!A:F,4,FALSE),"")</f>
        <v/>
      </c>
      <c r="N626" s="168" t="str">
        <f>IF(K626&lt;&gt;"",VLOOKUP(K626,'Catálogo SAP'!A:F,5,FALSE),"")</f>
        <v/>
      </c>
      <c r="O626" s="160"/>
      <c r="P626" s="70" t="str">
        <f t="shared" si="225"/>
        <v>-</v>
      </c>
      <c r="Q626" s="163" t="str">
        <f>IF(K626="","-",N626*O626)</f>
        <v>-</v>
      </c>
      <c r="R626" s="44" t="str">
        <f>IF(J626&lt;&gt;"",VLOOKUP(J626,'RESUMO DR'!$B$4:$E$253,4,FALSE),"-")</f>
        <v>-</v>
      </c>
      <c r="S626" s="58" t="str">
        <f>IF(J626&lt;&gt;"",VLOOKUP(J626,'RESUMO DR'!$B$4:$E$253,3,FALSE),"-")</f>
        <v>-</v>
      </c>
      <c r="T626" s="129"/>
      <c r="U626" s="129"/>
      <c r="V626" s="129"/>
      <c r="W626" s="128"/>
      <c r="X626" s="127"/>
      <c r="Y626" s="127"/>
      <c r="Z626" s="4"/>
    </row>
    <row r="627" spans="1:26" ht="18" customHeight="1">
      <c r="A627" s="5">
        <v>1813</v>
      </c>
      <c r="B627" s="21">
        <v>45665</v>
      </c>
      <c r="C627" s="21" t="s">
        <v>311</v>
      </c>
      <c r="D627" s="74" t="str">
        <f t="shared" si="230"/>
        <v>qua</v>
      </c>
      <c r="E627" s="169">
        <f>IF(K627&lt;&gt;"",VLOOKUP(K627,'Catálogo SAP'!$A$1:$F$245,2,FALSE),"-")</f>
        <v>130</v>
      </c>
      <c r="F627" s="16">
        <v>1205</v>
      </c>
      <c r="G627" s="16">
        <v>1205</v>
      </c>
      <c r="H627" s="22"/>
      <c r="I627" s="133">
        <v>216</v>
      </c>
      <c r="J627" s="162" t="str">
        <f t="shared" si="226"/>
        <v>AGUIARNÓPOLIS</v>
      </c>
      <c r="K627" s="16">
        <v>130</v>
      </c>
      <c r="L627" s="167" t="str">
        <f>IF(K627&lt;&gt;"",VLOOKUP(K627,'Catálogo SAP'!A:F,3,FALSE),"")</f>
        <v>S.VP-01438</v>
      </c>
      <c r="M627" s="162" t="str">
        <f>IF(K627&lt;&gt;"",VLOOKUP(K627,'Catálogo SAP'!A:F,4,FALSE),"")</f>
        <v>Hr Improdutiva Retroescavadeira C/Operador</v>
      </c>
      <c r="N627" s="168" t="str">
        <f>IF(K627&lt;&gt;"",VLOOKUP(K627,'Catálogo SAP'!A:F,5,FALSE),"")</f>
        <v>H</v>
      </c>
      <c r="O627" s="160">
        <v>9</v>
      </c>
      <c r="P627" s="70">
        <f t="shared" si="225"/>
        <v>0</v>
      </c>
      <c r="Q627" s="163" t="e">
        <f t="shared" si="227"/>
        <v>#VALUE!</v>
      </c>
      <c r="R627" s="44" t="str">
        <f>IF(J627&lt;&gt;"",VLOOKUP(J627,'RESUMO DR'!$B$4:$E$253,4,FALSE),"-")</f>
        <v>T-02</v>
      </c>
      <c r="S627" s="58" t="str">
        <f>IF(J627&lt;&gt;"",VLOOKUP(J627,'RESUMO DR'!$B$4:$E$253,3,FALSE),"-")</f>
        <v>ARAGUAINA</v>
      </c>
      <c r="T627" s="129"/>
      <c r="U627" s="129"/>
      <c r="V627" s="129"/>
      <c r="W627" s="128"/>
      <c r="X627" s="127"/>
      <c r="Y627" s="127"/>
      <c r="Z627" s="4"/>
    </row>
    <row r="628" spans="1:26" ht="18" customHeight="1">
      <c r="A628" s="5"/>
      <c r="B628" s="21">
        <v>45665</v>
      </c>
      <c r="C628" s="21" t="s">
        <v>311</v>
      </c>
      <c r="D628" s="74" t="str">
        <f t="shared" si="230"/>
        <v>qua</v>
      </c>
      <c r="E628" s="169" t="str">
        <f>IF(K628&lt;&gt;"",VLOOKUP(K628,'Catálogo SAP'!$A$1:$F$245,2,FALSE),"-")</f>
        <v>-</v>
      </c>
      <c r="F628" s="16"/>
      <c r="G628" s="16"/>
      <c r="H628" s="226"/>
      <c r="I628" s="230"/>
      <c r="J628" s="162" t="str">
        <f t="shared" si="226"/>
        <v/>
      </c>
      <c r="K628" s="16"/>
      <c r="L628" s="167" t="str">
        <f>IF(K628&lt;&gt;"",VLOOKUP(K628,'Catálogo SAP'!A:F,3,FALSE),"")</f>
        <v/>
      </c>
      <c r="M628" s="162" t="str">
        <f>IF(K628&lt;&gt;"",VLOOKUP(K628,'Catálogo SAP'!A:F,4,FALSE),"")</f>
        <v/>
      </c>
      <c r="N628" s="168" t="str">
        <f>IF(K628&lt;&gt;"",VLOOKUP(K628,'Catálogo SAP'!A:F,5,FALSE),"")</f>
        <v/>
      </c>
      <c r="O628" s="160"/>
      <c r="P628" s="70" t="str">
        <f t="shared" si="225"/>
        <v>-</v>
      </c>
      <c r="Q628" s="163" t="str">
        <f t="shared" si="227"/>
        <v>-</v>
      </c>
      <c r="R628" s="44" t="str">
        <f>IF(J628&lt;&gt;"",VLOOKUP(J628,'RESUMO DR'!$B$4:$E$253,4,FALSE),"-")</f>
        <v>-</v>
      </c>
      <c r="S628" s="58" t="str">
        <f>IF(J628&lt;&gt;"",VLOOKUP(J628,'RESUMO DR'!$B$4:$E$253,3,FALSE),"-")</f>
        <v>-</v>
      </c>
      <c r="T628" s="129"/>
      <c r="U628" s="129"/>
      <c r="V628" s="129"/>
      <c r="W628" s="128"/>
      <c r="X628" s="127"/>
      <c r="Y628" s="127"/>
      <c r="Z628" s="4"/>
    </row>
    <row r="629" spans="1:26" ht="18" customHeight="1">
      <c r="A629" s="5">
        <v>1822</v>
      </c>
      <c r="B629" s="21">
        <v>45665</v>
      </c>
      <c r="C629" s="21" t="s">
        <v>305</v>
      </c>
      <c r="D629" s="74" t="str">
        <f t="shared" si="230"/>
        <v>qua</v>
      </c>
      <c r="E629" s="169">
        <f>IF(K629&lt;&gt;"",VLOOKUP(K629,'Catálogo SAP'!$A$1:$F$245,2,FALSE),"-")</f>
        <v>290</v>
      </c>
      <c r="F629" s="225">
        <v>254</v>
      </c>
      <c r="G629" s="16">
        <v>254</v>
      </c>
      <c r="H629" s="226"/>
      <c r="I629" s="230">
        <v>438</v>
      </c>
      <c r="J629" s="162" t="str">
        <f t="shared" si="226"/>
        <v>Palmeirante</v>
      </c>
      <c r="K629" s="16">
        <v>290</v>
      </c>
      <c r="L629" s="167" t="str">
        <f>IF(K629&lt;&gt;"",VLOOKUP(K629,'Catálogo SAP'!A:F,3,FALSE),"")</f>
        <v>S.VP-01454</v>
      </c>
      <c r="M629" s="162" t="str">
        <f>IF(K629&lt;&gt;"",VLOOKUP(K629,'Catálogo SAP'!A:F,4,FALSE),"")</f>
        <v>Hora Improdutiva Motoniveladora C/Operador</v>
      </c>
      <c r="N629" s="168" t="str">
        <f>IF(K629&lt;&gt;"",VLOOKUP(K629,'Catálogo SAP'!A:F,5,FALSE),"")</f>
        <v>H</v>
      </c>
      <c r="O629" s="160">
        <v>9</v>
      </c>
      <c r="P629" s="70">
        <f t="shared" si="225"/>
        <v>0</v>
      </c>
      <c r="Q629" s="163" t="e">
        <f t="shared" si="227"/>
        <v>#VALUE!</v>
      </c>
      <c r="R629" s="44" t="str">
        <f>IF(J629&lt;&gt;"",VLOOKUP(J629,'RESUMO DR'!$B$4:$E$253,4,FALSE),"-")</f>
        <v>T-02</v>
      </c>
      <c r="S629" s="58" t="str">
        <f>IF(J629&lt;&gt;"",VLOOKUP(J629,'RESUMO DR'!$B$4:$E$253,3,FALSE),"-")</f>
        <v>ARAGUAINA</v>
      </c>
      <c r="T629" s="129"/>
      <c r="U629" s="129"/>
      <c r="V629" s="129"/>
      <c r="W629" s="128"/>
      <c r="X629" s="127"/>
      <c r="Y629" s="127"/>
      <c r="Z629" s="4"/>
    </row>
    <row r="630" spans="1:26" ht="18" customHeight="1">
      <c r="A630" s="5"/>
      <c r="B630" s="21">
        <v>45665</v>
      </c>
      <c r="C630" s="21" t="s">
        <v>305</v>
      </c>
      <c r="D630" s="74" t="str">
        <f t="shared" si="230"/>
        <v>qua</v>
      </c>
      <c r="E630" s="169" t="str">
        <f>IF(K630&lt;&gt;"",VLOOKUP(K630,'Catálogo SAP'!$A$1:$F$245,2,FALSE),"-")</f>
        <v>-</v>
      </c>
      <c r="F630" s="16"/>
      <c r="G630" s="16"/>
      <c r="H630" s="22"/>
      <c r="I630" s="133"/>
      <c r="J630" s="162" t="str">
        <f t="shared" si="226"/>
        <v/>
      </c>
      <c r="K630" s="16"/>
      <c r="L630" s="167" t="str">
        <f>IF(K630&lt;&gt;"",VLOOKUP(K630,'Catálogo SAP'!A:F,3,FALSE),"")</f>
        <v/>
      </c>
      <c r="M630" s="162" t="str">
        <f>IF(K630&lt;&gt;"",VLOOKUP(K630,'Catálogo SAP'!A:F,4,FALSE),"")</f>
        <v/>
      </c>
      <c r="N630" s="168" t="str">
        <f>IF(K630&lt;&gt;"",VLOOKUP(K630,'Catálogo SAP'!A:F,5,FALSE),"")</f>
        <v/>
      </c>
      <c r="O630" s="160"/>
      <c r="P630" s="70" t="str">
        <f t="shared" si="225"/>
        <v>-</v>
      </c>
      <c r="Q630" s="163" t="str">
        <f t="shared" si="227"/>
        <v>-</v>
      </c>
      <c r="R630" s="44" t="str">
        <f>IF(J630&lt;&gt;"",VLOOKUP(J630,'RESUMO DR'!$B$4:$E$253,4,FALSE),"-")</f>
        <v>-</v>
      </c>
      <c r="S630" s="58" t="str">
        <f>IF(J630&lt;&gt;"",VLOOKUP(J630,'RESUMO DR'!$B$4:$E$253,3,FALSE),"-")</f>
        <v>-</v>
      </c>
      <c r="T630" s="129"/>
      <c r="U630" s="129"/>
      <c r="V630" s="129"/>
      <c r="W630" s="128"/>
      <c r="X630" s="127"/>
      <c r="Y630" s="127"/>
      <c r="Z630" s="4"/>
    </row>
    <row r="631" spans="1:26" ht="18" customHeight="1">
      <c r="A631" s="5">
        <v>1824</v>
      </c>
      <c r="B631" s="21">
        <v>45665</v>
      </c>
      <c r="C631" s="21" t="s">
        <v>302</v>
      </c>
      <c r="D631" s="74" t="str">
        <f t="shared" si="230"/>
        <v>qua</v>
      </c>
      <c r="E631" s="169">
        <f>IF(K631&lt;&gt;"",VLOOKUP(K631,'Catálogo SAP'!$A$1:$F$245,2,FALSE),"-")</f>
        <v>160</v>
      </c>
      <c r="F631" s="16">
        <v>137</v>
      </c>
      <c r="G631" s="16">
        <v>142</v>
      </c>
      <c r="H631" s="22"/>
      <c r="I631" s="133">
        <v>563</v>
      </c>
      <c r="J631" s="162" t="str">
        <f t="shared" si="226"/>
        <v>Tupirama</v>
      </c>
      <c r="K631" s="16">
        <v>160</v>
      </c>
      <c r="L631" s="167" t="str">
        <f>IF(K631&lt;&gt;"",VLOOKUP(K631,'Catálogo SAP'!A:F,3,FALSE),"")</f>
        <v>S.VP-01441</v>
      </c>
      <c r="M631" s="162" t="str">
        <f>IF(K631&lt;&gt;"",VLOOKUP(K631,'Catálogo SAP'!A:F,4,FALSE),"")</f>
        <v>Hora Produtiva Pa Carregadeira C/Operador</v>
      </c>
      <c r="N631" s="168" t="str">
        <f>IF(K631&lt;&gt;"",VLOOKUP(K631,'Catálogo SAP'!A:F,5,FALSE),"")</f>
        <v>H</v>
      </c>
      <c r="O631" s="160">
        <v>5</v>
      </c>
      <c r="P631" s="70">
        <f t="shared" si="225"/>
        <v>5</v>
      </c>
      <c r="Q631" s="163" t="e">
        <f>IF(K631="","-",N631*O631)</f>
        <v>#VALUE!</v>
      </c>
      <c r="R631" s="44" t="str">
        <f>IF(J631&lt;&gt;"",VLOOKUP(J631,'RESUMO DR'!$B$4:$E$253,4,FALSE),"-")</f>
        <v>T-03</v>
      </c>
      <c r="S631" s="58" t="str">
        <f>IF(J631&lt;&gt;"",VLOOKUP(J631,'RESUMO DR'!$B$4:$E$253,3,FALSE),"-")</f>
        <v>PALMAS</v>
      </c>
      <c r="T631" s="129"/>
      <c r="U631" s="129"/>
      <c r="V631" s="129"/>
      <c r="W631" s="128"/>
      <c r="X631" s="127"/>
      <c r="Y631" s="127"/>
      <c r="Z631" s="4"/>
    </row>
    <row r="632" spans="1:26" ht="18" customHeight="1">
      <c r="A632" s="5">
        <v>1824</v>
      </c>
      <c r="B632" s="21">
        <v>45665</v>
      </c>
      <c r="C632" s="21" t="s">
        <v>302</v>
      </c>
      <c r="D632" s="74" t="str">
        <f t="shared" si="230"/>
        <v>qua</v>
      </c>
      <c r="E632" s="169">
        <f>IF(K632&lt;&gt;"",VLOOKUP(K632,'Catálogo SAP'!$A$1:$F$245,2,FALSE),"-")</f>
        <v>170</v>
      </c>
      <c r="F632" s="16">
        <v>142</v>
      </c>
      <c r="G632" s="16">
        <v>142</v>
      </c>
      <c r="H632" s="22"/>
      <c r="I632" s="133">
        <v>563</v>
      </c>
      <c r="J632" s="162" t="str">
        <f t="shared" si="226"/>
        <v>Tupirama</v>
      </c>
      <c r="K632" s="16">
        <v>170</v>
      </c>
      <c r="L632" s="167" t="str">
        <f>IF(K632&lt;&gt;"",VLOOKUP(K632,'Catálogo SAP'!A:F,3,FALSE),"")</f>
        <v>S.VP-01442</v>
      </c>
      <c r="M632" s="162" t="str">
        <f>IF(K632&lt;&gt;"",VLOOKUP(K632,'Catálogo SAP'!A:F,4,FALSE),"")</f>
        <v>Hora Improdutiva Pa Carregadeira C/Operador</v>
      </c>
      <c r="N632" s="168" t="str">
        <f>IF(K632&lt;&gt;"",VLOOKUP(K632,'Catálogo SAP'!A:F,5,FALSE),"")</f>
        <v>H</v>
      </c>
      <c r="O632" s="160">
        <v>4</v>
      </c>
      <c r="P632" s="70">
        <f t="shared" si="225"/>
        <v>0</v>
      </c>
      <c r="Q632" s="163" t="e">
        <f t="shared" si="227"/>
        <v>#VALUE!</v>
      </c>
      <c r="R632" s="44" t="str">
        <f>IF(J632&lt;&gt;"",VLOOKUP(J632,'RESUMO DR'!$B$4:$E$253,4,FALSE),"-")</f>
        <v>T-03</v>
      </c>
      <c r="S632" s="58" t="str">
        <f>IF(J632&lt;&gt;"",VLOOKUP(J632,'RESUMO DR'!$B$4:$E$253,3,FALSE),"-")</f>
        <v>PALMAS</v>
      </c>
      <c r="T632" s="129"/>
      <c r="U632" s="129"/>
      <c r="V632" s="129"/>
      <c r="W632" s="128"/>
      <c r="X632" s="127"/>
      <c r="Y632" s="127"/>
      <c r="Z632" s="4"/>
    </row>
    <row r="633" spans="1:26" ht="18" customHeight="1">
      <c r="A633" s="5">
        <v>1852</v>
      </c>
      <c r="B633" s="21">
        <v>45665</v>
      </c>
      <c r="C633" s="21" t="s">
        <v>134</v>
      </c>
      <c r="D633" s="74" t="str">
        <f t="shared" si="230"/>
        <v>qua</v>
      </c>
      <c r="E633" s="169">
        <f>IF(K633&lt;&gt;"",VLOOKUP(K633,'Catálogo SAP'!$A$1:$F$245,2,FALSE),"-")</f>
        <v>480</v>
      </c>
      <c r="F633" s="225">
        <v>3412</v>
      </c>
      <c r="G633" s="225">
        <v>3419</v>
      </c>
      <c r="H633" s="226"/>
      <c r="I633" s="230">
        <v>91</v>
      </c>
      <c r="J633" s="162" t="str">
        <f t="shared" si="226"/>
        <v>IMPERATRIZ</v>
      </c>
      <c r="K633" s="16">
        <v>480</v>
      </c>
      <c r="L633" s="167" t="str">
        <f>IF(K633&lt;&gt;"",VLOOKUP(K633,'Catálogo SAP'!A:F,3,FALSE),"")</f>
        <v>S.VP-01465</v>
      </c>
      <c r="M633" s="162" t="str">
        <f>IF(K633&lt;&gt;"",VLOOKUP(K633,'Catálogo SAP'!A:F,4,FALSE),"")</f>
        <v>Hora Produtiva Miniescavadeira Hidraulica C/ Operador</v>
      </c>
      <c r="N633" s="168" t="str">
        <f>IF(K633&lt;&gt;"",VLOOKUP(K633,'Catálogo SAP'!A:F,5,FALSE),"")</f>
        <v>H</v>
      </c>
      <c r="O633" s="160">
        <v>7</v>
      </c>
      <c r="P633" s="70">
        <f t="shared" si="225"/>
        <v>7</v>
      </c>
      <c r="Q633" s="163" t="e">
        <f t="shared" ref="Q633" si="235">IF(K633="","-",N633*O633)</f>
        <v>#VALUE!</v>
      </c>
      <c r="R633" s="44" t="str">
        <f>IF(J633&lt;&gt;"",VLOOKUP(J633,'RESUMO DR'!$B$4:$E$253,4,FALSE),"-")</f>
        <v>T-01</v>
      </c>
      <c r="S633" s="58" t="str">
        <f>IF(J633&lt;&gt;"",VLOOKUP(J633,'RESUMO DR'!$B$4:$E$253,3,FALSE),"-")</f>
        <v>IMPERATRIZ</v>
      </c>
      <c r="T633" s="129"/>
      <c r="U633" s="129"/>
      <c r="V633" s="129"/>
      <c r="W633" s="128"/>
      <c r="X633" s="127"/>
      <c r="Y633" s="127"/>
      <c r="Z633" s="4"/>
    </row>
    <row r="634" spans="1:26" ht="18" customHeight="1">
      <c r="A634" s="5">
        <v>1852</v>
      </c>
      <c r="B634" s="21">
        <v>45665</v>
      </c>
      <c r="C634" s="21" t="s">
        <v>134</v>
      </c>
      <c r="D634" s="74" t="str">
        <f t="shared" si="230"/>
        <v>qua</v>
      </c>
      <c r="E634" s="169">
        <f>IF(K634&lt;&gt;"",VLOOKUP(K634,'Catálogo SAP'!$A$1:$F$245,2,FALSE),"-")</f>
        <v>490</v>
      </c>
      <c r="F634" s="225">
        <v>3419</v>
      </c>
      <c r="G634" s="225">
        <v>3419</v>
      </c>
      <c r="H634" s="226"/>
      <c r="I634" s="230">
        <v>91</v>
      </c>
      <c r="J634" s="162" t="str">
        <f t="shared" si="226"/>
        <v>IMPERATRIZ</v>
      </c>
      <c r="K634" s="16">
        <v>490</v>
      </c>
      <c r="L634" s="167" t="str">
        <f>IF(K634&lt;&gt;"",VLOOKUP(K634,'Catálogo SAP'!A:F,3,FALSE),"")</f>
        <v>S.VP-01466</v>
      </c>
      <c r="M634" s="162" t="str">
        <f>IF(K634&lt;&gt;"",VLOOKUP(K634,'Catálogo SAP'!A:F,4,FALSE),"")</f>
        <v>Hora Improdutiva Miniescavadeira Hidraulica C/ Operador</v>
      </c>
      <c r="N634" s="168" t="str">
        <f>IF(K634&lt;&gt;"",VLOOKUP(K634,'Catálogo SAP'!A:F,5,FALSE),"")</f>
        <v>H</v>
      </c>
      <c r="O634" s="160">
        <v>2</v>
      </c>
      <c r="P634" s="70">
        <f t="shared" si="225"/>
        <v>0</v>
      </c>
      <c r="Q634" s="163" t="e">
        <f t="shared" ref="Q634:Q639" si="236">IF(K634="","-",N634*O634)</f>
        <v>#VALUE!</v>
      </c>
      <c r="R634" s="44" t="str">
        <f>IF(J634&lt;&gt;"",VLOOKUP(J634,'RESUMO DR'!$B$4:$E$253,4,FALSE),"-")</f>
        <v>T-01</v>
      </c>
      <c r="S634" s="58" t="str">
        <f>IF(J634&lt;&gt;"",VLOOKUP(J634,'RESUMO DR'!$B$4:$E$253,3,FALSE),"-")</f>
        <v>IMPERATRIZ</v>
      </c>
      <c r="T634" s="129"/>
      <c r="U634" s="129"/>
      <c r="V634" s="129"/>
      <c r="W634" s="128"/>
      <c r="X634" s="127"/>
      <c r="Y634" s="127"/>
      <c r="Z634" s="4"/>
    </row>
    <row r="635" spans="1:26" ht="18" customHeight="1">
      <c r="A635" s="5">
        <v>1851</v>
      </c>
      <c r="B635" s="21">
        <v>45665</v>
      </c>
      <c r="C635" s="21" t="s">
        <v>315</v>
      </c>
      <c r="D635" s="74" t="str">
        <f t="shared" si="230"/>
        <v>qua</v>
      </c>
      <c r="E635" s="169">
        <f>IF(K635&lt;&gt;"",VLOOKUP(K635,'Catálogo SAP'!$A$1:$F$245,2,FALSE),"-")</f>
        <v>160</v>
      </c>
      <c r="F635" s="16">
        <v>1407</v>
      </c>
      <c r="G635" s="225">
        <v>1416</v>
      </c>
      <c r="H635" s="22"/>
      <c r="I635" s="133">
        <v>54</v>
      </c>
      <c r="J635" s="162" t="str">
        <f t="shared" si="226"/>
        <v>JOÃO LISBOA</v>
      </c>
      <c r="K635" s="16">
        <v>160</v>
      </c>
      <c r="L635" s="167" t="str">
        <f>IF(K635&lt;&gt;"",VLOOKUP(K635,'Catálogo SAP'!A:F,3,FALSE),"")</f>
        <v>S.VP-01441</v>
      </c>
      <c r="M635" s="162" t="str">
        <f>IF(K635&lt;&gt;"",VLOOKUP(K635,'Catálogo SAP'!A:F,4,FALSE),"")</f>
        <v>Hora Produtiva Pa Carregadeira C/Operador</v>
      </c>
      <c r="N635" s="168" t="str">
        <f>IF(K635&lt;&gt;"",VLOOKUP(K635,'Catálogo SAP'!A:F,5,FALSE),"")</f>
        <v>H</v>
      </c>
      <c r="O635" s="160">
        <v>9</v>
      </c>
      <c r="P635" s="70">
        <f t="shared" si="225"/>
        <v>9</v>
      </c>
      <c r="Q635" s="163" t="e">
        <f>IF(K635="","-",N635*O635)</f>
        <v>#VALUE!</v>
      </c>
      <c r="R635" s="44" t="str">
        <f>IF(J635&lt;&gt;"",VLOOKUP(J635,'RESUMO DR'!$B$4:$E$253,4,FALSE),"-")</f>
        <v>T-01</v>
      </c>
      <c r="S635" s="58" t="str">
        <f>IF(J635&lt;&gt;"",VLOOKUP(J635,'RESUMO DR'!$B$4:$E$253,3,FALSE),"-")</f>
        <v>IMPERATRIZ</v>
      </c>
      <c r="T635" s="129"/>
      <c r="U635" s="129"/>
      <c r="V635" s="129"/>
      <c r="W635" s="128"/>
      <c r="X635" s="127"/>
      <c r="Y635" s="127"/>
      <c r="Z635" s="4"/>
    </row>
    <row r="636" spans="1:26" ht="18" customHeight="1">
      <c r="A636" s="5"/>
      <c r="B636" s="21">
        <v>45665</v>
      </c>
      <c r="C636" s="21" t="s">
        <v>315</v>
      </c>
      <c r="D636" s="74" t="str">
        <f t="shared" ref="D636" si="237">IF(B636="","-",TEXT(B636,"ddd"))</f>
        <v>qua</v>
      </c>
      <c r="E636" s="169" t="str">
        <f>IF(K636&lt;&gt;"",VLOOKUP(K636,'Catálogo SAP'!$A$1:$F$245,2,FALSE),"-")</f>
        <v>-</v>
      </c>
      <c r="F636" s="225"/>
      <c r="G636" s="225"/>
      <c r="H636" s="226"/>
      <c r="I636" s="227"/>
      <c r="J636" s="162" t="str">
        <f t="shared" si="226"/>
        <v/>
      </c>
      <c r="K636" s="225"/>
      <c r="L636" s="167" t="str">
        <f>IF(K636&lt;&gt;"",VLOOKUP(K636,'Catálogo SAP'!A:F,3,FALSE),"")</f>
        <v/>
      </c>
      <c r="M636" s="162" t="str">
        <f>IF(K636&lt;&gt;"",VLOOKUP(K636,'Catálogo SAP'!A:F,4,FALSE),"")</f>
        <v/>
      </c>
      <c r="N636" s="168" t="str">
        <f>IF(K636&lt;&gt;"",VLOOKUP(K636,'Catálogo SAP'!A:F,5,FALSE),"")</f>
        <v/>
      </c>
      <c r="O636" s="160"/>
      <c r="P636" s="70" t="str">
        <f t="shared" si="225"/>
        <v>-</v>
      </c>
      <c r="Q636" s="163" t="str">
        <f>IF(K636="","-",N636*O636)</f>
        <v>-</v>
      </c>
      <c r="R636" s="44" t="str">
        <f>IF(J636&lt;&gt;"",VLOOKUP(J636,'RESUMO DR'!$B$4:$E$253,4,FALSE),"-")</f>
        <v>-</v>
      </c>
      <c r="S636" s="58" t="str">
        <f>IF(J636&lt;&gt;"",VLOOKUP(J636,'RESUMO DR'!$B$4:$E$253,3,FALSE),"-")</f>
        <v>-</v>
      </c>
      <c r="T636" s="129"/>
      <c r="U636" s="129"/>
      <c r="V636" s="129"/>
      <c r="W636" s="128"/>
      <c r="X636" s="127"/>
      <c r="Y636" s="127"/>
      <c r="Z636" s="4"/>
    </row>
    <row r="637" spans="1:26" ht="18" customHeight="1">
      <c r="A637" s="5">
        <v>1822</v>
      </c>
      <c r="B637" s="21">
        <v>45665</v>
      </c>
      <c r="C637" s="21" t="s">
        <v>306</v>
      </c>
      <c r="D637" s="74" t="str">
        <f t="shared" si="230"/>
        <v>qua</v>
      </c>
      <c r="E637" s="169">
        <f>IF(K637&lt;&gt;"",VLOOKUP(K637,'Catálogo SAP'!$A$1:$F$245,2,FALSE),"-")</f>
        <v>290</v>
      </c>
      <c r="F637" s="225">
        <v>537</v>
      </c>
      <c r="G637" s="16">
        <v>537</v>
      </c>
      <c r="H637" s="226"/>
      <c r="I637" s="230">
        <v>438</v>
      </c>
      <c r="J637" s="162" t="str">
        <f t="shared" si="226"/>
        <v>Palmeirante</v>
      </c>
      <c r="K637" s="16">
        <v>290</v>
      </c>
      <c r="L637" s="167" t="str">
        <f>IF(K637&lt;&gt;"",VLOOKUP(K637,'Catálogo SAP'!A:F,3,FALSE),"")</f>
        <v>S.VP-01454</v>
      </c>
      <c r="M637" s="162" t="str">
        <f>IF(K637&lt;&gt;"",VLOOKUP(K637,'Catálogo SAP'!A:F,4,FALSE),"")</f>
        <v>Hora Improdutiva Motoniveladora C/Operador</v>
      </c>
      <c r="N637" s="168" t="str">
        <f>IF(K637&lt;&gt;"",VLOOKUP(K637,'Catálogo SAP'!A:F,5,FALSE),"")</f>
        <v>H</v>
      </c>
      <c r="O637" s="160">
        <v>9</v>
      </c>
      <c r="P637" s="70">
        <f t="shared" si="225"/>
        <v>0</v>
      </c>
      <c r="Q637" s="163" t="e">
        <f t="shared" si="236"/>
        <v>#VALUE!</v>
      </c>
      <c r="R637" s="44" t="str">
        <f>IF(J637&lt;&gt;"",VLOOKUP(J637,'RESUMO DR'!$B$4:$E$253,4,FALSE),"-")</f>
        <v>T-02</v>
      </c>
      <c r="S637" s="58" t="str">
        <f>IF(J637&lt;&gt;"",VLOOKUP(J637,'RESUMO DR'!$B$4:$E$253,3,FALSE),"-")</f>
        <v>ARAGUAINA</v>
      </c>
      <c r="T637" s="129"/>
      <c r="U637" s="129"/>
      <c r="V637" s="129"/>
      <c r="W637" s="128"/>
      <c r="X637" s="127"/>
      <c r="Y637" s="127"/>
      <c r="Z637" s="4"/>
    </row>
    <row r="638" spans="1:26" ht="18" customHeight="1">
      <c r="A638" s="5"/>
      <c r="B638" s="21">
        <v>45665</v>
      </c>
      <c r="C638" s="21" t="s">
        <v>306</v>
      </c>
      <c r="D638" s="74" t="str">
        <f t="shared" si="230"/>
        <v>qua</v>
      </c>
      <c r="E638" s="169" t="str">
        <f>IF(K638&lt;&gt;"",VLOOKUP(K638,'Catálogo SAP'!$A$1:$F$245,2,FALSE),"-")</f>
        <v>-</v>
      </c>
      <c r="F638" s="16"/>
      <c r="G638" s="16"/>
      <c r="H638" s="22"/>
      <c r="I638" s="133"/>
      <c r="J638" s="162" t="str">
        <f t="shared" si="226"/>
        <v/>
      </c>
      <c r="K638" s="16"/>
      <c r="L638" s="167" t="str">
        <f>IF(K638&lt;&gt;"",VLOOKUP(K638,'Catálogo SAP'!A:F,3,FALSE),"")</f>
        <v/>
      </c>
      <c r="M638" s="162" t="str">
        <f>IF(K638&lt;&gt;"",VLOOKUP(K638,'Catálogo SAP'!A:F,4,FALSE),"")</f>
        <v/>
      </c>
      <c r="N638" s="168" t="str">
        <f>IF(K638&lt;&gt;"",VLOOKUP(K638,'Catálogo SAP'!A:F,5,FALSE),"")</f>
        <v/>
      </c>
      <c r="O638" s="160"/>
      <c r="P638" s="70" t="str">
        <f t="shared" si="225"/>
        <v>-</v>
      </c>
      <c r="Q638" s="163" t="str">
        <f t="shared" si="236"/>
        <v>-</v>
      </c>
      <c r="R638" s="44" t="str">
        <f>IF(J638&lt;&gt;"",VLOOKUP(J638,'RESUMO DR'!$B$4:$E$253,4,FALSE),"-")</f>
        <v>-</v>
      </c>
      <c r="S638" s="58" t="str">
        <f>IF(J638&lt;&gt;"",VLOOKUP(J638,'RESUMO DR'!$B$4:$E$253,3,FALSE),"-")</f>
        <v>-</v>
      </c>
      <c r="T638" s="129"/>
      <c r="U638" s="129"/>
      <c r="V638" s="129"/>
      <c r="W638" s="128"/>
      <c r="X638" s="127"/>
      <c r="Y638" s="127"/>
      <c r="Z638" s="4"/>
    </row>
    <row r="639" spans="1:26" ht="18" customHeight="1">
      <c r="A639" s="5">
        <v>1825</v>
      </c>
      <c r="B639" s="21">
        <v>45665</v>
      </c>
      <c r="C639" s="21" t="s">
        <v>310</v>
      </c>
      <c r="D639" s="74" t="str">
        <f t="shared" si="230"/>
        <v>qua</v>
      </c>
      <c r="E639" s="169">
        <f>IF(K639&lt;&gt;"",VLOOKUP(K639,'Catálogo SAP'!$A$1:$F$245,2,FALSE),"-")</f>
        <v>120</v>
      </c>
      <c r="F639" s="16">
        <v>159</v>
      </c>
      <c r="G639" s="16">
        <v>163</v>
      </c>
      <c r="H639" s="22"/>
      <c r="I639" s="133">
        <v>453</v>
      </c>
      <c r="J639" s="162" t="str">
        <f t="shared" si="226"/>
        <v>Palmeirante</v>
      </c>
      <c r="K639" s="16">
        <v>120</v>
      </c>
      <c r="L639" s="167" t="str">
        <f>IF(K639&lt;&gt;"",VLOOKUP(K639,'Catálogo SAP'!A:F,3,FALSE),"")</f>
        <v>S.VP-01437</v>
      </c>
      <c r="M639" s="162" t="str">
        <f>IF(K639&lt;&gt;"",VLOOKUP(K639,'Catálogo SAP'!A:F,4,FALSE),"")</f>
        <v>Hr Produtiva Retroescavadeira C/Operador</v>
      </c>
      <c r="N639" s="168" t="str">
        <f>IF(K639&lt;&gt;"",VLOOKUP(K639,'Catálogo SAP'!A:F,5,FALSE),"")</f>
        <v>H</v>
      </c>
      <c r="O639" s="160">
        <v>4</v>
      </c>
      <c r="P639" s="70">
        <f t="shared" si="225"/>
        <v>4</v>
      </c>
      <c r="Q639" s="163" t="e">
        <f t="shared" si="236"/>
        <v>#VALUE!</v>
      </c>
      <c r="R639" s="44" t="s">
        <v>192</v>
      </c>
      <c r="S639" s="58" t="s">
        <v>193</v>
      </c>
      <c r="T639" s="129"/>
      <c r="U639" s="129"/>
      <c r="V639" s="129"/>
      <c r="W639" s="128"/>
      <c r="X639" s="127"/>
      <c r="Y639" s="127"/>
      <c r="Z639" s="4"/>
    </row>
    <row r="640" spans="1:26" ht="18" customHeight="1">
      <c r="A640" s="5">
        <v>1825</v>
      </c>
      <c r="B640" s="21">
        <v>45665</v>
      </c>
      <c r="C640" s="21" t="s">
        <v>310</v>
      </c>
      <c r="D640" s="74" t="str">
        <f t="shared" si="230"/>
        <v>qua</v>
      </c>
      <c r="E640" s="169">
        <f>IF(K640&lt;&gt;"",VLOOKUP(K640,'Catálogo SAP'!$A$1:$F$245,2,FALSE),"-")</f>
        <v>130</v>
      </c>
      <c r="F640" s="16">
        <v>163</v>
      </c>
      <c r="G640" s="16">
        <v>163</v>
      </c>
      <c r="H640" s="22"/>
      <c r="I640" s="133">
        <v>453</v>
      </c>
      <c r="J640" s="162" t="str">
        <f t="shared" si="226"/>
        <v>Palmeirante</v>
      </c>
      <c r="K640" s="16">
        <v>130</v>
      </c>
      <c r="L640" s="167" t="str">
        <f>IF(K640&lt;&gt;"",VLOOKUP(K640,'Catálogo SAP'!A:F,3,FALSE),"")</f>
        <v>S.VP-01438</v>
      </c>
      <c r="M640" s="162" t="str">
        <f>IF(K640&lt;&gt;"",VLOOKUP(K640,'Catálogo SAP'!A:F,4,FALSE),"")</f>
        <v>Hr Improdutiva Retroescavadeira C/Operador</v>
      </c>
      <c r="N640" s="168" t="str">
        <f>IF(K640&lt;&gt;"",VLOOKUP(K640,'Catálogo SAP'!A:F,5,FALSE),"")</f>
        <v>H</v>
      </c>
      <c r="O640" s="160">
        <v>5</v>
      </c>
      <c r="P640" s="70">
        <f t="shared" si="225"/>
        <v>0</v>
      </c>
      <c r="Q640" s="163" t="e">
        <f t="shared" ref="Q640:Q682" si="238">IF(K640="","-",N640*O640)</f>
        <v>#VALUE!</v>
      </c>
      <c r="R640" s="44" t="s">
        <v>192</v>
      </c>
      <c r="S640" s="58" t="s">
        <v>193</v>
      </c>
      <c r="T640" s="129"/>
      <c r="U640" s="129"/>
      <c r="V640" s="129"/>
      <c r="W640" s="128"/>
      <c r="X640" s="127"/>
      <c r="Y640" s="127"/>
      <c r="Z640" s="4"/>
    </row>
    <row r="641" spans="1:26" ht="18" customHeight="1">
      <c r="A641" s="5">
        <v>1819</v>
      </c>
      <c r="B641" s="21">
        <v>45665</v>
      </c>
      <c r="C641" s="21" t="s">
        <v>312</v>
      </c>
      <c r="D641" s="74" t="str">
        <f t="shared" si="230"/>
        <v>qua</v>
      </c>
      <c r="E641" s="169">
        <f>IF(K641&lt;&gt;"",VLOOKUP(K641,'Catálogo SAP'!$A$1:$F$245,2,FALSE),"-")</f>
        <v>200</v>
      </c>
      <c r="F641" s="225">
        <v>74422</v>
      </c>
      <c r="G641" s="225">
        <v>74999</v>
      </c>
      <c r="H641" s="226"/>
      <c r="I641" s="230">
        <v>319</v>
      </c>
      <c r="J641" s="162" t="str">
        <f t="shared" si="226"/>
        <v>BABAÇULÂNDIA</v>
      </c>
      <c r="K641" s="16">
        <v>200</v>
      </c>
      <c r="L641" s="167" t="str">
        <f>IF(K641&lt;&gt;"",VLOOKUP(K641,'Catálogo SAP'!A:F,3,FALSE),"")</f>
        <v>S.VP-01445</v>
      </c>
      <c r="M641" s="162" t="str">
        <f>IF(K641&lt;&gt;"",VLOOKUP(K641,'Catálogo SAP'!A:F,4,FALSE),"")</f>
        <v>Km Rodado Caminhão Basculante - C/Motorista</v>
      </c>
      <c r="N641" s="168" t="str">
        <f>IF(K641&lt;&gt;"",VLOOKUP(K641,'Catálogo SAP'!A:F,5,FALSE),"")</f>
        <v>KM</v>
      </c>
      <c r="O641" s="160">
        <v>577</v>
      </c>
      <c r="P641" s="70">
        <f t="shared" si="225"/>
        <v>577</v>
      </c>
      <c r="Q641" s="163" t="e">
        <f t="shared" si="238"/>
        <v>#VALUE!</v>
      </c>
      <c r="R641" s="44" t="str">
        <f>IF(J641&lt;&gt;"",VLOOKUP(J641,'RESUMO DR'!$B$4:$E$253,4,FALSE),"-")</f>
        <v>T-02</v>
      </c>
      <c r="S641" s="58" t="str">
        <f>IF(J641&lt;&gt;"",VLOOKUP(J641,'RESUMO DR'!$B$4:$E$253,3,FALSE),"-")</f>
        <v>ARAGUAINA</v>
      </c>
      <c r="T641" s="129"/>
      <c r="U641" s="129"/>
      <c r="V641" s="129"/>
      <c r="W641" s="128"/>
      <c r="X641" s="127"/>
      <c r="Y641" s="127"/>
      <c r="Z641" s="4"/>
    </row>
    <row r="642" spans="1:26" ht="18" customHeight="1">
      <c r="A642" s="5"/>
      <c r="B642" s="21">
        <v>45665</v>
      </c>
      <c r="C642" s="21" t="s">
        <v>139</v>
      </c>
      <c r="D642" s="74" t="str">
        <f t="shared" si="230"/>
        <v>qua</v>
      </c>
      <c r="E642" s="169" t="str">
        <f>IF(K642&lt;&gt;"",VLOOKUP(K642,'Catálogo SAP'!$A$1:$F$245,2,FALSE),"-")</f>
        <v>-</v>
      </c>
      <c r="F642" s="225"/>
      <c r="G642" s="225"/>
      <c r="H642" s="226"/>
      <c r="I642" s="230"/>
      <c r="J642" s="162" t="str">
        <f t="shared" si="226"/>
        <v/>
      </c>
      <c r="K642" s="16"/>
      <c r="L642" s="167" t="str">
        <f>IF(K642&lt;&gt;"",VLOOKUP(K642,'Catálogo SAP'!A:F,3,FALSE),"")</f>
        <v/>
      </c>
      <c r="M642" s="162" t="str">
        <f>IF(K642&lt;&gt;"",VLOOKUP(K642,'Catálogo SAP'!A:F,4,FALSE),"")</f>
        <v/>
      </c>
      <c r="N642" s="168" t="str">
        <f>IF(K642&lt;&gt;"",VLOOKUP(K642,'Catálogo SAP'!A:F,5,FALSE),"")</f>
        <v/>
      </c>
      <c r="O642" s="160"/>
      <c r="P642" s="70" t="str">
        <f t="shared" si="225"/>
        <v>-</v>
      </c>
      <c r="Q642" s="163" t="str">
        <f t="shared" si="238"/>
        <v>-</v>
      </c>
      <c r="R642" s="44" t="str">
        <f>IF(J642&lt;&gt;"",VLOOKUP(J642,'RESUMO DR'!$B$4:$E$253,4,FALSE),"-")</f>
        <v>-</v>
      </c>
      <c r="S642" s="58" t="str">
        <f>IF(J642&lt;&gt;"",VLOOKUP(J642,'RESUMO DR'!$B$4:$E$253,3,FALSE),"-")</f>
        <v>-</v>
      </c>
      <c r="T642" s="129"/>
      <c r="U642" s="129"/>
      <c r="V642" s="129"/>
      <c r="W642" s="128"/>
      <c r="X642" s="127"/>
      <c r="Y642" s="127"/>
      <c r="Z642" s="4"/>
    </row>
    <row r="643" spans="1:26" ht="18" customHeight="1">
      <c r="A643" s="5"/>
      <c r="B643" s="21">
        <v>45665</v>
      </c>
      <c r="C643" s="21" t="s">
        <v>139</v>
      </c>
      <c r="D643" s="74" t="str">
        <f t="shared" si="230"/>
        <v>qua</v>
      </c>
      <c r="E643" s="169" t="str">
        <f>IF(K643&lt;&gt;"",VLOOKUP(K643,'Catálogo SAP'!$A$1:$F$245,2,FALSE),"-")</f>
        <v>-</v>
      </c>
      <c r="F643" s="225"/>
      <c r="G643" s="225"/>
      <c r="H643" s="226"/>
      <c r="I643" s="230"/>
      <c r="J643" s="162" t="str">
        <f t="shared" si="226"/>
        <v/>
      </c>
      <c r="K643" s="16"/>
      <c r="L643" s="167" t="str">
        <f>IF(K643&lt;&gt;"",VLOOKUP(K643,'Catálogo SAP'!A:F,3,FALSE),"")</f>
        <v/>
      </c>
      <c r="M643" s="162" t="str">
        <f>IF(K643&lt;&gt;"",VLOOKUP(K643,'Catálogo SAP'!A:F,4,FALSE),"")</f>
        <v/>
      </c>
      <c r="N643" s="168" t="str">
        <f>IF(K643&lt;&gt;"",VLOOKUP(K643,'Catálogo SAP'!A:F,5,FALSE),"")</f>
        <v/>
      </c>
      <c r="O643" s="160"/>
      <c r="P643" s="70" t="str">
        <f t="shared" si="225"/>
        <v>-</v>
      </c>
      <c r="Q643" s="163" t="str">
        <f t="shared" si="238"/>
        <v>-</v>
      </c>
      <c r="R643" s="44" t="str">
        <f>IF(J643&lt;&gt;"",VLOOKUP(J643,'RESUMO DR'!$B$4:$E$253,4,FALSE),"-")</f>
        <v>-</v>
      </c>
      <c r="S643" s="58" t="str">
        <f>IF(J643&lt;&gt;"",VLOOKUP(J643,'RESUMO DR'!$B$4:$E$253,3,FALSE),"-")</f>
        <v>-</v>
      </c>
      <c r="T643" s="129"/>
      <c r="U643" s="129"/>
      <c r="V643" s="129"/>
      <c r="W643" s="128"/>
      <c r="X643" s="127"/>
      <c r="Y643" s="127"/>
      <c r="Z643" s="4"/>
    </row>
    <row r="644" spans="1:26" ht="18" customHeight="1">
      <c r="A644" s="5"/>
      <c r="B644" s="222"/>
      <c r="C644" s="222"/>
      <c r="D644" s="223"/>
      <c r="E644" s="224"/>
      <c r="F644" s="225"/>
      <c r="G644" s="225"/>
      <c r="H644" s="226"/>
      <c r="I644" s="230"/>
      <c r="J644" s="228"/>
      <c r="K644" s="225"/>
      <c r="L644" s="167" t="str">
        <f>IF(K644&lt;&gt;"",VLOOKUP(K644,'Catálogo SAP'!A:F,3,FALSE),"")</f>
        <v/>
      </c>
      <c r="M644" s="162" t="str">
        <f>IF(K644&lt;&gt;"",VLOOKUP(K644,'Catálogo SAP'!A:F,4,FALSE),"")</f>
        <v/>
      </c>
      <c r="N644" s="168" t="str">
        <f>IF(K644&lt;&gt;"",VLOOKUP(K644,'Catálogo SAP'!A:F,5,FALSE),"")</f>
        <v/>
      </c>
      <c r="O644" s="231"/>
      <c r="P644" s="70" t="str">
        <f t="shared" si="225"/>
        <v>-</v>
      </c>
      <c r="Q644" s="229"/>
      <c r="R644" s="44" t="str">
        <f>IF(J644&lt;&gt;"",VLOOKUP(J644,'RESUMO DR'!$B$4:$E$253,4,FALSE),"-")</f>
        <v>-</v>
      </c>
      <c r="S644" s="58" t="str">
        <f>IF(J644&lt;&gt;"",VLOOKUP(J644,'RESUMO DR'!$B$4:$E$253,3,FALSE),"-")</f>
        <v>-</v>
      </c>
      <c r="T644" s="129"/>
      <c r="U644" s="129"/>
      <c r="V644" s="129"/>
      <c r="W644" s="128"/>
      <c r="X644" s="127"/>
      <c r="Y644" s="127"/>
      <c r="Z644" s="4"/>
    </row>
    <row r="645" spans="1:26" ht="18" customHeight="1">
      <c r="A645" s="5">
        <v>1572</v>
      </c>
      <c r="B645" s="21">
        <v>45666</v>
      </c>
      <c r="C645" s="21" t="s">
        <v>121</v>
      </c>
      <c r="D645" s="74" t="str">
        <f t="shared" si="230"/>
        <v>qui</v>
      </c>
      <c r="E645" s="169">
        <f>IF(K645&lt;&gt;"",VLOOKUP(K645,'Catálogo SAP'!$A$1:$F$245,2,FALSE),"-")</f>
        <v>130</v>
      </c>
      <c r="F645" s="225">
        <v>8741</v>
      </c>
      <c r="G645" s="225">
        <v>8741</v>
      </c>
      <c r="H645" s="226"/>
      <c r="I645" s="230">
        <v>300</v>
      </c>
      <c r="J645" s="162" t="str">
        <f t="shared" si="226"/>
        <v>SAO LUIS</v>
      </c>
      <c r="K645" s="16">
        <v>130</v>
      </c>
      <c r="L645" s="167" t="str">
        <f>IF(K645&lt;&gt;"",VLOOKUP(K645,'Catálogo SAP'!A:F,3,FALSE),"")</f>
        <v>S.VP-01438</v>
      </c>
      <c r="M645" s="162" t="str">
        <f>IF(K645&lt;&gt;"",VLOOKUP(K645,'Catálogo SAP'!A:F,4,FALSE),"")</f>
        <v>Hr Improdutiva Retroescavadeira C/Operador</v>
      </c>
      <c r="N645" s="168" t="str">
        <f>IF(K645&lt;&gt;"",VLOOKUP(K645,'Catálogo SAP'!A:F,5,FALSE),"")</f>
        <v>H</v>
      </c>
      <c r="O645" s="160">
        <v>9</v>
      </c>
      <c r="P645" s="70">
        <f t="shared" si="225"/>
        <v>0</v>
      </c>
      <c r="Q645" s="163" t="e">
        <f t="shared" si="238"/>
        <v>#VALUE!</v>
      </c>
      <c r="R645" s="44" t="str">
        <f>IF(J645&lt;&gt;"",VLOOKUP(J645,'RESUMO DR'!$B$4:$E$253,4,FALSE),"-")</f>
        <v>T-02</v>
      </c>
      <c r="S645" s="58" t="str">
        <f>IF(J645&lt;&gt;"",VLOOKUP(J645,'RESUMO DR'!$B$4:$E$253,3,FALSE),"-")</f>
        <v>ARAGUAINA</v>
      </c>
      <c r="T645" s="129"/>
      <c r="U645" s="129"/>
      <c r="V645" s="129"/>
      <c r="W645" s="128"/>
      <c r="X645" s="127"/>
      <c r="Y645" s="127"/>
      <c r="Z645" s="4"/>
    </row>
    <row r="646" spans="1:26" ht="18" customHeight="1">
      <c r="A646" s="5"/>
      <c r="B646" s="21">
        <v>45666</v>
      </c>
      <c r="C646" s="21" t="s">
        <v>121</v>
      </c>
      <c r="D646" s="74" t="str">
        <f t="shared" si="230"/>
        <v>qui</v>
      </c>
      <c r="E646" s="169" t="str">
        <f>IF(K646&lt;&gt;"",VLOOKUP(K646,'Catálogo SAP'!$A$1:$F$245,2,FALSE),"-")</f>
        <v>-</v>
      </c>
      <c r="F646" s="225"/>
      <c r="G646" s="225"/>
      <c r="H646" s="226"/>
      <c r="I646" s="230"/>
      <c r="J646" s="162" t="str">
        <f t="shared" si="226"/>
        <v/>
      </c>
      <c r="K646" s="16"/>
      <c r="L646" s="167" t="str">
        <f>IF(K646&lt;&gt;"",VLOOKUP(K646,'Catálogo SAP'!A:F,3,FALSE),"")</f>
        <v/>
      </c>
      <c r="M646" s="162" t="str">
        <f>IF(K646&lt;&gt;"",VLOOKUP(K646,'Catálogo SAP'!A:F,4,FALSE),"")</f>
        <v/>
      </c>
      <c r="N646" s="168" t="str">
        <f>IF(K646&lt;&gt;"",VLOOKUP(K646,'Catálogo SAP'!A:F,5,FALSE),"")</f>
        <v/>
      </c>
      <c r="O646" s="160"/>
      <c r="P646" s="70" t="str">
        <f t="shared" ref="P646:P709" si="239">IF(G646="","-",G646-F646)</f>
        <v>-</v>
      </c>
      <c r="Q646" s="163" t="str">
        <f>IF(K646="","-",N646*O646)</f>
        <v>-</v>
      </c>
      <c r="R646" s="44" t="str">
        <f>IF(J646&lt;&gt;"",VLOOKUP(J646,'RESUMO DR'!$B$4:$E$253,4,FALSE),"-")</f>
        <v>-</v>
      </c>
      <c r="S646" s="58" t="str">
        <f>IF(J646&lt;&gt;"",VLOOKUP(J646,'RESUMO DR'!$B$4:$E$253,3,FALSE),"-")</f>
        <v>-</v>
      </c>
      <c r="T646" s="129"/>
      <c r="U646" s="129"/>
      <c r="V646" s="129"/>
      <c r="W646" s="128"/>
      <c r="X646" s="127"/>
      <c r="Y646" s="127"/>
      <c r="Z646" s="38"/>
    </row>
    <row r="647" spans="1:26" ht="18" customHeight="1">
      <c r="A647" s="5"/>
      <c r="B647" s="21">
        <v>45666</v>
      </c>
      <c r="C647" s="21" t="s">
        <v>122</v>
      </c>
      <c r="D647" s="74" t="str">
        <f t="shared" si="230"/>
        <v>qui</v>
      </c>
      <c r="E647" s="169" t="str">
        <f>IF(K647&lt;&gt;"",VLOOKUP(K647,'Catálogo SAP'!$A$1:$F$245,2,FALSE),"-")</f>
        <v>-</v>
      </c>
      <c r="F647" s="225"/>
      <c r="G647" s="225"/>
      <c r="H647" s="226"/>
      <c r="I647" s="230"/>
      <c r="J647" s="162" t="str">
        <f t="shared" si="226"/>
        <v/>
      </c>
      <c r="K647" s="16"/>
      <c r="L647" s="167" t="str">
        <f>IF(K647&lt;&gt;"",VLOOKUP(K647,'Catálogo SAP'!A:F,3,FALSE),"")</f>
        <v/>
      </c>
      <c r="M647" s="162" t="str">
        <f>IF(K647&lt;&gt;"",VLOOKUP(K647,'Catálogo SAP'!A:F,4,FALSE),"")</f>
        <v/>
      </c>
      <c r="N647" s="168" t="str">
        <f>IF(K647&lt;&gt;"",VLOOKUP(K647,'Catálogo SAP'!A:F,5,FALSE),"")</f>
        <v/>
      </c>
      <c r="O647" s="160"/>
      <c r="P647" s="70" t="str">
        <f t="shared" si="239"/>
        <v>-</v>
      </c>
      <c r="Q647" s="163" t="str">
        <f t="shared" si="238"/>
        <v>-</v>
      </c>
      <c r="R647" s="44" t="str">
        <f>IF(J647&lt;&gt;"",VLOOKUP(J647,'RESUMO DR'!$B$4:$E$253,4,FALSE),"-")</f>
        <v>-</v>
      </c>
      <c r="S647" s="58" t="str">
        <f>IF(J647&lt;&gt;"",VLOOKUP(J647,'RESUMO DR'!$B$4:$E$253,3,FALSE),"-")</f>
        <v>-</v>
      </c>
      <c r="T647" s="129"/>
      <c r="U647" s="129"/>
      <c r="V647" s="129"/>
      <c r="W647" s="128"/>
      <c r="X647" s="127"/>
      <c r="Y647" s="127"/>
      <c r="Z647" s="4"/>
    </row>
    <row r="648" spans="1:26" ht="18" customHeight="1">
      <c r="A648" s="5"/>
      <c r="B648" s="21">
        <v>45666</v>
      </c>
      <c r="C648" s="21" t="s">
        <v>122</v>
      </c>
      <c r="D648" s="74" t="str">
        <f t="shared" ref="D648:D650" si="240">IF(B648="","-",TEXT(B648,"ddd"))</f>
        <v>qui</v>
      </c>
      <c r="E648" s="169" t="str">
        <f>IF(K648&lt;&gt;"",VLOOKUP(K648,'Catálogo SAP'!$A$1:$F$245,2,FALSE),"-")</f>
        <v>-</v>
      </c>
      <c r="F648" s="225"/>
      <c r="G648" s="225"/>
      <c r="H648" s="226"/>
      <c r="I648" s="227"/>
      <c r="J648" s="162" t="str">
        <f t="shared" si="226"/>
        <v/>
      </c>
      <c r="K648" s="225"/>
      <c r="L648" s="167" t="str">
        <f>IF(K648&lt;&gt;"",VLOOKUP(K648,'Catálogo SAP'!A:F,3,FALSE),"")</f>
        <v/>
      </c>
      <c r="M648" s="162" t="str">
        <f>IF(K648&lt;&gt;"",VLOOKUP(K648,'Catálogo SAP'!A:F,4,FALSE),"")</f>
        <v/>
      </c>
      <c r="N648" s="168" t="str">
        <f>IF(K648&lt;&gt;"",VLOOKUP(K648,'Catálogo SAP'!A:F,5,FALSE),"")</f>
        <v/>
      </c>
      <c r="O648" s="231"/>
      <c r="P648" s="70" t="str">
        <f t="shared" si="239"/>
        <v>-</v>
      </c>
      <c r="Q648" s="163" t="str">
        <f t="shared" ref="Q648:Q651" si="241">IF(K648="","-",N648*O648)</f>
        <v>-</v>
      </c>
      <c r="R648" s="44" t="str">
        <f>IF(J648&lt;&gt;"",VLOOKUP(J648,'RESUMO DR'!$B$4:$E$253,4,FALSE),"-")</f>
        <v>-</v>
      </c>
      <c r="S648" s="58" t="str">
        <f>IF(J648&lt;&gt;"",VLOOKUP(J648,'RESUMO DR'!$B$4:$E$253,3,FALSE),"-")</f>
        <v>-</v>
      </c>
      <c r="T648" s="129"/>
      <c r="U648" s="129"/>
      <c r="V648" s="129"/>
      <c r="W648" s="128"/>
      <c r="X648" s="127"/>
      <c r="Y648" s="127"/>
      <c r="Z648" s="4"/>
    </row>
    <row r="649" spans="1:26" ht="18" customHeight="1">
      <c r="A649" s="5">
        <v>1830</v>
      </c>
      <c r="B649" s="21">
        <v>45666</v>
      </c>
      <c r="C649" s="21" t="s">
        <v>123</v>
      </c>
      <c r="D649" s="74" t="str">
        <f t="shared" ref="D649" si="242">IF(B649="","-",TEXT(B649,"ddd"))</f>
        <v>qui</v>
      </c>
      <c r="E649" s="169">
        <f>IF(K649&lt;&gt;"",VLOOKUP(K649,'Catálogo SAP'!$A$1:$F$245,2,FALSE),"-")</f>
        <v>120</v>
      </c>
      <c r="F649" s="225">
        <v>5899</v>
      </c>
      <c r="G649" s="225">
        <v>5908</v>
      </c>
      <c r="H649" s="226"/>
      <c r="I649" s="230">
        <v>438</v>
      </c>
      <c r="J649" s="162" t="str">
        <f t="shared" si="226"/>
        <v>Palmeirante</v>
      </c>
      <c r="K649" s="225">
        <v>120</v>
      </c>
      <c r="L649" s="167" t="str">
        <f>IF(K649&lt;&gt;"",VLOOKUP(K649,'Catálogo SAP'!A:F,3,FALSE),"")</f>
        <v>S.VP-01437</v>
      </c>
      <c r="M649" s="162" t="str">
        <f>IF(K649&lt;&gt;"",VLOOKUP(K649,'Catálogo SAP'!A:F,4,FALSE),"")</f>
        <v>Hr Produtiva Retroescavadeira C/Operador</v>
      </c>
      <c r="N649" s="168" t="str">
        <f>IF(K649&lt;&gt;"",VLOOKUP(K649,'Catálogo SAP'!A:F,5,FALSE),"")</f>
        <v>H</v>
      </c>
      <c r="O649" s="231">
        <v>9</v>
      </c>
      <c r="P649" s="70">
        <f t="shared" si="239"/>
        <v>9</v>
      </c>
      <c r="Q649" s="163" t="e">
        <f t="shared" ref="Q649:Q650" si="243">IF(K649="","-",N649*O649)</f>
        <v>#VALUE!</v>
      </c>
      <c r="R649" s="44" t="str">
        <f>IF(J649&lt;&gt;"",VLOOKUP(J649,'RESUMO DR'!$B$4:$E$253,4,FALSE),"-")</f>
        <v>T-02</v>
      </c>
      <c r="S649" s="58" t="str">
        <f>IF(J649&lt;&gt;"",VLOOKUP(J649,'RESUMO DR'!$B$4:$E$253,3,FALSE),"-")</f>
        <v>ARAGUAINA</v>
      </c>
      <c r="T649" s="129"/>
      <c r="U649" s="129"/>
      <c r="V649" s="129"/>
      <c r="W649" s="128"/>
      <c r="X649" s="127"/>
      <c r="Y649" s="127"/>
      <c r="Z649" s="4"/>
    </row>
    <row r="650" spans="1:26" ht="18" customHeight="1">
      <c r="A650" s="5"/>
      <c r="B650" s="21">
        <v>45666</v>
      </c>
      <c r="C650" s="21" t="s">
        <v>123</v>
      </c>
      <c r="D650" s="74" t="str">
        <f t="shared" si="240"/>
        <v>qui</v>
      </c>
      <c r="E650" s="169" t="str">
        <f>IF(K650&lt;&gt;"",VLOOKUP(K650,'Catálogo SAP'!$A$1:$F$245,2,FALSE),"-")</f>
        <v>-</v>
      </c>
      <c r="F650" s="225"/>
      <c r="G650" s="225"/>
      <c r="H650" s="226"/>
      <c r="I650" s="230"/>
      <c r="J650" s="162" t="str">
        <f t="shared" si="226"/>
        <v/>
      </c>
      <c r="K650" s="16"/>
      <c r="L650" s="167" t="str">
        <f>IF(K650&lt;&gt;"",VLOOKUP(K650,'Catálogo SAP'!A:F,3,FALSE),"")</f>
        <v/>
      </c>
      <c r="M650" s="162" t="str">
        <f>IF(K650&lt;&gt;"",VLOOKUP(K650,'Catálogo SAP'!A:F,4,FALSE),"")</f>
        <v/>
      </c>
      <c r="N650" s="168" t="str">
        <f>IF(K650&lt;&gt;"",VLOOKUP(K650,'Catálogo SAP'!A:F,5,FALSE),"")</f>
        <v/>
      </c>
      <c r="O650" s="160"/>
      <c r="P650" s="70" t="str">
        <f t="shared" si="239"/>
        <v>-</v>
      </c>
      <c r="Q650" s="163" t="str">
        <f t="shared" si="243"/>
        <v>-</v>
      </c>
      <c r="R650" s="44" t="str">
        <f>IF(J650&lt;&gt;"",VLOOKUP(J650,'RESUMO DR'!$B$4:$E$253,4,FALSE),"-")</f>
        <v>-</v>
      </c>
      <c r="S650" s="58" t="str">
        <f>IF(J650&lt;&gt;"",VLOOKUP(J650,'RESUMO DR'!$B$4:$E$253,3,FALSE),"-")</f>
        <v>-</v>
      </c>
      <c r="T650" s="129"/>
      <c r="U650" s="129"/>
      <c r="V650" s="129"/>
      <c r="W650" s="128"/>
      <c r="X650" s="127"/>
      <c r="Y650" s="127"/>
      <c r="Z650" s="4"/>
    </row>
    <row r="651" spans="1:26" ht="18" customHeight="1">
      <c r="A651" s="5">
        <v>1833</v>
      </c>
      <c r="B651" s="21">
        <v>45666</v>
      </c>
      <c r="C651" s="21" t="s">
        <v>124</v>
      </c>
      <c r="D651" s="74" t="str">
        <f t="shared" si="230"/>
        <v>qui</v>
      </c>
      <c r="E651" s="169">
        <f>IF(K651&lt;&gt;"",VLOOKUP(K651,'Catálogo SAP'!$A$1:$F$245,2,FALSE),"-")</f>
        <v>400</v>
      </c>
      <c r="F651" s="225">
        <v>420218</v>
      </c>
      <c r="G651" s="225">
        <v>420740</v>
      </c>
      <c r="H651" s="226"/>
      <c r="I651" s="230">
        <v>216</v>
      </c>
      <c r="J651" s="162" t="str">
        <f t="shared" si="226"/>
        <v>AGUIARNÓPOLIS</v>
      </c>
      <c r="K651" s="16">
        <v>400</v>
      </c>
      <c r="L651" s="167" t="str">
        <f>IF(K651&lt;&gt;"",VLOOKUP(K651,'Catálogo SAP'!A:F,3,FALSE),"")</f>
        <v>S.VP-01461</v>
      </c>
      <c r="M651" s="162" t="str">
        <f>IF(K651&lt;&gt;"",VLOOKUP(K651,'Catálogo SAP'!A:F,4,FALSE),"")</f>
        <v>Km Rodado Carreta Prancha - C/ Motorista</v>
      </c>
      <c r="N651" s="168" t="str">
        <f>IF(K651&lt;&gt;"",VLOOKUP(K651,'Catálogo SAP'!A:F,5,FALSE),"")</f>
        <v>KM</v>
      </c>
      <c r="O651" s="160">
        <v>522</v>
      </c>
      <c r="P651" s="70">
        <f t="shared" si="239"/>
        <v>522</v>
      </c>
      <c r="Q651" s="163" t="e">
        <f t="shared" si="241"/>
        <v>#VALUE!</v>
      </c>
      <c r="R651" s="44" t="str">
        <f>IF(J651&lt;&gt;"",VLOOKUP(J651,'RESUMO DR'!$B$4:$E$253,4,FALSE),"-")</f>
        <v>T-02</v>
      </c>
      <c r="S651" s="58" t="str">
        <f>IF(J651&lt;&gt;"",VLOOKUP(J651,'RESUMO DR'!$B$4:$E$253,3,FALSE),"-")</f>
        <v>ARAGUAINA</v>
      </c>
      <c r="T651" s="129"/>
      <c r="U651" s="129"/>
      <c r="V651" s="129"/>
      <c r="W651" s="128"/>
      <c r="X651" s="127"/>
      <c r="Y651" s="127"/>
      <c r="Z651" s="4"/>
    </row>
    <row r="652" spans="1:26" ht="18" customHeight="1">
      <c r="A652" s="5"/>
      <c r="B652" s="21">
        <v>45666</v>
      </c>
      <c r="C652" s="21" t="s">
        <v>124</v>
      </c>
      <c r="D652" s="74" t="str">
        <f t="shared" si="230"/>
        <v>qui</v>
      </c>
      <c r="E652" s="169" t="str">
        <f>IF(K652&lt;&gt;"",VLOOKUP(K652,'Catálogo SAP'!$A$1:$F$245,2,FALSE),"-")</f>
        <v>-</v>
      </c>
      <c r="F652" s="16"/>
      <c r="G652" s="16"/>
      <c r="H652" s="22"/>
      <c r="I652" s="133"/>
      <c r="J652" s="162" t="str">
        <f t="shared" si="226"/>
        <v/>
      </c>
      <c r="K652" s="16"/>
      <c r="L652" s="167" t="str">
        <f>IF(K652&lt;&gt;"",VLOOKUP(K652,'Catálogo SAP'!A:F,3,FALSE),"")</f>
        <v/>
      </c>
      <c r="M652" s="162" t="str">
        <f>IF(K652&lt;&gt;"",VLOOKUP(K652,'Catálogo SAP'!A:F,4,FALSE),"")</f>
        <v/>
      </c>
      <c r="N652" s="168" t="str">
        <f>IF(K652&lt;&gt;"",VLOOKUP(K652,'Catálogo SAP'!A:F,5,FALSE),"")</f>
        <v/>
      </c>
      <c r="O652" s="160"/>
      <c r="P652" s="70" t="str">
        <f t="shared" si="239"/>
        <v>-</v>
      </c>
      <c r="Q652" s="163" t="str">
        <f t="shared" ref="Q652" si="244">IF(K652="","-",N652*O652)</f>
        <v>-</v>
      </c>
      <c r="R652" s="44" t="str">
        <f>IF(J652&lt;&gt;"",VLOOKUP(J652,'RESUMO DR'!$B$4:$E$253,4,FALSE),"-")</f>
        <v>-</v>
      </c>
      <c r="S652" s="58" t="str">
        <f>IF(J652&lt;&gt;"",VLOOKUP(J652,'RESUMO DR'!$B$4:$E$253,3,FALSE),"-")</f>
        <v>-</v>
      </c>
      <c r="T652" s="129"/>
      <c r="U652" s="129"/>
      <c r="V652" s="129"/>
      <c r="W652" s="128"/>
      <c r="X652" s="127"/>
      <c r="Y652" s="127"/>
      <c r="Z652" s="4"/>
    </row>
    <row r="653" spans="1:26" ht="18" customHeight="1">
      <c r="A653" s="5">
        <v>1826</v>
      </c>
      <c r="B653" s="21">
        <v>45666</v>
      </c>
      <c r="C653" s="21" t="s">
        <v>313</v>
      </c>
      <c r="D653" s="74" t="str">
        <f t="shared" si="230"/>
        <v>qui</v>
      </c>
      <c r="E653" s="169">
        <f>IF(K653&lt;&gt;"",VLOOKUP(K653,'Catálogo SAP'!$A$1:$F$245,2,FALSE),"-")</f>
        <v>200</v>
      </c>
      <c r="F653" s="225">
        <v>62712</v>
      </c>
      <c r="G653" s="225">
        <v>63017</v>
      </c>
      <c r="H653" s="226"/>
      <c r="I653" s="230">
        <v>83</v>
      </c>
      <c r="J653" s="162" t="str">
        <f t="shared" si="226"/>
        <v>IMPERATRIZ</v>
      </c>
      <c r="K653" s="16">
        <v>200</v>
      </c>
      <c r="L653" s="167" t="str">
        <f>IF(K653&lt;&gt;"",VLOOKUP(K653,'Catálogo SAP'!A:F,3,FALSE),"")</f>
        <v>S.VP-01445</v>
      </c>
      <c r="M653" s="162" t="str">
        <f>IF(K653&lt;&gt;"",VLOOKUP(K653,'Catálogo SAP'!A:F,4,FALSE),"")</f>
        <v>Km Rodado Caminhão Basculante - C/Motorista</v>
      </c>
      <c r="N653" s="168" t="str">
        <f>IF(K653&lt;&gt;"",VLOOKUP(K653,'Catálogo SAP'!A:F,5,FALSE),"")</f>
        <v>KM</v>
      </c>
      <c r="O653" s="160">
        <v>305</v>
      </c>
      <c r="P653" s="70">
        <f t="shared" si="239"/>
        <v>305</v>
      </c>
      <c r="Q653" s="163" t="e">
        <f t="shared" si="238"/>
        <v>#VALUE!</v>
      </c>
      <c r="R653" s="44" t="str">
        <f>IF(J653&lt;&gt;"",VLOOKUP(J653,'RESUMO DR'!$B$4:$E$253,4,FALSE),"-")</f>
        <v>T-01</v>
      </c>
      <c r="S653" s="58" t="str">
        <f>IF(J653&lt;&gt;"",VLOOKUP(J653,'RESUMO DR'!$B$4:$E$253,3,FALSE),"-")</f>
        <v>IMPERATRIZ</v>
      </c>
      <c r="T653" s="129"/>
      <c r="U653" s="129"/>
      <c r="V653" s="129"/>
      <c r="W653" s="128"/>
      <c r="X653" s="127"/>
      <c r="Y653" s="127"/>
      <c r="Z653" s="4"/>
    </row>
    <row r="654" spans="1:26" ht="18" customHeight="1">
      <c r="A654" s="5">
        <v>1826</v>
      </c>
      <c r="B654" s="21">
        <v>45666</v>
      </c>
      <c r="C654" s="21" t="s">
        <v>314</v>
      </c>
      <c r="D654" s="74" t="str">
        <f t="shared" si="230"/>
        <v>qui</v>
      </c>
      <c r="E654" s="169">
        <f>IF(K654&lt;&gt;"",VLOOKUP(K654,'Catálogo SAP'!$A$1:$F$245,2,FALSE),"-")</f>
        <v>200</v>
      </c>
      <c r="F654" s="225">
        <v>66830</v>
      </c>
      <c r="G654" s="225">
        <v>67098</v>
      </c>
      <c r="H654" s="226"/>
      <c r="I654" s="230">
        <v>83</v>
      </c>
      <c r="J654" s="162" t="str">
        <f t="shared" si="226"/>
        <v>IMPERATRIZ</v>
      </c>
      <c r="K654" s="16">
        <v>200</v>
      </c>
      <c r="L654" s="167" t="str">
        <f>IF(K654&lt;&gt;"",VLOOKUP(K654,'Catálogo SAP'!A:F,3,FALSE),"")</f>
        <v>S.VP-01445</v>
      </c>
      <c r="M654" s="162" t="str">
        <f>IF(K654&lt;&gt;"",VLOOKUP(K654,'Catálogo SAP'!A:F,4,FALSE),"")</f>
        <v>Km Rodado Caminhão Basculante - C/Motorista</v>
      </c>
      <c r="N654" s="168" t="str">
        <f>IF(K654&lt;&gt;"",VLOOKUP(K654,'Catálogo SAP'!A:F,5,FALSE),"")</f>
        <v>KM</v>
      </c>
      <c r="O654" s="160">
        <v>268</v>
      </c>
      <c r="P654" s="70">
        <f t="shared" si="239"/>
        <v>268</v>
      </c>
      <c r="Q654" s="163" t="e">
        <f t="shared" si="238"/>
        <v>#VALUE!</v>
      </c>
      <c r="R654" s="44" t="str">
        <f>IF(J654&lt;&gt;"",VLOOKUP(J654,'RESUMO DR'!$B$4:$E$253,4,FALSE),"-")</f>
        <v>T-01</v>
      </c>
      <c r="S654" s="58" t="str">
        <f>IF(J654&lt;&gt;"",VLOOKUP(J654,'RESUMO DR'!$B$4:$E$253,3,FALSE),"-")</f>
        <v>IMPERATRIZ</v>
      </c>
      <c r="T654" s="129"/>
      <c r="U654" s="129"/>
      <c r="V654" s="129"/>
      <c r="W654" s="128"/>
      <c r="X654" s="127"/>
      <c r="Y654" s="127"/>
      <c r="Z654" s="4"/>
    </row>
    <row r="655" spans="1:26" ht="18" customHeight="1">
      <c r="A655" s="5">
        <v>1829</v>
      </c>
      <c r="B655" s="21">
        <v>45666</v>
      </c>
      <c r="C655" s="21" t="s">
        <v>127</v>
      </c>
      <c r="D655" s="74" t="str">
        <f t="shared" si="230"/>
        <v>qui</v>
      </c>
      <c r="E655" s="169">
        <f>IF(K655&lt;&gt;"",VLOOKUP(K655,'Catálogo SAP'!$A$1:$F$245,2,FALSE),"-")</f>
        <v>200</v>
      </c>
      <c r="F655" s="225">
        <v>50440</v>
      </c>
      <c r="G655" s="225">
        <v>50480</v>
      </c>
      <c r="H655" s="226"/>
      <c r="I655" s="230">
        <v>216</v>
      </c>
      <c r="J655" s="162" t="str">
        <f t="shared" si="226"/>
        <v>AGUIARNÓPOLIS</v>
      </c>
      <c r="K655" s="16">
        <v>200</v>
      </c>
      <c r="L655" s="167" t="str">
        <f>IF(K655&lt;&gt;"",VLOOKUP(K655,'Catálogo SAP'!A:F,3,FALSE),"")</f>
        <v>S.VP-01445</v>
      </c>
      <c r="M655" s="162" t="str">
        <f>IF(K655&lt;&gt;"",VLOOKUP(K655,'Catálogo SAP'!A:F,4,FALSE),"")</f>
        <v>Km Rodado Caminhão Basculante - C/Motorista</v>
      </c>
      <c r="N655" s="168" t="str">
        <f>IF(K655&lt;&gt;"",VLOOKUP(K655,'Catálogo SAP'!A:F,5,FALSE),"")</f>
        <v>KM</v>
      </c>
      <c r="O655" s="160">
        <v>40</v>
      </c>
      <c r="P655" s="70">
        <f t="shared" si="239"/>
        <v>40</v>
      </c>
      <c r="Q655" s="163" t="e">
        <f t="shared" si="238"/>
        <v>#VALUE!</v>
      </c>
      <c r="R655" s="44" t="str">
        <f>IF(J655&lt;&gt;"",VLOOKUP(J655,'RESUMO DR'!$B$4:$E$253,4,FALSE),"-")</f>
        <v>T-02</v>
      </c>
      <c r="S655" s="58" t="str">
        <f>IF(J655&lt;&gt;"",VLOOKUP(J655,'RESUMO DR'!$B$4:$E$253,3,FALSE),"-")</f>
        <v>ARAGUAINA</v>
      </c>
      <c r="T655" s="129"/>
      <c r="U655" s="129"/>
      <c r="V655" s="129"/>
      <c r="W655" s="128"/>
      <c r="X655" s="127"/>
      <c r="Y655" s="127"/>
      <c r="Z655" s="4"/>
    </row>
    <row r="656" spans="1:26" ht="18" customHeight="1">
      <c r="A656" s="5">
        <v>1827</v>
      </c>
      <c r="B656" s="21">
        <v>45666</v>
      </c>
      <c r="C656" s="21" t="s">
        <v>307</v>
      </c>
      <c r="D656" s="74" t="str">
        <f t="shared" si="230"/>
        <v>qui</v>
      </c>
      <c r="E656" s="169">
        <f>IF(K656&lt;&gt;"",VLOOKUP(K656,'Catálogo SAP'!$A$1:$F$245,2,FALSE),"-")</f>
        <v>200</v>
      </c>
      <c r="F656" s="225">
        <v>67362</v>
      </c>
      <c r="G656" s="225">
        <v>67725</v>
      </c>
      <c r="H656" s="226"/>
      <c r="I656" s="230">
        <v>70</v>
      </c>
      <c r="J656" s="162" t="str">
        <f t="shared" si="226"/>
        <v>JOÃO LISBOA</v>
      </c>
      <c r="K656" s="16">
        <v>200</v>
      </c>
      <c r="L656" s="167" t="str">
        <f>IF(K656&lt;&gt;"",VLOOKUP(K656,'Catálogo SAP'!A:F,3,FALSE),"")</f>
        <v>S.VP-01445</v>
      </c>
      <c r="M656" s="162" t="str">
        <f>IF(K656&lt;&gt;"",VLOOKUP(K656,'Catálogo SAP'!A:F,4,FALSE),"")</f>
        <v>Km Rodado Caminhão Basculante - C/Motorista</v>
      </c>
      <c r="N656" s="168" t="str">
        <f>IF(K656&lt;&gt;"",VLOOKUP(K656,'Catálogo SAP'!A:F,5,FALSE),"")</f>
        <v>KM</v>
      </c>
      <c r="O656" s="160">
        <v>363</v>
      </c>
      <c r="P656" s="70">
        <f t="shared" si="239"/>
        <v>363</v>
      </c>
      <c r="Q656" s="163" t="e">
        <f t="shared" si="238"/>
        <v>#VALUE!</v>
      </c>
      <c r="R656" s="44" t="str">
        <f>IF(J656&lt;&gt;"",VLOOKUP(J656,'RESUMO DR'!$B$4:$E$253,4,FALSE),"-")</f>
        <v>T-01</v>
      </c>
      <c r="S656" s="58" t="str">
        <f>IF(J656&lt;&gt;"",VLOOKUP(J656,'RESUMO DR'!$B$4:$E$253,3,FALSE),"-")</f>
        <v>IMPERATRIZ</v>
      </c>
      <c r="T656" s="129"/>
      <c r="U656" s="129"/>
      <c r="V656" s="129"/>
      <c r="W656" s="128"/>
      <c r="X656" s="127"/>
      <c r="Y656" s="127"/>
      <c r="Z656" s="4"/>
    </row>
    <row r="657" spans="1:26" ht="18" customHeight="1">
      <c r="A657" s="5">
        <v>1827</v>
      </c>
      <c r="B657" s="21">
        <v>45666</v>
      </c>
      <c r="C657" s="21" t="s">
        <v>308</v>
      </c>
      <c r="D657" s="74" t="str">
        <f t="shared" si="230"/>
        <v>qui</v>
      </c>
      <c r="E657" s="169">
        <f>IF(K657&lt;&gt;"",VLOOKUP(K657,'Catálogo SAP'!$A$1:$F$245,2,FALSE),"-")</f>
        <v>200</v>
      </c>
      <c r="F657" s="16">
        <v>67040</v>
      </c>
      <c r="G657" s="16">
        <v>67300</v>
      </c>
      <c r="H657" s="22"/>
      <c r="I657" s="133">
        <v>70</v>
      </c>
      <c r="J657" s="162" t="str">
        <f t="shared" si="226"/>
        <v>JOÃO LISBOA</v>
      </c>
      <c r="K657" s="16">
        <v>200</v>
      </c>
      <c r="L657" s="167" t="str">
        <f>IF(K657&lt;&gt;"",VLOOKUP(K657,'Catálogo SAP'!A:F,3,FALSE),"")</f>
        <v>S.VP-01445</v>
      </c>
      <c r="M657" s="162" t="str">
        <f>IF(K657&lt;&gt;"",VLOOKUP(K657,'Catálogo SAP'!A:F,4,FALSE),"")</f>
        <v>Km Rodado Caminhão Basculante - C/Motorista</v>
      </c>
      <c r="N657" s="168" t="str">
        <f>IF(K657&lt;&gt;"",VLOOKUP(K657,'Catálogo SAP'!A:F,5,FALSE),"")</f>
        <v>KM</v>
      </c>
      <c r="O657" s="160">
        <v>260</v>
      </c>
      <c r="P657" s="70">
        <f t="shared" si="239"/>
        <v>260</v>
      </c>
      <c r="Q657" s="163" t="e">
        <f t="shared" si="238"/>
        <v>#VALUE!</v>
      </c>
      <c r="R657" s="44" t="str">
        <f>IF(J657&lt;&gt;"",VLOOKUP(J657,'RESUMO DR'!$B$4:$E$253,4,FALSE),"-")</f>
        <v>T-01</v>
      </c>
      <c r="S657" s="58" t="str">
        <f>IF(J657&lt;&gt;"",VLOOKUP(J657,'RESUMO DR'!$B$4:$E$253,3,FALSE),"-")</f>
        <v>IMPERATRIZ</v>
      </c>
      <c r="T657" s="129"/>
      <c r="U657" s="129"/>
      <c r="V657" s="129"/>
      <c r="W657" s="128"/>
      <c r="X657" s="127"/>
      <c r="Y657" s="127"/>
      <c r="Z657" s="4"/>
    </row>
    <row r="658" spans="1:26" ht="18" customHeight="1">
      <c r="A658" s="5">
        <v>1830</v>
      </c>
      <c r="B658" s="21">
        <v>45666</v>
      </c>
      <c r="C658" s="21" t="s">
        <v>129</v>
      </c>
      <c r="D658" s="74" t="str">
        <f t="shared" si="230"/>
        <v>qui</v>
      </c>
      <c r="E658" s="169">
        <f>IF(K658&lt;&gt;"",VLOOKUP(K658,'Catálogo SAP'!$A$1:$F$245,2,FALSE),"-")</f>
        <v>200</v>
      </c>
      <c r="F658" s="225">
        <v>81300</v>
      </c>
      <c r="G658" s="225">
        <v>81353</v>
      </c>
      <c r="H658" s="226"/>
      <c r="I658" s="230">
        <v>438</v>
      </c>
      <c r="J658" s="162" t="str">
        <f t="shared" si="226"/>
        <v>Palmeirante</v>
      </c>
      <c r="K658" s="16">
        <v>200</v>
      </c>
      <c r="L658" s="167" t="str">
        <f>IF(K658&lt;&gt;"",VLOOKUP(K658,'Catálogo SAP'!A:F,3,FALSE),"")</f>
        <v>S.VP-01445</v>
      </c>
      <c r="M658" s="162" t="str">
        <f>IF(K658&lt;&gt;"",VLOOKUP(K658,'Catálogo SAP'!A:F,4,FALSE),"")</f>
        <v>Km Rodado Caminhão Basculante - C/Motorista</v>
      </c>
      <c r="N658" s="168" t="str">
        <f>IF(K658&lt;&gt;"",VLOOKUP(K658,'Catálogo SAP'!A:F,5,FALSE),"")</f>
        <v>KM</v>
      </c>
      <c r="O658" s="160">
        <v>53</v>
      </c>
      <c r="P658" s="70">
        <f t="shared" si="239"/>
        <v>53</v>
      </c>
      <c r="Q658" s="163" t="e">
        <f t="shared" si="238"/>
        <v>#VALUE!</v>
      </c>
      <c r="R658" s="44" t="str">
        <f>IF(J658&lt;&gt;"",VLOOKUP(J658,'RESUMO DR'!$B$4:$E$253,4,FALSE),"-")</f>
        <v>T-02</v>
      </c>
      <c r="S658" s="58" t="str">
        <f>IF(J658&lt;&gt;"",VLOOKUP(J658,'RESUMO DR'!$B$4:$E$253,3,FALSE),"-")</f>
        <v>ARAGUAINA</v>
      </c>
      <c r="T658" s="129"/>
      <c r="U658" s="129"/>
      <c r="V658" s="129"/>
      <c r="W658" s="128"/>
      <c r="X658" s="127"/>
      <c r="Y658" s="127"/>
      <c r="Z658" s="4"/>
    </row>
    <row r="659" spans="1:26" ht="18" customHeight="1">
      <c r="A659" s="5">
        <v>1826</v>
      </c>
      <c r="B659" s="21">
        <v>45666</v>
      </c>
      <c r="C659" s="21" t="s">
        <v>298</v>
      </c>
      <c r="D659" s="74" t="str">
        <f t="shared" si="230"/>
        <v>qui</v>
      </c>
      <c r="E659" s="169">
        <f>IF(K659&lt;&gt;"",VLOOKUP(K659,'Catálogo SAP'!$A$1:$F$245,2,FALSE),"-")</f>
        <v>170</v>
      </c>
      <c r="F659" s="16">
        <v>573</v>
      </c>
      <c r="G659" s="16">
        <v>573</v>
      </c>
      <c r="H659" s="22"/>
      <c r="I659" s="133">
        <v>91</v>
      </c>
      <c r="J659" s="162" t="str">
        <f t="shared" si="226"/>
        <v>IMPERATRIZ</v>
      </c>
      <c r="K659" s="16">
        <v>170</v>
      </c>
      <c r="L659" s="167" t="str">
        <f>IF(K659&lt;&gt;"",VLOOKUP(K659,'Catálogo SAP'!A:F,3,FALSE),"")</f>
        <v>S.VP-01442</v>
      </c>
      <c r="M659" s="162" t="str">
        <f>IF(K659&lt;&gt;"",VLOOKUP(K659,'Catálogo SAP'!A:F,4,FALSE),"")</f>
        <v>Hora Improdutiva Pa Carregadeira C/Operador</v>
      </c>
      <c r="N659" s="168" t="str">
        <f>IF(K659&lt;&gt;"",VLOOKUP(K659,'Catálogo SAP'!A:F,5,FALSE),"")</f>
        <v>H</v>
      </c>
      <c r="O659" s="160">
        <v>9</v>
      </c>
      <c r="P659" s="70">
        <f t="shared" si="239"/>
        <v>0</v>
      </c>
      <c r="Q659" s="163" t="e">
        <f t="shared" si="238"/>
        <v>#VALUE!</v>
      </c>
      <c r="R659" s="44" t="str">
        <f>IF(J659&lt;&gt;"",VLOOKUP(J659,'RESUMO DR'!$B$4:$E$253,4,FALSE),"-")</f>
        <v>T-01</v>
      </c>
      <c r="S659" s="58" t="str">
        <f>IF(J659&lt;&gt;"",VLOOKUP(J659,'RESUMO DR'!$B$4:$E$253,3,FALSE),"-")</f>
        <v>IMPERATRIZ</v>
      </c>
      <c r="T659" s="129"/>
      <c r="U659" s="129"/>
      <c r="V659" s="129"/>
      <c r="W659" s="128"/>
      <c r="X659" s="127"/>
      <c r="Y659" s="127"/>
      <c r="Z659" s="4"/>
    </row>
    <row r="660" spans="1:26" ht="18" customHeight="1">
      <c r="A660" s="5">
        <v>1828</v>
      </c>
      <c r="B660" s="21">
        <v>45666</v>
      </c>
      <c r="C660" s="21" t="s">
        <v>131</v>
      </c>
      <c r="D660" s="74" t="str">
        <f t="shared" si="230"/>
        <v>qui</v>
      </c>
      <c r="E660" s="169">
        <f>IF(K660&lt;&gt;"",VLOOKUP(K660,'Catálogo SAP'!$A$1:$F$245,2,FALSE),"-")</f>
        <v>520</v>
      </c>
      <c r="F660" s="225">
        <v>10638</v>
      </c>
      <c r="G660" s="16">
        <v>10646</v>
      </c>
      <c r="H660" s="226"/>
      <c r="I660" s="230">
        <v>195</v>
      </c>
      <c r="J660" s="162" t="str">
        <f t="shared" si="226"/>
        <v>PORTO FRANCO</v>
      </c>
      <c r="K660" s="16">
        <v>520</v>
      </c>
      <c r="L660" s="167" t="str">
        <f>IF(K660&lt;&gt;"",VLOOKUP(K660,'Catálogo SAP'!A:F,3,FALSE),"")</f>
        <v>S.VP-01469</v>
      </c>
      <c r="M660" s="162" t="str">
        <f>IF(K660&lt;&gt;"",VLOOKUP(K660,'Catálogo SAP'!A:F,4,FALSE),"")</f>
        <v>Hora Produtiva Escavadeira Hidraulica</v>
      </c>
      <c r="N660" s="168" t="str">
        <f>IF(K660&lt;&gt;"",VLOOKUP(K660,'Catálogo SAP'!A:F,5,FALSE),"")</f>
        <v>H</v>
      </c>
      <c r="O660" s="160">
        <v>8</v>
      </c>
      <c r="P660" s="70">
        <f t="shared" si="239"/>
        <v>8</v>
      </c>
      <c r="Q660" s="163" t="e">
        <f t="shared" si="238"/>
        <v>#VALUE!</v>
      </c>
      <c r="R660" s="44" t="str">
        <f>IF(J660&lt;&gt;"",VLOOKUP(J660,'RESUMO DR'!$B$4:$E$253,4,FALSE),"-")</f>
        <v>T-01</v>
      </c>
      <c r="S660" s="58" t="str">
        <f>IF(J660&lt;&gt;"",VLOOKUP(J660,'RESUMO DR'!$B$4:$E$253,3,FALSE),"-")</f>
        <v>IMPERATRIZ</v>
      </c>
      <c r="T660" s="129"/>
      <c r="U660" s="129"/>
      <c r="V660" s="129"/>
      <c r="W660" s="128"/>
      <c r="X660" s="127"/>
      <c r="Y660" s="127"/>
      <c r="Z660" s="4"/>
    </row>
    <row r="661" spans="1:26" ht="13.8">
      <c r="A661" s="5">
        <v>1828</v>
      </c>
      <c r="B661" s="21">
        <v>45666</v>
      </c>
      <c r="C661" s="21" t="s">
        <v>131</v>
      </c>
      <c r="D661" s="74" t="str">
        <f t="shared" si="230"/>
        <v>qui</v>
      </c>
      <c r="E661" s="169">
        <f>IF(K661&lt;&gt;"",VLOOKUP(K661,'Catálogo SAP'!$A$1:$F$245,2,FALSE),"-")</f>
        <v>530</v>
      </c>
      <c r="F661" s="16">
        <v>10646</v>
      </c>
      <c r="G661" s="16">
        <v>10646</v>
      </c>
      <c r="H661" s="22"/>
      <c r="I661" s="133">
        <v>195</v>
      </c>
      <c r="J661" s="162" t="str">
        <f t="shared" si="226"/>
        <v>PORTO FRANCO</v>
      </c>
      <c r="K661" s="16">
        <v>530</v>
      </c>
      <c r="L661" s="167" t="str">
        <f>IF(K661&lt;&gt;"",VLOOKUP(K661,'Catálogo SAP'!A:F,3,FALSE),"")</f>
        <v>S.VP-01470</v>
      </c>
      <c r="M661" s="162" t="str">
        <f>IF(K661&lt;&gt;"",VLOOKUP(K661,'Catálogo SAP'!A:F,4,FALSE),"")</f>
        <v>Hora Improdutiva Escavadeira Hidraulica</v>
      </c>
      <c r="N661" s="168" t="str">
        <f>IF(K661&lt;&gt;"",VLOOKUP(K661,'Catálogo SAP'!A:F,5,FALSE),"")</f>
        <v>H</v>
      </c>
      <c r="O661" s="160">
        <v>1</v>
      </c>
      <c r="P661" s="70">
        <f t="shared" si="239"/>
        <v>0</v>
      </c>
      <c r="Q661" s="163" t="e">
        <f t="shared" si="238"/>
        <v>#VALUE!</v>
      </c>
      <c r="R661" s="44" t="str">
        <f>IF(J661&lt;&gt;"",VLOOKUP(J661,'RESUMO DR'!$B$4:$E$253,4,FALSE),"-")</f>
        <v>T-01</v>
      </c>
      <c r="S661" s="58" t="str">
        <f>IF(J661&lt;&gt;"",VLOOKUP(J661,'RESUMO DR'!$B$4:$E$253,3,FALSE),"-")</f>
        <v>IMPERATRIZ</v>
      </c>
      <c r="T661" s="129"/>
      <c r="U661" s="129"/>
      <c r="V661" s="129"/>
      <c r="W661" s="128"/>
      <c r="X661" s="127"/>
      <c r="Y661" s="127"/>
      <c r="Z661" s="4"/>
    </row>
    <row r="662" spans="1:26" ht="18" customHeight="1">
      <c r="A662" s="5">
        <v>1829</v>
      </c>
      <c r="B662" s="21">
        <v>45666</v>
      </c>
      <c r="C662" s="21" t="s">
        <v>311</v>
      </c>
      <c r="D662" s="74" t="str">
        <f t="shared" si="230"/>
        <v>qui</v>
      </c>
      <c r="E662" s="169">
        <f>IF(K662&lt;&gt;"",VLOOKUP(K662,'Catálogo SAP'!$A$1:$F$245,2,FALSE),"-")</f>
        <v>120</v>
      </c>
      <c r="F662" s="225">
        <v>1205</v>
      </c>
      <c r="G662" s="225">
        <v>1214</v>
      </c>
      <c r="H662" s="226"/>
      <c r="I662" s="230">
        <v>216</v>
      </c>
      <c r="J662" s="162" t="str">
        <f t="shared" si="226"/>
        <v>AGUIARNÓPOLIS</v>
      </c>
      <c r="K662" s="16">
        <v>120</v>
      </c>
      <c r="L662" s="167" t="str">
        <f>IF(K662&lt;&gt;"",VLOOKUP(K662,'Catálogo SAP'!A:F,3,FALSE),"")</f>
        <v>S.VP-01437</v>
      </c>
      <c r="M662" s="162" t="str">
        <f>IF(K662&lt;&gt;"",VLOOKUP(K662,'Catálogo SAP'!A:F,4,FALSE),"")</f>
        <v>Hr Produtiva Retroescavadeira C/Operador</v>
      </c>
      <c r="N662" s="168" t="str">
        <f>IF(K662&lt;&gt;"",VLOOKUP(K662,'Catálogo SAP'!A:F,5,FALSE),"")</f>
        <v>H</v>
      </c>
      <c r="O662" s="160">
        <v>9</v>
      </c>
      <c r="P662" s="70">
        <f t="shared" si="239"/>
        <v>9</v>
      </c>
      <c r="Q662" s="163" t="e">
        <f t="shared" si="238"/>
        <v>#VALUE!</v>
      </c>
      <c r="R662" s="44" t="str">
        <f>IF(J662&lt;&gt;"",VLOOKUP(J662,'RESUMO DR'!$B$4:$E$253,4,FALSE),"-")</f>
        <v>T-02</v>
      </c>
      <c r="S662" s="58" t="str">
        <f>IF(J662&lt;&gt;"",VLOOKUP(J662,'RESUMO DR'!$B$4:$E$253,3,FALSE),"-")</f>
        <v>ARAGUAINA</v>
      </c>
      <c r="T662" s="129"/>
      <c r="U662" s="129"/>
      <c r="V662" s="129"/>
      <c r="W662" s="128"/>
      <c r="X662" s="127"/>
      <c r="Y662" s="127"/>
      <c r="Z662" s="4"/>
    </row>
    <row r="663" spans="1:26" ht="13.8">
      <c r="A663" s="5"/>
      <c r="B663" s="21">
        <v>45666</v>
      </c>
      <c r="C663" s="21" t="s">
        <v>311</v>
      </c>
      <c r="D663" s="74" t="str">
        <f t="shared" si="230"/>
        <v>qui</v>
      </c>
      <c r="E663" s="169" t="str">
        <f>IF(K663&lt;&gt;"",VLOOKUP(K663,'Catálogo SAP'!$A$1:$F$245,2,FALSE),"-")</f>
        <v>-</v>
      </c>
      <c r="F663" s="225"/>
      <c r="G663" s="225"/>
      <c r="H663" s="226"/>
      <c r="I663" s="230"/>
      <c r="J663" s="162" t="str">
        <f t="shared" si="226"/>
        <v/>
      </c>
      <c r="K663" s="16"/>
      <c r="L663" s="167" t="str">
        <f>IF(K663&lt;&gt;"",VLOOKUP(K663,'Catálogo SAP'!A:F,3,FALSE),"")</f>
        <v/>
      </c>
      <c r="M663" s="162" t="str">
        <f>IF(K663&lt;&gt;"",VLOOKUP(K663,'Catálogo SAP'!A:F,4,FALSE),"")</f>
        <v/>
      </c>
      <c r="N663" s="168" t="str">
        <f>IF(K663&lt;&gt;"",VLOOKUP(K663,'Catálogo SAP'!A:F,5,FALSE),"")</f>
        <v/>
      </c>
      <c r="O663" s="160"/>
      <c r="P663" s="70" t="str">
        <f t="shared" si="239"/>
        <v>-</v>
      </c>
      <c r="Q663" s="163" t="str">
        <f t="shared" si="238"/>
        <v>-</v>
      </c>
      <c r="R663" s="44" t="str">
        <f>IF(J663&lt;&gt;"",VLOOKUP(J663,'RESUMO DR'!$B$4:$E$253,4,FALSE),"-")</f>
        <v>-</v>
      </c>
      <c r="S663" s="58" t="str">
        <f>IF(J663&lt;&gt;"",VLOOKUP(J663,'RESUMO DR'!$B$4:$E$253,3,FALSE),"-")</f>
        <v>-</v>
      </c>
      <c r="T663" s="129"/>
      <c r="U663" s="129"/>
      <c r="V663" s="129"/>
      <c r="W663" s="128"/>
      <c r="X663" s="127"/>
      <c r="Y663" s="127"/>
      <c r="Z663" s="4"/>
    </row>
    <row r="664" spans="1:26" ht="18" customHeight="1">
      <c r="A664" s="5">
        <v>1829</v>
      </c>
      <c r="B664" s="21">
        <v>45666</v>
      </c>
      <c r="C664" s="21" t="s">
        <v>305</v>
      </c>
      <c r="D664" s="74" t="str">
        <f t="shared" si="230"/>
        <v>qui</v>
      </c>
      <c r="E664" s="169">
        <f>IF(K664&lt;&gt;"",VLOOKUP(K664,'Catálogo SAP'!$A$1:$F$245,2,FALSE),"-")</f>
        <v>280</v>
      </c>
      <c r="F664" s="225">
        <v>254</v>
      </c>
      <c r="G664" s="16">
        <v>256</v>
      </c>
      <c r="H664" s="226"/>
      <c r="I664" s="230">
        <v>216</v>
      </c>
      <c r="J664" s="162" t="str">
        <f t="shared" si="226"/>
        <v>AGUIARNÓPOLIS</v>
      </c>
      <c r="K664" s="16">
        <v>280</v>
      </c>
      <c r="L664" s="167" t="str">
        <f>IF(K664&lt;&gt;"",VLOOKUP(K664,'Catálogo SAP'!A:F,3,FALSE),"")</f>
        <v>S.VP-01453</v>
      </c>
      <c r="M664" s="162" t="str">
        <f>IF(K664&lt;&gt;"",VLOOKUP(K664,'Catálogo SAP'!A:F,4,FALSE),"")</f>
        <v>Hora Produtiva Motoniveladora C/Operador</v>
      </c>
      <c r="N664" s="168" t="str">
        <f>IF(K664&lt;&gt;"",VLOOKUP(K664,'Catálogo SAP'!A:F,5,FALSE),"")</f>
        <v>H</v>
      </c>
      <c r="O664" s="160">
        <v>2</v>
      </c>
      <c r="P664" s="70">
        <f t="shared" si="239"/>
        <v>2</v>
      </c>
      <c r="Q664" s="163" t="e">
        <f t="shared" si="238"/>
        <v>#VALUE!</v>
      </c>
      <c r="R664" s="44" t="str">
        <f>IF(J664&lt;&gt;"",VLOOKUP(J664,'RESUMO DR'!$B$4:$E$253,4,FALSE),"-")</f>
        <v>T-02</v>
      </c>
      <c r="S664" s="58" t="str">
        <f>IF(J664&lt;&gt;"",VLOOKUP(J664,'RESUMO DR'!$B$4:$E$253,3,FALSE),"-")</f>
        <v>ARAGUAINA</v>
      </c>
      <c r="T664" s="129"/>
      <c r="U664" s="129"/>
      <c r="V664" s="129"/>
      <c r="W664" s="128"/>
      <c r="X664" s="127"/>
      <c r="Y664" s="127"/>
      <c r="Z664" s="4"/>
    </row>
    <row r="665" spans="1:26" ht="13.8">
      <c r="A665" s="5">
        <v>1829</v>
      </c>
      <c r="B665" s="21">
        <v>45666</v>
      </c>
      <c r="C665" s="21" t="s">
        <v>305</v>
      </c>
      <c r="D665" s="74" t="str">
        <f t="shared" si="230"/>
        <v>qui</v>
      </c>
      <c r="E665" s="169">
        <f>IF(K665&lt;&gt;"",VLOOKUP(K665,'Catálogo SAP'!$A$1:$F$245,2,FALSE),"-")</f>
        <v>290</v>
      </c>
      <c r="F665" s="16">
        <v>256</v>
      </c>
      <c r="G665" s="16">
        <v>256</v>
      </c>
      <c r="H665" s="22"/>
      <c r="I665" s="133">
        <v>216</v>
      </c>
      <c r="J665" s="162" t="str">
        <f t="shared" si="226"/>
        <v>AGUIARNÓPOLIS</v>
      </c>
      <c r="K665" s="16">
        <v>290</v>
      </c>
      <c r="L665" s="167" t="str">
        <f>IF(K665&lt;&gt;"",VLOOKUP(K665,'Catálogo SAP'!A:F,3,FALSE),"")</f>
        <v>S.VP-01454</v>
      </c>
      <c r="M665" s="162" t="str">
        <f>IF(K665&lt;&gt;"",VLOOKUP(K665,'Catálogo SAP'!A:F,4,FALSE),"")</f>
        <v>Hora Improdutiva Motoniveladora C/Operador</v>
      </c>
      <c r="N665" s="168" t="str">
        <f>IF(K665&lt;&gt;"",VLOOKUP(K665,'Catálogo SAP'!A:F,5,FALSE),"")</f>
        <v>H</v>
      </c>
      <c r="O665" s="160">
        <v>7</v>
      </c>
      <c r="P665" s="70">
        <f t="shared" si="239"/>
        <v>0</v>
      </c>
      <c r="Q665" s="163" t="e">
        <f t="shared" si="238"/>
        <v>#VALUE!</v>
      </c>
      <c r="R665" s="44" t="str">
        <f>IF(J665&lt;&gt;"",VLOOKUP(J665,'RESUMO DR'!$B$4:$E$253,4,FALSE),"-")</f>
        <v>T-02</v>
      </c>
      <c r="S665" s="58" t="str">
        <f>IF(J665&lt;&gt;"",VLOOKUP(J665,'RESUMO DR'!$B$4:$E$253,3,FALSE),"-")</f>
        <v>ARAGUAINA</v>
      </c>
      <c r="T665" s="129"/>
      <c r="U665" s="129"/>
      <c r="V665" s="129"/>
      <c r="W665" s="128"/>
      <c r="X665" s="127"/>
      <c r="Y665" s="127"/>
      <c r="Z665" s="4"/>
    </row>
    <row r="666" spans="1:26" ht="18" customHeight="1">
      <c r="A666" s="5">
        <v>1834</v>
      </c>
      <c r="B666" s="21">
        <v>45666</v>
      </c>
      <c r="C666" s="21" t="s">
        <v>300</v>
      </c>
      <c r="D666" s="74" t="str">
        <f t="shared" si="230"/>
        <v>qui</v>
      </c>
      <c r="E666" s="169">
        <f>IF(K666&lt;&gt;"",VLOOKUP(K666,'Catálogo SAP'!$A$1:$F$245,2,FALSE),"-")</f>
        <v>160</v>
      </c>
      <c r="F666" s="16">
        <v>142</v>
      </c>
      <c r="G666" s="16">
        <v>147</v>
      </c>
      <c r="H666" s="22"/>
      <c r="I666" s="133">
        <v>563</v>
      </c>
      <c r="J666" s="162" t="str">
        <f t="shared" si="226"/>
        <v>Tupirama</v>
      </c>
      <c r="K666" s="16">
        <v>160</v>
      </c>
      <c r="L666" s="167" t="str">
        <f>IF(K666&lt;&gt;"",VLOOKUP(K666,'Catálogo SAP'!A:F,3,FALSE),"")</f>
        <v>S.VP-01441</v>
      </c>
      <c r="M666" s="162" t="str">
        <f>IF(K666&lt;&gt;"",VLOOKUP(K666,'Catálogo SAP'!A:F,4,FALSE),"")</f>
        <v>Hora Produtiva Pa Carregadeira C/Operador</v>
      </c>
      <c r="N666" s="168" t="str">
        <f>IF(K666&lt;&gt;"",VLOOKUP(K666,'Catálogo SAP'!A:F,5,FALSE),"")</f>
        <v>H</v>
      </c>
      <c r="O666" s="160">
        <v>5</v>
      </c>
      <c r="P666" s="70">
        <f t="shared" si="239"/>
        <v>5</v>
      </c>
      <c r="Q666" s="163" t="e">
        <f t="shared" si="238"/>
        <v>#VALUE!</v>
      </c>
      <c r="R666" s="44" t="str">
        <f>IF(J666&lt;&gt;"",VLOOKUP(J666,'RESUMO DR'!$B$4:$E$253,4,FALSE),"-")</f>
        <v>T-03</v>
      </c>
      <c r="S666" s="58" t="str">
        <f>IF(J666&lt;&gt;"",VLOOKUP(J666,'RESUMO DR'!$B$4:$E$253,3,FALSE),"-")</f>
        <v>PALMAS</v>
      </c>
      <c r="T666" s="129"/>
      <c r="U666" s="129"/>
      <c r="V666" s="129"/>
      <c r="W666" s="128"/>
      <c r="X666" s="127"/>
      <c r="Y666" s="127"/>
      <c r="Z666" s="4"/>
    </row>
    <row r="667" spans="1:26" ht="13.8">
      <c r="A667" s="5">
        <v>1834</v>
      </c>
      <c r="B667" s="21">
        <v>45666</v>
      </c>
      <c r="C667" s="21" t="s">
        <v>300</v>
      </c>
      <c r="D667" s="74" t="str">
        <f t="shared" si="230"/>
        <v>qui</v>
      </c>
      <c r="E667" s="169">
        <f>IF(K667&lt;&gt;"",VLOOKUP(K667,'Catálogo SAP'!$A$1:$F$245,2,FALSE),"-")</f>
        <v>170</v>
      </c>
      <c r="F667" s="16">
        <v>147</v>
      </c>
      <c r="G667" s="16">
        <v>147</v>
      </c>
      <c r="H667" s="22"/>
      <c r="I667" s="133">
        <v>563</v>
      </c>
      <c r="J667" s="162" t="str">
        <f t="shared" si="226"/>
        <v>Tupirama</v>
      </c>
      <c r="K667" s="16">
        <v>170</v>
      </c>
      <c r="L667" s="167" t="str">
        <f>IF(K667&lt;&gt;"",VLOOKUP(K667,'Catálogo SAP'!A:F,3,FALSE),"")</f>
        <v>S.VP-01442</v>
      </c>
      <c r="M667" s="162" t="str">
        <f>IF(K667&lt;&gt;"",VLOOKUP(K667,'Catálogo SAP'!A:F,4,FALSE),"")</f>
        <v>Hora Improdutiva Pa Carregadeira C/Operador</v>
      </c>
      <c r="N667" s="168" t="str">
        <f>IF(K667&lt;&gt;"",VLOOKUP(K667,'Catálogo SAP'!A:F,5,FALSE),"")</f>
        <v>H</v>
      </c>
      <c r="O667" s="160">
        <v>4</v>
      </c>
      <c r="P667" s="70">
        <f t="shared" si="239"/>
        <v>0</v>
      </c>
      <c r="Q667" s="163" t="e">
        <f t="shared" si="238"/>
        <v>#VALUE!</v>
      </c>
      <c r="R667" s="44" t="str">
        <f>IF(J667&lt;&gt;"",VLOOKUP(J667,'RESUMO DR'!$B$4:$E$253,4,FALSE),"-")</f>
        <v>T-03</v>
      </c>
      <c r="S667" s="58" t="str">
        <f>IF(J667&lt;&gt;"",VLOOKUP(J667,'RESUMO DR'!$B$4:$E$253,3,FALSE),"-")</f>
        <v>PALMAS</v>
      </c>
      <c r="T667" s="129"/>
      <c r="U667" s="129"/>
      <c r="V667" s="129"/>
      <c r="W667" s="128"/>
      <c r="X667" s="127"/>
      <c r="Y667" s="127"/>
      <c r="Z667" s="4"/>
    </row>
    <row r="668" spans="1:26" ht="18" customHeight="1">
      <c r="A668" s="5">
        <v>1826</v>
      </c>
      <c r="B668" s="21">
        <v>45666</v>
      </c>
      <c r="C668" s="21" t="s">
        <v>134</v>
      </c>
      <c r="D668" s="74" t="str">
        <f t="shared" ref="D668:D734" si="245">IF(B668="","-",TEXT(B668,"ddd"))</f>
        <v>qui</v>
      </c>
      <c r="E668" s="169">
        <f>IF(K668&lt;&gt;"",VLOOKUP(K668,'Catálogo SAP'!$A$1:$F$245,2,FALSE),"-")</f>
        <v>480</v>
      </c>
      <c r="F668" s="225">
        <v>3419</v>
      </c>
      <c r="G668" s="16">
        <v>3425</v>
      </c>
      <c r="H668" s="226"/>
      <c r="I668" s="230">
        <v>91</v>
      </c>
      <c r="J668" s="162" t="str">
        <f t="shared" si="226"/>
        <v>IMPERATRIZ</v>
      </c>
      <c r="K668" s="16">
        <v>480</v>
      </c>
      <c r="L668" s="167" t="str">
        <f>IF(K668&lt;&gt;"",VLOOKUP(K668,'Catálogo SAP'!A:F,3,FALSE),"")</f>
        <v>S.VP-01465</v>
      </c>
      <c r="M668" s="162" t="str">
        <f>IF(K668&lt;&gt;"",VLOOKUP(K668,'Catálogo SAP'!A:F,4,FALSE),"")</f>
        <v>Hora Produtiva Miniescavadeira Hidraulica C/ Operador</v>
      </c>
      <c r="N668" s="168" t="str">
        <f>IF(K668&lt;&gt;"",VLOOKUP(K668,'Catálogo SAP'!A:F,5,FALSE),"")</f>
        <v>H</v>
      </c>
      <c r="O668" s="160">
        <v>6</v>
      </c>
      <c r="P668" s="70">
        <f t="shared" si="239"/>
        <v>6</v>
      </c>
      <c r="Q668" s="163" t="e">
        <f t="shared" si="238"/>
        <v>#VALUE!</v>
      </c>
      <c r="R668" s="44" t="str">
        <f>IF(J668&lt;&gt;"",VLOOKUP(J668,'RESUMO DR'!$B$4:$E$253,4,FALSE),"-")</f>
        <v>T-01</v>
      </c>
      <c r="S668" s="58" t="str">
        <f>IF(J668&lt;&gt;"",VLOOKUP(J668,'RESUMO DR'!$B$4:$E$253,3,FALSE),"-")</f>
        <v>IMPERATRIZ</v>
      </c>
      <c r="T668" s="129"/>
      <c r="U668" s="129"/>
      <c r="V668" s="129"/>
      <c r="W668" s="128"/>
      <c r="X668" s="127"/>
      <c r="Y668" s="127"/>
      <c r="Z668" s="4"/>
    </row>
    <row r="669" spans="1:26" ht="18" customHeight="1">
      <c r="A669" s="5">
        <v>1826</v>
      </c>
      <c r="B669" s="21">
        <v>45666</v>
      </c>
      <c r="C669" s="21" t="s">
        <v>134</v>
      </c>
      <c r="D669" s="74" t="str">
        <f t="shared" si="245"/>
        <v>qui</v>
      </c>
      <c r="E669" s="169">
        <f>IF(K669&lt;&gt;"",VLOOKUP(K669,'Catálogo SAP'!$A$1:$F$245,2,FALSE),"-")</f>
        <v>490</v>
      </c>
      <c r="F669" s="16">
        <v>3425</v>
      </c>
      <c r="G669" s="16">
        <v>3425</v>
      </c>
      <c r="H669" s="22"/>
      <c r="I669" s="133">
        <v>91</v>
      </c>
      <c r="J669" s="162" t="str">
        <f t="shared" si="226"/>
        <v>IMPERATRIZ</v>
      </c>
      <c r="K669" s="16">
        <v>490</v>
      </c>
      <c r="L669" s="167" t="str">
        <f>IF(K669&lt;&gt;"",VLOOKUP(K669,'Catálogo SAP'!A:F,3,FALSE),"")</f>
        <v>S.VP-01466</v>
      </c>
      <c r="M669" s="162" t="str">
        <f>IF(K669&lt;&gt;"",VLOOKUP(K669,'Catálogo SAP'!A:F,4,FALSE),"")</f>
        <v>Hora Improdutiva Miniescavadeira Hidraulica C/ Operador</v>
      </c>
      <c r="N669" s="168" t="str">
        <f>IF(K669&lt;&gt;"",VLOOKUP(K669,'Catálogo SAP'!A:F,5,FALSE),"")</f>
        <v>H</v>
      </c>
      <c r="O669" s="160">
        <v>3</v>
      </c>
      <c r="P669" s="70">
        <f t="shared" si="239"/>
        <v>0</v>
      </c>
      <c r="Q669" s="163" t="e">
        <f t="shared" si="238"/>
        <v>#VALUE!</v>
      </c>
      <c r="R669" s="44" t="str">
        <f>IF(J669&lt;&gt;"",VLOOKUP(J669,'RESUMO DR'!$B$4:$E$253,4,FALSE),"-")</f>
        <v>T-01</v>
      </c>
      <c r="S669" s="58" t="str">
        <f>IF(J669&lt;&gt;"",VLOOKUP(J669,'RESUMO DR'!$B$4:$E$253,3,FALSE),"-")</f>
        <v>IMPERATRIZ</v>
      </c>
      <c r="T669" s="129"/>
      <c r="U669" s="129"/>
      <c r="V669" s="129"/>
      <c r="W669" s="128"/>
      <c r="X669" s="127"/>
      <c r="Y669" s="127"/>
      <c r="Z669" s="4"/>
    </row>
    <row r="670" spans="1:26" ht="13.8">
      <c r="A670" s="5">
        <v>1827</v>
      </c>
      <c r="B670" s="21">
        <v>45666</v>
      </c>
      <c r="C670" s="21" t="s">
        <v>315</v>
      </c>
      <c r="D670" s="74" t="str">
        <f t="shared" si="245"/>
        <v>qui</v>
      </c>
      <c r="E670" s="169">
        <f>IF(K670&lt;&gt;"",VLOOKUP(K670,'Catálogo SAP'!$A$1:$F$245,2,FALSE),"-")</f>
        <v>160</v>
      </c>
      <c r="F670" s="16">
        <v>1416</v>
      </c>
      <c r="G670" s="16">
        <v>1425</v>
      </c>
      <c r="H670" s="22"/>
      <c r="I670" s="133">
        <v>59</v>
      </c>
      <c r="J670" s="162" t="str">
        <f t="shared" si="226"/>
        <v>JOÃO LISBOA</v>
      </c>
      <c r="K670" s="16">
        <v>160</v>
      </c>
      <c r="L670" s="167" t="str">
        <f>IF(K670&lt;&gt;"",VLOOKUP(K670,'Catálogo SAP'!A:F,3,FALSE),"")</f>
        <v>S.VP-01441</v>
      </c>
      <c r="M670" s="162" t="str">
        <f>IF(K670&lt;&gt;"",VLOOKUP(K670,'Catálogo SAP'!A:F,4,FALSE),"")</f>
        <v>Hora Produtiva Pa Carregadeira C/Operador</v>
      </c>
      <c r="N670" s="168" t="str">
        <f>IF(K670&lt;&gt;"",VLOOKUP(K670,'Catálogo SAP'!A:F,5,FALSE),"")</f>
        <v>H</v>
      </c>
      <c r="O670" s="160">
        <v>9</v>
      </c>
      <c r="P670" s="70">
        <f t="shared" si="239"/>
        <v>9</v>
      </c>
      <c r="Q670" s="163" t="e">
        <f t="shared" si="238"/>
        <v>#VALUE!</v>
      </c>
      <c r="R670" s="44" t="str">
        <f>IF(J670&lt;&gt;"",VLOOKUP(J670,'RESUMO DR'!$B$4:$E$253,4,FALSE),"-")</f>
        <v>T-01</v>
      </c>
      <c r="S670" s="58" t="str">
        <f>IF(J670&lt;&gt;"",VLOOKUP(J670,'RESUMO DR'!$B$4:$E$253,3,FALSE),"-")</f>
        <v>IMPERATRIZ</v>
      </c>
      <c r="T670" s="129"/>
      <c r="U670" s="129"/>
      <c r="V670" s="129"/>
      <c r="W670" s="128"/>
      <c r="X670" s="127"/>
      <c r="Y670" s="127"/>
      <c r="Z670" s="4"/>
    </row>
    <row r="671" spans="1:26" ht="18" customHeight="1">
      <c r="A671" s="5">
        <v>1830</v>
      </c>
      <c r="B671" s="21">
        <v>45666</v>
      </c>
      <c r="C671" s="21" t="s">
        <v>306</v>
      </c>
      <c r="D671" s="74" t="str">
        <f t="shared" si="245"/>
        <v>qui</v>
      </c>
      <c r="E671" s="169">
        <f>IF(K671&lt;&gt;"",VLOOKUP(K671,'Catálogo SAP'!$A$1:$F$245,2,FALSE),"-")</f>
        <v>280</v>
      </c>
      <c r="F671" s="225">
        <v>537</v>
      </c>
      <c r="G671" s="225">
        <v>546</v>
      </c>
      <c r="H671" s="226"/>
      <c r="I671" s="230">
        <v>438</v>
      </c>
      <c r="J671" s="162" t="str">
        <f t="shared" si="226"/>
        <v>Palmeirante</v>
      </c>
      <c r="K671" s="16">
        <v>280</v>
      </c>
      <c r="L671" s="167" t="str">
        <f>IF(K671&lt;&gt;"",VLOOKUP(K671,'Catálogo SAP'!A:F,3,FALSE),"")</f>
        <v>S.VP-01453</v>
      </c>
      <c r="M671" s="162" t="str">
        <f>IF(K671&lt;&gt;"",VLOOKUP(K671,'Catálogo SAP'!A:F,4,FALSE),"")</f>
        <v>Hora Produtiva Motoniveladora C/Operador</v>
      </c>
      <c r="N671" s="168" t="str">
        <f>IF(K671&lt;&gt;"",VLOOKUP(K671,'Catálogo SAP'!A:F,5,FALSE),"")</f>
        <v>H</v>
      </c>
      <c r="O671" s="160">
        <v>9</v>
      </c>
      <c r="P671" s="70">
        <f t="shared" si="239"/>
        <v>9</v>
      </c>
      <c r="Q671" s="163" t="e">
        <f t="shared" si="238"/>
        <v>#VALUE!</v>
      </c>
      <c r="R671" s="44" t="str">
        <f>IF(J671&lt;&gt;"",VLOOKUP(J671,'RESUMO DR'!$B$4:$E$253,4,FALSE),"-")</f>
        <v>T-02</v>
      </c>
      <c r="S671" s="58" t="str">
        <f>IF(J671&lt;&gt;"",VLOOKUP(J671,'RESUMO DR'!$B$4:$E$253,3,FALSE),"-")</f>
        <v>ARAGUAINA</v>
      </c>
      <c r="T671" s="129"/>
      <c r="U671" s="129"/>
      <c r="V671" s="129"/>
      <c r="W671" s="128"/>
      <c r="X671" s="127"/>
      <c r="Y671" s="127"/>
      <c r="Z671" s="4"/>
    </row>
    <row r="672" spans="1:26" ht="13.8">
      <c r="A672" s="5"/>
      <c r="B672" s="21">
        <v>45666</v>
      </c>
      <c r="C672" s="21" t="s">
        <v>306</v>
      </c>
      <c r="D672" s="74" t="str">
        <f t="shared" si="245"/>
        <v>qui</v>
      </c>
      <c r="E672" s="169" t="str">
        <f>IF(K672&lt;&gt;"",VLOOKUP(K672,'Catálogo SAP'!$A$1:$F$245,2,FALSE),"-")</f>
        <v>-</v>
      </c>
      <c r="F672" s="16"/>
      <c r="G672" s="16"/>
      <c r="H672" s="22"/>
      <c r="I672" s="133"/>
      <c r="J672" s="162" t="str">
        <f t="shared" si="226"/>
        <v/>
      </c>
      <c r="K672" s="16"/>
      <c r="L672" s="167" t="str">
        <f>IF(K672&lt;&gt;"",VLOOKUP(K672,'Catálogo SAP'!A:F,3,FALSE),"")</f>
        <v/>
      </c>
      <c r="M672" s="162" t="str">
        <f>IF(K672&lt;&gt;"",VLOOKUP(K672,'Catálogo SAP'!A:F,4,FALSE),"")</f>
        <v/>
      </c>
      <c r="N672" s="168" t="str">
        <f>IF(K672&lt;&gt;"",VLOOKUP(K672,'Catálogo SAP'!A:F,5,FALSE),"")</f>
        <v/>
      </c>
      <c r="O672" s="160"/>
      <c r="P672" s="70" t="str">
        <f t="shared" si="239"/>
        <v>-</v>
      </c>
      <c r="Q672" s="163" t="str">
        <f t="shared" si="238"/>
        <v>-</v>
      </c>
      <c r="R672" s="44" t="str">
        <f>IF(J672&lt;&gt;"",VLOOKUP(J672,'RESUMO DR'!$B$4:$E$253,4,FALSE),"-")</f>
        <v>-</v>
      </c>
      <c r="S672" s="58" t="str">
        <f>IF(J672&lt;&gt;"",VLOOKUP(J672,'RESUMO DR'!$B$4:$E$253,3,FALSE),"-")</f>
        <v>-</v>
      </c>
      <c r="T672" s="129"/>
      <c r="U672" s="129"/>
      <c r="V672" s="129"/>
      <c r="W672" s="128"/>
      <c r="X672" s="127"/>
      <c r="Y672" s="127"/>
      <c r="Z672" s="4"/>
    </row>
    <row r="673" spans="1:27" ht="18" customHeight="1">
      <c r="A673" s="5">
        <v>1835</v>
      </c>
      <c r="B673" s="21">
        <v>45666</v>
      </c>
      <c r="C673" s="21" t="s">
        <v>310</v>
      </c>
      <c r="D673" s="74" t="str">
        <f t="shared" si="245"/>
        <v>qui</v>
      </c>
      <c r="E673" s="169">
        <f>IF(K673&lt;&gt;"",VLOOKUP(K673,'Catálogo SAP'!$A$1:$F$245,2,FALSE),"-")</f>
        <v>120</v>
      </c>
      <c r="F673" s="225">
        <v>163</v>
      </c>
      <c r="G673" s="225">
        <v>169</v>
      </c>
      <c r="H673" s="226"/>
      <c r="I673" s="230">
        <v>475</v>
      </c>
      <c r="J673" s="162" t="str">
        <f t="shared" si="226"/>
        <v>Tupiratins</v>
      </c>
      <c r="K673" s="16">
        <v>120</v>
      </c>
      <c r="L673" s="167" t="str">
        <f>IF(K673&lt;&gt;"",VLOOKUP(K673,'Catálogo SAP'!A:F,3,FALSE),"")</f>
        <v>S.VP-01437</v>
      </c>
      <c r="M673" s="162" t="str">
        <f>IF(K673&lt;&gt;"",VLOOKUP(K673,'Catálogo SAP'!A:F,4,FALSE),"")</f>
        <v>Hr Produtiva Retroescavadeira C/Operador</v>
      </c>
      <c r="N673" s="168" t="str">
        <f>IF(K673&lt;&gt;"",VLOOKUP(K673,'Catálogo SAP'!A:F,5,FALSE),"")</f>
        <v>H</v>
      </c>
      <c r="O673" s="160">
        <v>6</v>
      </c>
      <c r="P673" s="70">
        <f t="shared" si="239"/>
        <v>6</v>
      </c>
      <c r="Q673" s="163" t="e">
        <f t="shared" si="238"/>
        <v>#VALUE!</v>
      </c>
      <c r="R673" s="44" t="str">
        <f>IF(J673&lt;&gt;"",VLOOKUP(J673,'RESUMO DR'!$B$4:$E$253,4,FALSE),"-")</f>
        <v>T-03</v>
      </c>
      <c r="S673" s="58" t="str">
        <f>IF(J673&lt;&gt;"",VLOOKUP(J673,'RESUMO DR'!$B$4:$E$253,3,FALSE),"-")</f>
        <v>PALMAS</v>
      </c>
      <c r="T673" s="129"/>
      <c r="U673" s="129"/>
      <c r="V673" s="129"/>
      <c r="W673" s="128"/>
      <c r="X673" s="127"/>
      <c r="Y673" s="127"/>
      <c r="Z673" s="4"/>
    </row>
    <row r="674" spans="1:27" ht="18" customHeight="1">
      <c r="A674" s="5">
        <v>1835</v>
      </c>
      <c r="B674" s="21">
        <v>45666</v>
      </c>
      <c r="C674" s="21" t="s">
        <v>310</v>
      </c>
      <c r="D674" s="74" t="str">
        <f t="shared" si="245"/>
        <v>qui</v>
      </c>
      <c r="E674" s="169">
        <f>IF(K674&lt;&gt;"",VLOOKUP(K674,'Catálogo SAP'!$A$1:$F$245,2,FALSE),"-")</f>
        <v>130</v>
      </c>
      <c r="F674" s="225">
        <v>169</v>
      </c>
      <c r="G674" s="225">
        <v>169</v>
      </c>
      <c r="H674" s="226"/>
      <c r="I674" s="230">
        <v>475</v>
      </c>
      <c r="J674" s="162" t="str">
        <f t="shared" si="226"/>
        <v>Tupiratins</v>
      </c>
      <c r="K674" s="16">
        <v>130</v>
      </c>
      <c r="L674" s="167" t="str">
        <f>IF(K674&lt;&gt;"",VLOOKUP(K674,'Catálogo SAP'!A:F,3,FALSE),"")</f>
        <v>S.VP-01438</v>
      </c>
      <c r="M674" s="162" t="str">
        <f>IF(K674&lt;&gt;"",VLOOKUP(K674,'Catálogo SAP'!A:F,4,FALSE),"")</f>
        <v>Hr Improdutiva Retroescavadeira C/Operador</v>
      </c>
      <c r="N674" s="168" t="str">
        <f>IF(K674&lt;&gt;"",VLOOKUP(K674,'Catálogo SAP'!A:F,5,FALSE),"")</f>
        <v>H</v>
      </c>
      <c r="O674" s="160">
        <v>3</v>
      </c>
      <c r="P674" s="70">
        <f t="shared" si="239"/>
        <v>0</v>
      </c>
      <c r="Q674" s="163" t="e">
        <f t="shared" si="238"/>
        <v>#VALUE!</v>
      </c>
      <c r="R674" s="44" t="str">
        <f>IF(J674&lt;&gt;"",VLOOKUP(J674,'RESUMO DR'!$B$4:$E$253,4,FALSE),"-")</f>
        <v>T-03</v>
      </c>
      <c r="S674" s="58" t="str">
        <f>IF(J674&lt;&gt;"",VLOOKUP(J674,'RESUMO DR'!$B$4:$E$253,3,FALSE),"-")</f>
        <v>PALMAS</v>
      </c>
      <c r="T674" s="129"/>
      <c r="U674" s="129"/>
      <c r="V674" s="129"/>
      <c r="W674" s="128"/>
      <c r="X674" s="127"/>
      <c r="Y674" s="127"/>
      <c r="Z674" s="4"/>
    </row>
    <row r="675" spans="1:27" ht="18" customHeight="1">
      <c r="A675" s="5">
        <v>1831</v>
      </c>
      <c r="B675" s="21">
        <v>45666</v>
      </c>
      <c r="C675" s="21" t="s">
        <v>312</v>
      </c>
      <c r="D675" s="74" t="str">
        <f t="shared" si="245"/>
        <v>qui</v>
      </c>
      <c r="E675" s="169">
        <f>IF(K675&lt;&gt;"",VLOOKUP(K675,'Catálogo SAP'!$A$1:$F$245,2,FALSE),"-")</f>
        <v>200</v>
      </c>
      <c r="F675" s="225">
        <v>74999</v>
      </c>
      <c r="G675" s="225">
        <v>75372</v>
      </c>
      <c r="H675" s="226"/>
      <c r="I675" s="230">
        <v>320</v>
      </c>
      <c r="J675" s="162" t="str">
        <f t="shared" si="226"/>
        <v>BABAÇULÂNDIA</v>
      </c>
      <c r="K675" s="16">
        <v>200</v>
      </c>
      <c r="L675" s="167" t="str">
        <f>IF(K675&lt;&gt;"",VLOOKUP(K675,'Catálogo SAP'!A:F,3,FALSE),"")</f>
        <v>S.VP-01445</v>
      </c>
      <c r="M675" s="162" t="str">
        <f>IF(K675&lt;&gt;"",VLOOKUP(K675,'Catálogo SAP'!A:F,4,FALSE),"")</f>
        <v>Km Rodado Caminhão Basculante - C/Motorista</v>
      </c>
      <c r="N675" s="168" t="str">
        <f>IF(K675&lt;&gt;"",VLOOKUP(K675,'Catálogo SAP'!A:F,5,FALSE),"")</f>
        <v>KM</v>
      </c>
      <c r="O675" s="160">
        <v>373</v>
      </c>
      <c r="P675" s="70">
        <f t="shared" si="239"/>
        <v>373</v>
      </c>
      <c r="Q675" s="163" t="e">
        <f t="shared" si="238"/>
        <v>#VALUE!</v>
      </c>
      <c r="R675" s="44" t="str">
        <f>IF(J675&lt;&gt;"",VLOOKUP(J675,'RESUMO DR'!$B$4:$E$253,4,FALSE),"-")</f>
        <v>T-02</v>
      </c>
      <c r="S675" s="58" t="str">
        <f>IF(J675&lt;&gt;"",VLOOKUP(J675,'RESUMO DR'!$B$4:$E$253,3,FALSE),"-")</f>
        <v>ARAGUAINA</v>
      </c>
      <c r="T675" s="129"/>
      <c r="U675" s="129"/>
      <c r="V675" s="129"/>
      <c r="W675" s="128"/>
      <c r="X675" s="127"/>
      <c r="Y675" s="127"/>
      <c r="Z675" s="4"/>
    </row>
    <row r="676" spans="1:27" ht="18" customHeight="1">
      <c r="A676" s="5"/>
      <c r="B676" s="21">
        <v>45666</v>
      </c>
      <c r="C676" s="21" t="s">
        <v>138</v>
      </c>
      <c r="D676" s="74" t="str">
        <f t="shared" si="245"/>
        <v>qui</v>
      </c>
      <c r="E676" s="169" t="str">
        <f>IF(K676&lt;&gt;"",VLOOKUP(K676,'Catálogo SAP'!$A$1:$F$245,2,FALSE),"-")</f>
        <v>-</v>
      </c>
      <c r="F676" s="225"/>
      <c r="G676" s="225"/>
      <c r="H676" s="226"/>
      <c r="I676" s="230"/>
      <c r="J676" s="162" t="str">
        <f t="shared" si="226"/>
        <v/>
      </c>
      <c r="K676" s="16"/>
      <c r="L676" s="167" t="str">
        <f>IF(K676&lt;&gt;"",VLOOKUP(K676,'Catálogo SAP'!A:F,3,FALSE),"")</f>
        <v/>
      </c>
      <c r="M676" s="162" t="str">
        <f>IF(K676&lt;&gt;"",VLOOKUP(K676,'Catálogo SAP'!A:F,4,FALSE),"")</f>
        <v/>
      </c>
      <c r="N676" s="168" t="str">
        <f>IF(K676&lt;&gt;"",VLOOKUP(K676,'Catálogo SAP'!A:F,5,FALSE),"")</f>
        <v/>
      </c>
      <c r="O676" s="160"/>
      <c r="P676" s="70" t="str">
        <f t="shared" si="239"/>
        <v>-</v>
      </c>
      <c r="Q676" s="163" t="str">
        <f t="shared" si="238"/>
        <v>-</v>
      </c>
      <c r="R676" s="44" t="str">
        <f>IF(J676&lt;&gt;"",VLOOKUP(J676,'RESUMO DR'!$B$4:$E$253,4,FALSE),"-")</f>
        <v>-</v>
      </c>
      <c r="S676" s="58" t="str">
        <f>IF(J676&lt;&gt;"",VLOOKUP(J676,'RESUMO DR'!$B$4:$E$253,3,FALSE),"-")</f>
        <v>-</v>
      </c>
      <c r="T676" s="129"/>
      <c r="U676" s="129"/>
      <c r="V676" s="129"/>
      <c r="W676" s="128"/>
      <c r="X676" s="127"/>
      <c r="Y676" s="127"/>
      <c r="Z676" s="4"/>
    </row>
    <row r="677" spans="1:27" ht="18" customHeight="1">
      <c r="A677" s="5"/>
      <c r="B677" s="21">
        <v>45666</v>
      </c>
      <c r="C677" s="21" t="s">
        <v>139</v>
      </c>
      <c r="D677" s="74" t="str">
        <f t="shared" si="245"/>
        <v>qui</v>
      </c>
      <c r="E677" s="169" t="str">
        <f>IF(K677&lt;&gt;"",VLOOKUP(K677,'Catálogo SAP'!$A$1:$F$245,2,FALSE),"-")</f>
        <v>-</v>
      </c>
      <c r="F677" s="16"/>
      <c r="G677" s="16"/>
      <c r="H677" s="22"/>
      <c r="I677" s="133"/>
      <c r="J677" s="162" t="str">
        <f t="shared" si="226"/>
        <v/>
      </c>
      <c r="K677" s="16"/>
      <c r="L677" s="167" t="str">
        <f>IF(K677&lt;&gt;"",VLOOKUP(K677,'Catálogo SAP'!A:F,3,FALSE),"")</f>
        <v/>
      </c>
      <c r="M677" s="162" t="str">
        <f>IF(K677&lt;&gt;"",VLOOKUP(K677,'Catálogo SAP'!A:F,4,FALSE),"")</f>
        <v/>
      </c>
      <c r="N677" s="168" t="str">
        <f>IF(K677&lt;&gt;"",VLOOKUP(K677,'Catálogo SAP'!A:F,5,FALSE),"")</f>
        <v/>
      </c>
      <c r="O677" s="160"/>
      <c r="P677" s="70" t="str">
        <f t="shared" si="239"/>
        <v>-</v>
      </c>
      <c r="Q677" s="163" t="str">
        <f t="shared" si="238"/>
        <v>-</v>
      </c>
      <c r="R677" s="44" t="str">
        <f>IF(J677&lt;&gt;"",VLOOKUP(J677,'RESUMO DR'!$B$4:$E$253,4,FALSE),"-")</f>
        <v>-</v>
      </c>
      <c r="S677" s="58" t="str">
        <f>IF(J677&lt;&gt;"",VLOOKUP(J677,'RESUMO DR'!$B$4:$E$253,3,FALSE),"-")</f>
        <v>-</v>
      </c>
      <c r="T677" s="129"/>
      <c r="U677" s="129"/>
      <c r="V677" s="129"/>
      <c r="W677" s="128"/>
      <c r="X677" s="127"/>
      <c r="Y677" s="127"/>
      <c r="Z677" s="4"/>
    </row>
    <row r="678" spans="1:27" ht="18" customHeight="1">
      <c r="A678" s="5"/>
      <c r="B678" s="222"/>
      <c r="C678" s="222"/>
      <c r="D678" s="223"/>
      <c r="E678" s="224"/>
      <c r="F678" s="225"/>
      <c r="G678" s="225"/>
      <c r="H678" s="226"/>
      <c r="I678" s="227"/>
      <c r="J678" s="228"/>
      <c r="K678" s="225"/>
      <c r="L678" s="167" t="str">
        <f>IF(K678&lt;&gt;"",VLOOKUP(K678,'Catálogo SAP'!A:F,3,FALSE),"")</f>
        <v/>
      </c>
      <c r="M678" s="162" t="str">
        <f>IF(K678&lt;&gt;"",VLOOKUP(K678,'Catálogo SAP'!A:F,4,FALSE),"")</f>
        <v/>
      </c>
      <c r="N678" s="168" t="str">
        <f>IF(K678&lt;&gt;"",VLOOKUP(K678,'Catálogo SAP'!A:F,5,FALSE),"")</f>
        <v/>
      </c>
      <c r="O678" s="231"/>
      <c r="P678" s="70" t="str">
        <f t="shared" si="239"/>
        <v>-</v>
      </c>
      <c r="Q678" s="229"/>
      <c r="R678" s="44" t="str">
        <f>IF(J678&lt;&gt;"",VLOOKUP(J678,'RESUMO DR'!$B$4:$E$253,4,FALSE),"-")</f>
        <v>-</v>
      </c>
      <c r="S678" s="58" t="str">
        <f>IF(J678&lt;&gt;"",VLOOKUP(J678,'RESUMO DR'!$B$4:$E$253,3,FALSE),"-")</f>
        <v>-</v>
      </c>
      <c r="T678" s="129"/>
      <c r="U678" s="129"/>
      <c r="V678" s="129"/>
      <c r="W678" s="128"/>
      <c r="X678" s="127"/>
      <c r="Y678" s="127"/>
      <c r="Z678" s="4"/>
    </row>
    <row r="679" spans="1:27" ht="18" customHeight="1">
      <c r="A679" s="5">
        <v>1846</v>
      </c>
      <c r="B679" s="21">
        <v>45667</v>
      </c>
      <c r="C679" s="21" t="s">
        <v>122</v>
      </c>
      <c r="D679" s="74" t="str">
        <f t="shared" si="245"/>
        <v>sex</v>
      </c>
      <c r="E679" s="169">
        <f>IF(K679&lt;&gt;"",VLOOKUP(K679,'Catálogo SAP'!$A$1:$F$245,2,FALSE),"-")</f>
        <v>120</v>
      </c>
      <c r="F679" s="225">
        <v>3898</v>
      </c>
      <c r="G679" s="225">
        <v>3906</v>
      </c>
      <c r="H679" s="226"/>
      <c r="I679" s="230">
        <v>326</v>
      </c>
      <c r="J679" s="162" t="str">
        <f t="shared" si="226"/>
        <v>BABAÇULÂNDIA</v>
      </c>
      <c r="K679" s="16">
        <v>120</v>
      </c>
      <c r="L679" s="167" t="str">
        <f>IF(K679&lt;&gt;"",VLOOKUP(K679,'Catálogo SAP'!A:F,3,FALSE),"")</f>
        <v>S.VP-01437</v>
      </c>
      <c r="M679" s="162" t="str">
        <f>IF(K679&lt;&gt;"",VLOOKUP(K679,'Catálogo SAP'!A:F,4,FALSE),"")</f>
        <v>Hr Produtiva Retroescavadeira C/Operador</v>
      </c>
      <c r="N679" s="168" t="str">
        <f>IF(K679&lt;&gt;"",VLOOKUP(K679,'Catálogo SAP'!A:F,5,FALSE),"")</f>
        <v>H</v>
      </c>
      <c r="O679" s="160">
        <v>8</v>
      </c>
      <c r="P679" s="70">
        <f t="shared" si="239"/>
        <v>8</v>
      </c>
      <c r="Q679" s="163" t="e">
        <f t="shared" si="238"/>
        <v>#VALUE!</v>
      </c>
      <c r="R679" s="44" t="str">
        <f>IF(J679&lt;&gt;"",VLOOKUP(J679,'RESUMO DR'!$B$4:$E$253,4,FALSE),"-")</f>
        <v>T-02</v>
      </c>
      <c r="S679" s="58" t="str">
        <f>IF(J679&lt;&gt;"",VLOOKUP(J679,'RESUMO DR'!$B$4:$E$253,3,FALSE),"-")</f>
        <v>ARAGUAINA</v>
      </c>
      <c r="T679" s="129"/>
      <c r="U679" s="129"/>
      <c r="V679" s="129"/>
      <c r="W679" s="128"/>
      <c r="X679" s="127"/>
      <c r="Y679" s="127"/>
      <c r="Z679" s="4"/>
    </row>
    <row r="680" spans="1:27" ht="18" customHeight="1">
      <c r="A680" s="5">
        <v>1573</v>
      </c>
      <c r="B680" s="21">
        <v>45667</v>
      </c>
      <c r="C680" s="21" t="s">
        <v>121</v>
      </c>
      <c r="D680" s="74" t="str">
        <f t="shared" si="245"/>
        <v>sex</v>
      </c>
      <c r="E680" s="169">
        <f>IF(K680&lt;&gt;"",VLOOKUP(K680,'Catálogo SAP'!$A$1:$F$245,2,FALSE),"-")</f>
        <v>120</v>
      </c>
      <c r="F680" s="225">
        <v>8741</v>
      </c>
      <c r="G680" s="225">
        <v>8748</v>
      </c>
      <c r="H680" s="226"/>
      <c r="I680" s="230">
        <v>300</v>
      </c>
      <c r="J680" s="162" t="str">
        <f t="shared" si="226"/>
        <v>SAO LUIS</v>
      </c>
      <c r="K680" s="16">
        <v>120</v>
      </c>
      <c r="L680" s="167" t="str">
        <f>IF(K680&lt;&gt;"",VLOOKUP(K680,'Catálogo SAP'!A:F,3,FALSE),"")</f>
        <v>S.VP-01437</v>
      </c>
      <c r="M680" s="162" t="str">
        <f>IF(K680&lt;&gt;"",VLOOKUP(K680,'Catálogo SAP'!A:F,4,FALSE),"")</f>
        <v>Hr Produtiva Retroescavadeira C/Operador</v>
      </c>
      <c r="N680" s="168" t="str">
        <f>IF(K680&lt;&gt;"",VLOOKUP(K680,'Catálogo SAP'!A:F,5,FALSE),"")</f>
        <v>H</v>
      </c>
      <c r="O680" s="160">
        <v>7</v>
      </c>
      <c r="P680" s="70">
        <f t="shared" si="239"/>
        <v>7</v>
      </c>
      <c r="Q680" s="163" t="e">
        <f t="shared" si="238"/>
        <v>#VALUE!</v>
      </c>
      <c r="R680" s="44" t="str">
        <f>IF(J680&lt;&gt;"",VLOOKUP(J680,'RESUMO DR'!$B$4:$E$253,4,FALSE),"-")</f>
        <v>T-02</v>
      </c>
      <c r="S680" s="58" t="str">
        <f>IF(J680&lt;&gt;"",VLOOKUP(J680,'RESUMO DR'!$B$4:$E$253,3,FALSE),"-")</f>
        <v>ARAGUAINA</v>
      </c>
      <c r="T680" s="129"/>
      <c r="U680" s="129"/>
      <c r="V680" s="129"/>
      <c r="W680" s="128"/>
      <c r="X680" s="127"/>
      <c r="Y680" s="127"/>
      <c r="Z680" s="4"/>
    </row>
    <row r="681" spans="1:27" ht="18" customHeight="1">
      <c r="A681" s="5">
        <v>1573</v>
      </c>
      <c r="B681" s="21">
        <v>45667</v>
      </c>
      <c r="C681" s="21" t="s">
        <v>121</v>
      </c>
      <c r="D681" s="74" t="str">
        <f t="shared" si="245"/>
        <v>sex</v>
      </c>
      <c r="E681" s="169">
        <f>IF(K681&lt;&gt;"",VLOOKUP(K681,'Catálogo SAP'!$A$1:$F$245,2,FALSE),"-")</f>
        <v>130</v>
      </c>
      <c r="F681" s="225">
        <v>8748</v>
      </c>
      <c r="G681" s="225">
        <v>8748</v>
      </c>
      <c r="H681" s="226"/>
      <c r="I681" s="230">
        <v>300</v>
      </c>
      <c r="J681" s="162" t="str">
        <f t="shared" si="226"/>
        <v>SAO LUIS</v>
      </c>
      <c r="K681" s="16">
        <v>130</v>
      </c>
      <c r="L681" s="167" t="str">
        <f>IF(K681&lt;&gt;"",VLOOKUP(K681,'Catálogo SAP'!A:F,3,FALSE),"")</f>
        <v>S.VP-01438</v>
      </c>
      <c r="M681" s="162" t="str">
        <f>IF(K681&lt;&gt;"",VLOOKUP(K681,'Catálogo SAP'!A:F,4,FALSE),"")</f>
        <v>Hr Improdutiva Retroescavadeira C/Operador</v>
      </c>
      <c r="N681" s="168" t="str">
        <f>IF(K681&lt;&gt;"",VLOOKUP(K681,'Catálogo SAP'!A:F,5,FALSE),"")</f>
        <v>H</v>
      </c>
      <c r="O681" s="160">
        <v>1</v>
      </c>
      <c r="P681" s="70">
        <f t="shared" si="239"/>
        <v>0</v>
      </c>
      <c r="Q681" s="163" t="e">
        <f t="shared" si="238"/>
        <v>#VALUE!</v>
      </c>
      <c r="R681" s="44" t="str">
        <f>IF(J681&lt;&gt;"",VLOOKUP(J681,'RESUMO DR'!$B$4:$E$253,4,FALSE),"-")</f>
        <v>T-02</v>
      </c>
      <c r="S681" s="58" t="str">
        <f>IF(J681&lt;&gt;"",VLOOKUP(J681,'RESUMO DR'!$B$4:$E$253,3,FALSE),"-")</f>
        <v>ARAGUAINA</v>
      </c>
      <c r="T681" s="129"/>
      <c r="U681" s="129"/>
      <c r="V681" s="129"/>
      <c r="W681" s="128"/>
      <c r="X681" s="127"/>
      <c r="Y681" s="127"/>
      <c r="Z681" s="4"/>
      <c r="AA681" s="38"/>
    </row>
    <row r="682" spans="1:27" ht="18" customHeight="1">
      <c r="A682" s="5"/>
      <c r="B682" s="21">
        <v>45667</v>
      </c>
      <c r="C682" s="21" t="s">
        <v>122</v>
      </c>
      <c r="D682" s="74" t="str">
        <f t="shared" si="245"/>
        <v>sex</v>
      </c>
      <c r="E682" s="169" t="str">
        <f>IF(K682&lt;&gt;"",VLOOKUP(K682,'Catálogo SAP'!$A$1:$F$245,2,FALSE),"-")</f>
        <v>-</v>
      </c>
      <c r="F682" s="225"/>
      <c r="G682" s="225"/>
      <c r="H682" s="22"/>
      <c r="I682" s="133"/>
      <c r="J682" s="162" t="str">
        <f t="shared" si="226"/>
        <v/>
      </c>
      <c r="K682" s="16"/>
      <c r="L682" s="167" t="str">
        <f>IF(K682&lt;&gt;"",VLOOKUP(K682,'Catálogo SAP'!A:F,3,FALSE),"")</f>
        <v/>
      </c>
      <c r="M682" s="162" t="str">
        <f>IF(K682&lt;&gt;"",VLOOKUP(K682,'Catálogo SAP'!A:F,4,FALSE),"")</f>
        <v/>
      </c>
      <c r="N682" s="168" t="str">
        <f>IF(K682&lt;&gt;"",VLOOKUP(K682,'Catálogo SAP'!A:F,5,FALSE),"")</f>
        <v/>
      </c>
      <c r="O682" s="160"/>
      <c r="P682" s="70" t="str">
        <f t="shared" si="239"/>
        <v>-</v>
      </c>
      <c r="Q682" s="163" t="str">
        <f t="shared" si="238"/>
        <v>-</v>
      </c>
      <c r="R682" s="44" t="str">
        <f>IF(J682&lt;&gt;"",VLOOKUP(J682,'RESUMO DR'!$B$4:$E$253,4,FALSE),"-")</f>
        <v>-</v>
      </c>
      <c r="S682" s="58" t="str">
        <f>IF(J682&lt;&gt;"",VLOOKUP(J682,'RESUMO DR'!$B$4:$E$253,3,FALSE),"-")</f>
        <v>-</v>
      </c>
      <c r="T682" s="129"/>
      <c r="U682" s="129"/>
      <c r="V682" s="129"/>
      <c r="W682" s="128"/>
      <c r="X682" s="127"/>
      <c r="Y682" s="127"/>
      <c r="Z682" s="4"/>
    </row>
    <row r="683" spans="1:27" ht="18" customHeight="1">
      <c r="A683" s="5">
        <v>1845</v>
      </c>
      <c r="B683" s="21">
        <v>45667</v>
      </c>
      <c r="C683" s="21" t="s">
        <v>123</v>
      </c>
      <c r="D683" s="74" t="str">
        <f t="shared" ref="D683" si="246">IF(B683="","-",TEXT(B683,"ddd"))</f>
        <v>sex</v>
      </c>
      <c r="E683" s="169">
        <f>IF(K683&lt;&gt;"",VLOOKUP(K683,'Catálogo SAP'!$A$1:$F$245,2,FALSE),"-")</f>
        <v>130</v>
      </c>
      <c r="F683" s="225">
        <v>5908</v>
      </c>
      <c r="G683" s="225">
        <v>5908</v>
      </c>
      <c r="H683" s="226"/>
      <c r="I683" s="230">
        <v>438</v>
      </c>
      <c r="J683" s="162" t="str">
        <f t="shared" si="226"/>
        <v>Palmeirante</v>
      </c>
      <c r="K683" s="225">
        <v>130</v>
      </c>
      <c r="L683" s="167" t="str">
        <f>IF(K683&lt;&gt;"",VLOOKUP(K683,'Catálogo SAP'!A:F,3,FALSE),"")</f>
        <v>S.VP-01438</v>
      </c>
      <c r="M683" s="162" t="str">
        <f>IF(K683&lt;&gt;"",VLOOKUP(K683,'Catálogo SAP'!A:F,4,FALSE),"")</f>
        <v>Hr Improdutiva Retroescavadeira C/Operador</v>
      </c>
      <c r="N683" s="168" t="str">
        <f>IF(K683&lt;&gt;"",VLOOKUP(K683,'Catálogo SAP'!A:F,5,FALSE),"")</f>
        <v>H</v>
      </c>
      <c r="O683" s="231">
        <v>8</v>
      </c>
      <c r="P683" s="70">
        <f t="shared" si="239"/>
        <v>0</v>
      </c>
      <c r="Q683" s="163" t="e">
        <f t="shared" ref="Q683:Q684" si="247">IF(K683="","-",N683*O683)</f>
        <v>#VALUE!</v>
      </c>
      <c r="R683" s="44" t="str">
        <f>IF(J683&lt;&gt;"",VLOOKUP(J683,'RESUMO DR'!$B$4:$E$253,4,FALSE),"-")</f>
        <v>T-02</v>
      </c>
      <c r="S683" s="58" t="str">
        <f>IF(J683&lt;&gt;"",VLOOKUP(J683,'RESUMO DR'!$B$4:$E$253,3,FALSE),"-")</f>
        <v>ARAGUAINA</v>
      </c>
      <c r="T683" s="129"/>
      <c r="U683" s="129"/>
      <c r="V683" s="129"/>
      <c r="W683" s="128"/>
      <c r="X683" s="127"/>
      <c r="Y683" s="127"/>
      <c r="Z683" s="4"/>
    </row>
    <row r="684" spans="1:27" ht="13.95" customHeight="1">
      <c r="A684" s="5"/>
      <c r="B684" s="21">
        <v>45667</v>
      </c>
      <c r="C684" s="21" t="s">
        <v>123</v>
      </c>
      <c r="D684" s="74" t="str">
        <f t="shared" si="245"/>
        <v>sex</v>
      </c>
      <c r="E684" s="169" t="str">
        <f>IF(K684&lt;&gt;"",VLOOKUP(K684,'Catálogo SAP'!$A$1:$F$245,2,FALSE),"-")</f>
        <v>-</v>
      </c>
      <c r="F684" s="225"/>
      <c r="G684" s="225"/>
      <c r="H684" s="226"/>
      <c r="I684" s="230"/>
      <c r="J684" s="162" t="str">
        <f t="shared" ref="J684:J728" si="248">IF(AND(I684&gt;=0.001,I684&lt;=16),"AÇAILÂNDIA","")&amp;IF(AND(I684&gt;=16.001,I684&lt;=44),"S.F. BREJÃO","")&amp;IF(AND(I684&gt;=44.001,I684&lt;=78),"JOÃO LISBOA","")&amp;IF(AND(I684&gt;=78.001,I684&lt;=96.397),"IMPERATRIZ","")&amp;IF(AND(I684&gt;=96.398,I684&lt;=122.82),"EDSON LOBÃO","")&amp;IF(AND(I684&gt;=122.821,I684&lt;=152.303),"RIBAMAR FIQUENE","")&amp;IF(AND(I684&gt;=152.304,I684&lt;=172.403),"CAMPESTRE","")&amp;IF(AND(I684&gt;=172.404,I684&lt;=195),"PORTO FRANCO","")&amp;IF(AND(I684&gt;=300,I684&lt;=300),"SAO LUIS","")&amp;IF(AND(I684&gt;=385.4,I684&lt;=465.4),"Palmeirante","")&amp;IF(AND(I684&gt;=465.401,I684&lt;=520.455),"Tupiratins","")&amp;IF(AND(I684&gt;=520.456,I684&lt;=536.741),"Guaraí","")&amp;IF(AND(I684&gt;=536.742,I684&lt;=580.293),"Tupirama","")&amp;IF(AND(I684&gt;=580.294,I684&lt;=608.637),"Rio dos Bois","")&amp;IF(AND(I684&gt;=608.638,I684&lt;=698.981),"Miracema","")&amp;IF(AND(I684&gt;=698.982,I684&lt;=735.6),"Porto Nacional","")&amp;IF(AND(I684&gt;=195.1,I684&lt;=213.603),"ESTREITO","")&amp;IF(AND(I684&gt;=213.604,I684&lt;=218.976),"AGUIARNÓPOLIS","")&amp;IF(AND(I684&gt;=218.977,I684&lt;=253.5),"PALMEIRAS DO TOCANTINS","")&amp;IF(AND(I684&gt;=253.501,I684&lt;=274.15),"DARCINÓPOLIS","")&amp;IF(AND(I684&gt;=274.151,I684&lt;=299.999),"BABAÇULÂNDIA","")&amp;IF(AND(I684&gt;=356.62,I684&lt;=385.4),"ARAGUAÍNA","")&amp;IF(AND(I684&gt;=300.001,I684&lt;=356.619),"BABAÇULÂNDIA","")&amp;IF(AND(I684&gt;=900,I684&lt;=902),"ENG. VLI","")</f>
        <v/>
      </c>
      <c r="K684" s="16"/>
      <c r="L684" s="167" t="str">
        <f>IF(K684&lt;&gt;"",VLOOKUP(K684,'Catálogo SAP'!A:F,3,FALSE),"")</f>
        <v/>
      </c>
      <c r="M684" s="162" t="str">
        <f>IF(K684&lt;&gt;"",VLOOKUP(K684,'Catálogo SAP'!A:F,4,FALSE),"")</f>
        <v/>
      </c>
      <c r="N684" s="168" t="str">
        <f>IF(K684&lt;&gt;"",VLOOKUP(K684,'Catálogo SAP'!A:F,5,FALSE),"")</f>
        <v/>
      </c>
      <c r="O684" s="160"/>
      <c r="P684" s="70" t="str">
        <f t="shared" si="239"/>
        <v>-</v>
      </c>
      <c r="Q684" s="163" t="str">
        <f t="shared" si="247"/>
        <v>-</v>
      </c>
      <c r="R684" s="44" t="str">
        <f>IF(J684&lt;&gt;"",VLOOKUP(J684,'RESUMO DR'!$B$4:$E$253,4,FALSE),"-")</f>
        <v>-</v>
      </c>
      <c r="S684" s="58" t="str">
        <f>IF(J684&lt;&gt;"",VLOOKUP(J684,'RESUMO DR'!$B$4:$E$253,3,FALSE),"-")</f>
        <v>-</v>
      </c>
      <c r="T684" s="129"/>
      <c r="U684" s="129"/>
      <c r="V684" s="129"/>
      <c r="W684" s="128"/>
      <c r="X684" s="127"/>
      <c r="Y684" s="127"/>
      <c r="Z684" s="4"/>
    </row>
    <row r="685" spans="1:27" ht="18" customHeight="1">
      <c r="A685" s="5"/>
      <c r="B685" s="21">
        <v>45667</v>
      </c>
      <c r="C685" s="21" t="s">
        <v>124</v>
      </c>
      <c r="D685" s="74" t="str">
        <f t="shared" si="245"/>
        <v>sex</v>
      </c>
      <c r="E685" s="169" t="str">
        <f>IF(K685&lt;&gt;"",VLOOKUP(K685,'Catálogo SAP'!$A$1:$F$245,2,FALSE),"-")</f>
        <v>-</v>
      </c>
      <c r="F685" s="16"/>
      <c r="G685" s="16"/>
      <c r="H685" s="22"/>
      <c r="I685" s="133"/>
      <c r="J685" s="162" t="str">
        <f t="shared" si="248"/>
        <v/>
      </c>
      <c r="K685" s="16"/>
      <c r="L685" s="167" t="str">
        <f>IF(K685&lt;&gt;"",VLOOKUP(K685,'Catálogo SAP'!A:F,3,FALSE),"")</f>
        <v/>
      </c>
      <c r="M685" s="162" t="str">
        <f>IF(K685&lt;&gt;"",VLOOKUP(K685,'Catálogo SAP'!A:F,4,FALSE),"")</f>
        <v/>
      </c>
      <c r="N685" s="168" t="str">
        <f>IF(K685&lt;&gt;"",VLOOKUP(K685,'Catálogo SAP'!A:F,5,FALSE),"")</f>
        <v/>
      </c>
      <c r="O685" s="160"/>
      <c r="P685" s="70" t="str">
        <f t="shared" si="239"/>
        <v>-</v>
      </c>
      <c r="Q685" s="163" t="str">
        <f t="shared" ref="Q685:Q727" si="249">IF(K685="","-",N685*O685)</f>
        <v>-</v>
      </c>
      <c r="R685" s="44" t="str">
        <f>IF(J685&lt;&gt;"",VLOOKUP(J685,'RESUMO DR'!$B$4:$E$253,4,FALSE),"-")</f>
        <v>-</v>
      </c>
      <c r="S685" s="58" t="str">
        <f>IF(J685&lt;&gt;"",VLOOKUP(J685,'RESUMO DR'!$B$4:$E$253,3,FALSE),"-")</f>
        <v>-</v>
      </c>
      <c r="T685" s="129"/>
      <c r="U685" s="129"/>
      <c r="V685" s="129"/>
      <c r="W685" s="128"/>
      <c r="X685" s="127"/>
      <c r="Y685" s="127"/>
      <c r="Z685" s="4"/>
    </row>
    <row r="686" spans="1:27" ht="18" customHeight="1">
      <c r="A686" s="5"/>
      <c r="B686" s="21">
        <v>45667</v>
      </c>
      <c r="C686" s="21" t="s">
        <v>124</v>
      </c>
      <c r="D686" s="74" t="str">
        <f t="shared" si="245"/>
        <v>sex</v>
      </c>
      <c r="E686" s="169" t="str">
        <f>IF(K686&lt;&gt;"",VLOOKUP(K686,'Catálogo SAP'!$A$1:$F$245,2,FALSE),"-")</f>
        <v>-</v>
      </c>
      <c r="F686" s="16"/>
      <c r="G686" s="16"/>
      <c r="H686" s="22"/>
      <c r="I686" s="133"/>
      <c r="J686" s="162" t="str">
        <f t="shared" si="248"/>
        <v/>
      </c>
      <c r="K686" s="16"/>
      <c r="L686" s="167" t="str">
        <f>IF(K686&lt;&gt;"",VLOOKUP(K686,'Catálogo SAP'!A:F,3,FALSE),"")</f>
        <v/>
      </c>
      <c r="M686" s="162" t="str">
        <f>IF(K686&lt;&gt;"",VLOOKUP(K686,'Catálogo SAP'!A:F,4,FALSE),"")</f>
        <v/>
      </c>
      <c r="N686" s="168" t="str">
        <f>IF(K686&lt;&gt;"",VLOOKUP(K686,'Catálogo SAP'!A:F,5,FALSE),"")</f>
        <v/>
      </c>
      <c r="O686" s="160"/>
      <c r="P686" s="70" t="str">
        <f t="shared" si="239"/>
        <v>-</v>
      </c>
      <c r="Q686" s="163" t="str">
        <f t="shared" si="249"/>
        <v>-</v>
      </c>
      <c r="R686" s="44" t="str">
        <f>IF(J686&lt;&gt;"",VLOOKUP(J686,'RESUMO DR'!$B$4:$E$253,4,FALSE),"-")</f>
        <v>-</v>
      </c>
      <c r="S686" s="58" t="str">
        <f>IF(J686&lt;&gt;"",VLOOKUP(J686,'RESUMO DR'!$B$4:$E$253,3,FALSE),"-")</f>
        <v>-</v>
      </c>
      <c r="T686" s="129"/>
      <c r="U686" s="129"/>
      <c r="V686" s="129"/>
      <c r="W686" s="128"/>
      <c r="X686" s="127"/>
      <c r="Y686" s="127"/>
      <c r="Z686" s="4"/>
    </row>
    <row r="687" spans="1:27" ht="18" customHeight="1">
      <c r="A687" s="5">
        <v>1838</v>
      </c>
      <c r="B687" s="21">
        <v>45667</v>
      </c>
      <c r="C687" s="21" t="s">
        <v>307</v>
      </c>
      <c r="D687" s="74" t="str">
        <f t="shared" si="245"/>
        <v>sex</v>
      </c>
      <c r="E687" s="169">
        <f>IF(K687&lt;&gt;"",VLOOKUP(K687,'Catálogo SAP'!$A$1:$F$245,2,FALSE),"-")</f>
        <v>200</v>
      </c>
      <c r="F687" s="225">
        <v>67725</v>
      </c>
      <c r="G687" s="225">
        <v>67996</v>
      </c>
      <c r="H687" s="226"/>
      <c r="I687" s="230">
        <v>187</v>
      </c>
      <c r="J687" s="162" t="str">
        <f t="shared" si="248"/>
        <v>PORTO FRANCO</v>
      </c>
      <c r="K687" s="16">
        <v>200</v>
      </c>
      <c r="L687" s="167" t="str">
        <f>IF(K687&lt;&gt;"",VLOOKUP(K687,'Catálogo SAP'!A:F,3,FALSE),"")</f>
        <v>S.VP-01445</v>
      </c>
      <c r="M687" s="162" t="str">
        <f>IF(K687&lt;&gt;"",VLOOKUP(K687,'Catálogo SAP'!A:F,4,FALSE),"")</f>
        <v>Km Rodado Caminhão Basculante - C/Motorista</v>
      </c>
      <c r="N687" s="168" t="str">
        <f>IF(K687&lt;&gt;"",VLOOKUP(K687,'Catálogo SAP'!A:F,5,FALSE),"")</f>
        <v>KM</v>
      </c>
      <c r="O687" s="160">
        <v>271</v>
      </c>
      <c r="P687" s="70">
        <f t="shared" si="239"/>
        <v>271</v>
      </c>
      <c r="Q687" s="163" t="e">
        <f t="shared" si="249"/>
        <v>#VALUE!</v>
      </c>
      <c r="R687" s="44" t="str">
        <f>IF(J687&lt;&gt;"",VLOOKUP(J687,'RESUMO DR'!$B$4:$E$253,4,FALSE),"-")</f>
        <v>T-01</v>
      </c>
      <c r="S687" s="58" t="str">
        <f>IF(J687&lt;&gt;"",VLOOKUP(J687,'RESUMO DR'!$B$4:$E$253,3,FALSE),"-")</f>
        <v>IMPERATRIZ</v>
      </c>
      <c r="T687" s="129"/>
      <c r="U687" s="129"/>
      <c r="V687" s="129"/>
      <c r="W687" s="128"/>
      <c r="X687" s="127"/>
      <c r="Y687" s="127"/>
      <c r="Z687" s="4"/>
    </row>
    <row r="688" spans="1:27" ht="18" customHeight="1">
      <c r="A688" s="5">
        <v>1838</v>
      </c>
      <c r="B688" s="21">
        <v>45667</v>
      </c>
      <c r="C688" s="21" t="s">
        <v>308</v>
      </c>
      <c r="D688" s="74" t="str">
        <f t="shared" si="245"/>
        <v>sex</v>
      </c>
      <c r="E688" s="169">
        <f>IF(K688&lt;&gt;"",VLOOKUP(K688,'Catálogo SAP'!$A$1:$F$245,2,FALSE),"-")</f>
        <v>200</v>
      </c>
      <c r="F688" s="225">
        <v>67300</v>
      </c>
      <c r="G688" s="225">
        <v>67563</v>
      </c>
      <c r="H688" s="226"/>
      <c r="I688" s="230">
        <v>187</v>
      </c>
      <c r="J688" s="162" t="str">
        <f t="shared" si="248"/>
        <v>PORTO FRANCO</v>
      </c>
      <c r="K688" s="16">
        <v>200</v>
      </c>
      <c r="L688" s="167" t="str">
        <f>IF(K688&lt;&gt;"",VLOOKUP(K688,'Catálogo SAP'!A:F,3,FALSE),"")</f>
        <v>S.VP-01445</v>
      </c>
      <c r="M688" s="162" t="str">
        <f>IF(K688&lt;&gt;"",VLOOKUP(K688,'Catálogo SAP'!A:F,4,FALSE),"")</f>
        <v>Km Rodado Caminhão Basculante - C/Motorista</v>
      </c>
      <c r="N688" s="168" t="str">
        <f>IF(K688&lt;&gt;"",VLOOKUP(K688,'Catálogo SAP'!A:F,5,FALSE),"")</f>
        <v>KM</v>
      </c>
      <c r="O688" s="160">
        <v>263</v>
      </c>
      <c r="P688" s="70">
        <f t="shared" si="239"/>
        <v>263</v>
      </c>
      <c r="Q688" s="163" t="e">
        <f t="shared" si="249"/>
        <v>#VALUE!</v>
      </c>
      <c r="R688" s="44" t="str">
        <f>IF(J688&lt;&gt;"",VLOOKUP(J688,'RESUMO DR'!$B$4:$E$253,4,FALSE),"-")</f>
        <v>T-01</v>
      </c>
      <c r="S688" s="58" t="str">
        <f>IF(J688&lt;&gt;"",VLOOKUP(J688,'RESUMO DR'!$B$4:$E$253,3,FALSE),"-")</f>
        <v>IMPERATRIZ</v>
      </c>
      <c r="T688" s="129"/>
      <c r="U688" s="129"/>
      <c r="V688" s="129"/>
      <c r="W688" s="128"/>
      <c r="X688" s="127"/>
      <c r="Y688" s="127"/>
      <c r="Z688" s="4"/>
    </row>
    <row r="689" spans="1:26" ht="18" customHeight="1">
      <c r="A689" s="5">
        <v>1847</v>
      </c>
      <c r="B689" s="21">
        <v>45667</v>
      </c>
      <c r="C689" s="21" t="s">
        <v>127</v>
      </c>
      <c r="D689" s="74" t="str">
        <f t="shared" si="245"/>
        <v>sex</v>
      </c>
      <c r="E689" s="169">
        <f>IF(K689&lt;&gt;"",VLOOKUP(K689,'Catálogo SAP'!$A$1:$F$245,2,FALSE),"-")</f>
        <v>210</v>
      </c>
      <c r="F689" s="225">
        <v>50480</v>
      </c>
      <c r="G689" s="225">
        <v>50480</v>
      </c>
      <c r="H689" s="226"/>
      <c r="I689" s="230">
        <v>216</v>
      </c>
      <c r="J689" s="162" t="str">
        <f t="shared" si="248"/>
        <v>AGUIARNÓPOLIS</v>
      </c>
      <c r="K689" s="16">
        <v>210</v>
      </c>
      <c r="L689" s="167" t="str">
        <f>IF(K689&lt;&gt;"",VLOOKUP(K689,'Catálogo SAP'!A:F,3,FALSE),"")</f>
        <v>S.VP-01446</v>
      </c>
      <c r="M689" s="162" t="str">
        <f>IF(K689&lt;&gt;"",VLOOKUP(K689,'Catálogo SAP'!A:F,4,FALSE),"")</f>
        <v>Hora Improdutiva Basculante - C/Motorista</v>
      </c>
      <c r="N689" s="168" t="str">
        <f>IF(K689&lt;&gt;"",VLOOKUP(K689,'Catálogo SAP'!A:F,5,FALSE),"")</f>
        <v>H</v>
      </c>
      <c r="O689" s="160">
        <v>8</v>
      </c>
      <c r="P689" s="70">
        <f t="shared" si="239"/>
        <v>0</v>
      </c>
      <c r="Q689" s="163" t="e">
        <f t="shared" si="249"/>
        <v>#VALUE!</v>
      </c>
      <c r="R689" s="44" t="str">
        <f>IF(J689&lt;&gt;"",VLOOKUP(J689,'RESUMO DR'!$B$4:$E$253,4,FALSE),"-")</f>
        <v>T-02</v>
      </c>
      <c r="S689" s="58" t="str">
        <f>IF(J689&lt;&gt;"",VLOOKUP(J689,'RESUMO DR'!$B$4:$E$253,3,FALSE),"-")</f>
        <v>ARAGUAINA</v>
      </c>
      <c r="T689" s="129"/>
      <c r="U689" s="129"/>
      <c r="V689" s="129"/>
      <c r="W689" s="128"/>
      <c r="X689" s="127"/>
      <c r="Y689" s="127"/>
      <c r="Z689" s="4"/>
    </row>
    <row r="690" spans="1:26" ht="18" customHeight="1">
      <c r="A690" s="5"/>
      <c r="B690" s="21">
        <v>45667</v>
      </c>
      <c r="C690" s="21" t="s">
        <v>127</v>
      </c>
      <c r="D690" s="74" t="str">
        <f t="shared" ref="D690" si="250">IF(B690="","-",TEXT(B690,"ddd"))</f>
        <v>sex</v>
      </c>
      <c r="E690" s="169" t="str">
        <f>IF(K690&lt;&gt;"",VLOOKUP(K690,'Catálogo SAP'!$A$1:$F$245,2,FALSE),"-")</f>
        <v>-</v>
      </c>
      <c r="F690" s="16"/>
      <c r="G690" s="16"/>
      <c r="H690" s="22"/>
      <c r="I690" s="133"/>
      <c r="J690" s="162" t="str">
        <f t="shared" si="248"/>
        <v/>
      </c>
      <c r="K690" s="16"/>
      <c r="L690" s="167" t="str">
        <f>IF(K690&lt;&gt;"",VLOOKUP(K690,'Catálogo SAP'!A:F,3,FALSE),"")</f>
        <v/>
      </c>
      <c r="M690" s="162" t="str">
        <f>IF(K690&lt;&gt;"",VLOOKUP(K690,'Catálogo SAP'!A:F,4,FALSE),"")</f>
        <v/>
      </c>
      <c r="N690" s="168" t="str">
        <f>IF(K690&lt;&gt;"",VLOOKUP(K690,'Catálogo SAP'!A:F,5,FALSE),"")</f>
        <v/>
      </c>
      <c r="O690" s="160"/>
      <c r="P690" s="70" t="str">
        <f t="shared" si="239"/>
        <v>-</v>
      </c>
      <c r="Q690" s="163" t="str">
        <f t="shared" ref="Q690:Q691" si="251">IF(K690="","-",N690*O690)</f>
        <v>-</v>
      </c>
      <c r="R690" s="44" t="str">
        <f>IF(J690&lt;&gt;"",VLOOKUP(J690,'RESUMO DR'!$B$4:$E$253,4,FALSE),"-")</f>
        <v>-</v>
      </c>
      <c r="S690" s="58" t="str">
        <f>IF(J690&lt;&gt;"",VLOOKUP(J690,'RESUMO DR'!$B$4:$E$253,3,FALSE),"-")</f>
        <v>-</v>
      </c>
      <c r="T690" s="129"/>
      <c r="U690" s="129"/>
      <c r="V690" s="129"/>
      <c r="W690" s="128"/>
      <c r="X690" s="127"/>
      <c r="Y690" s="127"/>
      <c r="Z690" s="4"/>
    </row>
    <row r="691" spans="1:26" ht="18" customHeight="1">
      <c r="A691" s="5">
        <v>1837</v>
      </c>
      <c r="B691" s="21">
        <v>45667</v>
      </c>
      <c r="C691" s="21" t="s">
        <v>313</v>
      </c>
      <c r="D691" s="74" t="str">
        <f t="shared" si="245"/>
        <v>sex</v>
      </c>
      <c r="E691" s="169">
        <f>IF(K691&lt;&gt;"",VLOOKUP(K691,'Catálogo SAP'!$A$1:$F$245,2,FALSE),"-")</f>
        <v>200</v>
      </c>
      <c r="F691" s="225">
        <v>63017</v>
      </c>
      <c r="G691" s="225">
        <v>63293</v>
      </c>
      <c r="H691" s="226"/>
      <c r="I691" s="230">
        <v>83</v>
      </c>
      <c r="J691" s="162" t="str">
        <f t="shared" si="248"/>
        <v>IMPERATRIZ</v>
      </c>
      <c r="K691" s="16">
        <v>200</v>
      </c>
      <c r="L691" s="167" t="str">
        <f>IF(K691&lt;&gt;"",VLOOKUP(K691,'Catálogo SAP'!A:F,3,FALSE),"")</f>
        <v>S.VP-01445</v>
      </c>
      <c r="M691" s="162" t="str">
        <f>IF(K691&lt;&gt;"",VLOOKUP(K691,'Catálogo SAP'!A:F,4,FALSE),"")</f>
        <v>Km Rodado Caminhão Basculante - C/Motorista</v>
      </c>
      <c r="N691" s="168" t="str">
        <f>IF(K691&lt;&gt;"",VLOOKUP(K691,'Catálogo SAP'!A:F,5,FALSE),"")</f>
        <v>KM</v>
      </c>
      <c r="O691" s="160">
        <v>276</v>
      </c>
      <c r="P691" s="70">
        <f t="shared" si="239"/>
        <v>276</v>
      </c>
      <c r="Q691" s="163" t="e">
        <f t="shared" si="251"/>
        <v>#VALUE!</v>
      </c>
      <c r="R691" s="44" t="str">
        <f>IF(J691&lt;&gt;"",VLOOKUP(J691,'RESUMO DR'!$B$4:$E$253,4,FALSE),"-")</f>
        <v>T-01</v>
      </c>
      <c r="S691" s="58" t="str">
        <f>IF(J691&lt;&gt;"",VLOOKUP(J691,'RESUMO DR'!$B$4:$E$253,3,FALSE),"-")</f>
        <v>IMPERATRIZ</v>
      </c>
      <c r="T691" s="129"/>
      <c r="U691" s="129"/>
      <c r="V691" s="129"/>
      <c r="W691" s="128"/>
      <c r="X691" s="127"/>
      <c r="Y691" s="127"/>
      <c r="Z691" s="4"/>
    </row>
    <row r="692" spans="1:26" ht="18" customHeight="1">
      <c r="A692" s="5">
        <v>1844</v>
      </c>
      <c r="B692" s="21">
        <v>45667</v>
      </c>
      <c r="C692" s="21" t="s">
        <v>312</v>
      </c>
      <c r="D692" s="74" t="str">
        <f t="shared" si="245"/>
        <v>sex</v>
      </c>
      <c r="E692" s="169">
        <f>IF(K692&lt;&gt;"",VLOOKUP(K692,'Catálogo SAP'!$A$1:$F$245,2,FALSE),"-")</f>
        <v>200</v>
      </c>
      <c r="F692" s="16">
        <v>75372</v>
      </c>
      <c r="G692" s="16">
        <v>75695</v>
      </c>
      <c r="H692" s="22"/>
      <c r="I692" s="133">
        <v>320</v>
      </c>
      <c r="J692" s="162" t="str">
        <f t="shared" si="248"/>
        <v>BABAÇULÂNDIA</v>
      </c>
      <c r="K692" s="16">
        <v>200</v>
      </c>
      <c r="L692" s="167" t="str">
        <f>IF(K692&lt;&gt;"",VLOOKUP(K692,'Catálogo SAP'!A:F,3,FALSE),"")</f>
        <v>S.VP-01445</v>
      </c>
      <c r="M692" s="162" t="str">
        <f>IF(K692&lt;&gt;"",VLOOKUP(K692,'Catálogo SAP'!A:F,4,FALSE),"")</f>
        <v>Km Rodado Caminhão Basculante - C/Motorista</v>
      </c>
      <c r="N692" s="168" t="str">
        <f>IF(K692&lt;&gt;"",VLOOKUP(K692,'Catálogo SAP'!A:F,5,FALSE),"")</f>
        <v>KM</v>
      </c>
      <c r="O692" s="160">
        <v>323</v>
      </c>
      <c r="P692" s="70">
        <f t="shared" si="239"/>
        <v>323</v>
      </c>
      <c r="Q692" s="163" t="e">
        <f t="shared" si="249"/>
        <v>#VALUE!</v>
      </c>
      <c r="R692" s="44" t="str">
        <f>IF(J692&lt;&gt;"",VLOOKUP(J692,'RESUMO DR'!$B$4:$E$253,4,FALSE),"-")</f>
        <v>T-02</v>
      </c>
      <c r="S692" s="58" t="str">
        <f>IF(J692&lt;&gt;"",VLOOKUP(J692,'RESUMO DR'!$B$4:$E$253,3,FALSE),"-")</f>
        <v>ARAGUAINA</v>
      </c>
      <c r="T692" s="129"/>
      <c r="U692" s="129"/>
      <c r="V692" s="129"/>
      <c r="W692" s="128"/>
      <c r="X692" s="127"/>
      <c r="Y692" s="127"/>
      <c r="Z692" s="4"/>
    </row>
    <row r="693" spans="1:26" ht="18" customHeight="1">
      <c r="A693" s="5">
        <v>1845</v>
      </c>
      <c r="B693" s="21">
        <v>45667</v>
      </c>
      <c r="C693" s="21" t="s">
        <v>129</v>
      </c>
      <c r="D693" s="74" t="str">
        <f t="shared" si="245"/>
        <v>sex</v>
      </c>
      <c r="E693" s="169">
        <f>IF(K693&lt;&gt;"",VLOOKUP(K693,'Catálogo SAP'!$A$1:$F$245,2,FALSE),"-")</f>
        <v>210</v>
      </c>
      <c r="F693" s="225">
        <v>81353</v>
      </c>
      <c r="G693" s="225">
        <v>81353</v>
      </c>
      <c r="H693" s="226"/>
      <c r="I693" s="230">
        <v>438</v>
      </c>
      <c r="J693" s="162" t="str">
        <f t="shared" si="248"/>
        <v>Palmeirante</v>
      </c>
      <c r="K693" s="16">
        <v>210</v>
      </c>
      <c r="L693" s="167" t="str">
        <f>IF(K693&lt;&gt;"",VLOOKUP(K693,'Catálogo SAP'!A:F,3,FALSE),"")</f>
        <v>S.VP-01446</v>
      </c>
      <c r="M693" s="162" t="str">
        <f>IF(K693&lt;&gt;"",VLOOKUP(K693,'Catálogo SAP'!A:F,4,FALSE),"")</f>
        <v>Hora Improdutiva Basculante - C/Motorista</v>
      </c>
      <c r="N693" s="168" t="str">
        <f>IF(K693&lt;&gt;"",VLOOKUP(K693,'Catálogo SAP'!A:F,5,FALSE),"")</f>
        <v>H</v>
      </c>
      <c r="O693" s="160">
        <v>8</v>
      </c>
      <c r="P693" s="70">
        <f t="shared" si="239"/>
        <v>0</v>
      </c>
      <c r="Q693" s="163" t="e">
        <f t="shared" si="249"/>
        <v>#VALUE!</v>
      </c>
      <c r="R693" s="44" t="str">
        <f>IF(J693&lt;&gt;"",VLOOKUP(J693,'RESUMO DR'!$B$4:$E$253,4,FALSE),"-")</f>
        <v>T-02</v>
      </c>
      <c r="S693" s="58" t="str">
        <f>IF(J693&lt;&gt;"",VLOOKUP(J693,'RESUMO DR'!$B$4:$E$253,3,FALSE),"-")</f>
        <v>ARAGUAINA</v>
      </c>
      <c r="T693" s="129"/>
      <c r="U693" s="129"/>
      <c r="V693" s="129"/>
      <c r="W693" s="128"/>
      <c r="X693" s="127"/>
      <c r="Y693" s="127"/>
      <c r="Z693" s="4"/>
    </row>
    <row r="694" spans="1:26" ht="18" customHeight="1">
      <c r="A694" s="5"/>
      <c r="B694" s="21">
        <v>45667</v>
      </c>
      <c r="C694" s="21" t="s">
        <v>298</v>
      </c>
      <c r="D694" s="74" t="str">
        <f t="shared" si="245"/>
        <v>sex</v>
      </c>
      <c r="E694" s="169" t="str">
        <f>IF(K694&lt;&gt;"",VLOOKUP(K694,'Catálogo SAP'!$A$1:$F$245,2,FALSE),"-")</f>
        <v>-</v>
      </c>
      <c r="F694" s="225"/>
      <c r="G694" s="225"/>
      <c r="H694" s="226"/>
      <c r="I694" s="230"/>
      <c r="J694" s="162" t="str">
        <f t="shared" si="248"/>
        <v/>
      </c>
      <c r="K694" s="16"/>
      <c r="L694" s="167" t="str">
        <f>IF(K694&lt;&gt;"",VLOOKUP(K694,'Catálogo SAP'!A:F,3,FALSE),"")</f>
        <v/>
      </c>
      <c r="M694" s="162" t="str">
        <f>IF(K694&lt;&gt;"",VLOOKUP(K694,'Catálogo SAP'!A:F,4,FALSE),"")</f>
        <v/>
      </c>
      <c r="N694" s="168" t="str">
        <f>IF(K694&lt;&gt;"",VLOOKUP(K694,'Catálogo SAP'!A:F,5,FALSE),"")</f>
        <v/>
      </c>
      <c r="O694" s="160"/>
      <c r="P694" s="70" t="str">
        <f t="shared" si="239"/>
        <v>-</v>
      </c>
      <c r="Q694" s="163" t="str">
        <f t="shared" si="249"/>
        <v>-</v>
      </c>
      <c r="R694" s="44" t="str">
        <f>IF(J694&lt;&gt;"",VLOOKUP(J694,'RESUMO DR'!$B$4:$E$253,4,FALSE),"-")</f>
        <v>-</v>
      </c>
      <c r="S694" s="58" t="str">
        <f>IF(J694&lt;&gt;"",VLOOKUP(J694,'RESUMO DR'!$B$4:$E$253,3,FALSE),"-")</f>
        <v>-</v>
      </c>
      <c r="T694" s="129"/>
      <c r="U694" s="129"/>
      <c r="V694" s="129"/>
      <c r="W694" s="128"/>
      <c r="X694" s="127"/>
      <c r="Y694" s="127"/>
      <c r="Z694" s="4"/>
    </row>
    <row r="695" spans="1:26" ht="18" customHeight="1">
      <c r="A695" s="5">
        <v>1838</v>
      </c>
      <c r="B695" s="21">
        <v>45667</v>
      </c>
      <c r="C695" s="21" t="s">
        <v>131</v>
      </c>
      <c r="D695" s="74" t="str">
        <f t="shared" si="245"/>
        <v>sex</v>
      </c>
      <c r="E695" s="169">
        <f>IF(K695&lt;&gt;"",VLOOKUP(K695,'Catálogo SAP'!$A$1:$F$245,2,FALSE),"-")</f>
        <v>520</v>
      </c>
      <c r="F695" s="225">
        <v>10646</v>
      </c>
      <c r="G695" s="16">
        <v>10654</v>
      </c>
      <c r="H695" s="226"/>
      <c r="I695" s="230">
        <v>195</v>
      </c>
      <c r="J695" s="162" t="str">
        <f t="shared" si="248"/>
        <v>PORTO FRANCO</v>
      </c>
      <c r="K695" s="16">
        <v>520</v>
      </c>
      <c r="L695" s="167" t="str">
        <f>IF(K695&lt;&gt;"",VLOOKUP(K695,'Catálogo SAP'!A:F,3,FALSE),"")</f>
        <v>S.VP-01469</v>
      </c>
      <c r="M695" s="162" t="str">
        <f>IF(K695&lt;&gt;"",VLOOKUP(K695,'Catálogo SAP'!A:F,4,FALSE),"")</f>
        <v>Hora Produtiva Escavadeira Hidraulica</v>
      </c>
      <c r="N695" s="168" t="str">
        <f>IF(K695&lt;&gt;"",VLOOKUP(K695,'Catálogo SAP'!A:F,5,FALSE),"")</f>
        <v>H</v>
      </c>
      <c r="O695" s="160">
        <v>8</v>
      </c>
      <c r="P695" s="70">
        <f t="shared" si="239"/>
        <v>8</v>
      </c>
      <c r="Q695" s="163" t="e">
        <f t="shared" si="249"/>
        <v>#VALUE!</v>
      </c>
      <c r="R695" s="44" t="str">
        <f>IF(J695&lt;&gt;"",VLOOKUP(J695,'RESUMO DR'!$B$4:$E$253,4,FALSE),"-")</f>
        <v>T-01</v>
      </c>
      <c r="S695" s="58" t="str">
        <f>IF(J695&lt;&gt;"",VLOOKUP(J695,'RESUMO DR'!$B$4:$E$253,3,FALSE),"-")</f>
        <v>IMPERATRIZ</v>
      </c>
      <c r="T695" s="129"/>
      <c r="U695" s="129"/>
      <c r="V695" s="129"/>
      <c r="W695" s="128"/>
      <c r="X695" s="127"/>
      <c r="Y695" s="127"/>
      <c r="Z695" s="4"/>
    </row>
    <row r="696" spans="1:26" ht="18" customHeight="1">
      <c r="A696" s="5"/>
      <c r="B696" s="21">
        <v>45667</v>
      </c>
      <c r="C696" s="21" t="s">
        <v>131</v>
      </c>
      <c r="D696" s="74" t="str">
        <f t="shared" si="245"/>
        <v>sex</v>
      </c>
      <c r="E696" s="169" t="str">
        <f>IF(K696&lt;&gt;"",VLOOKUP(K696,'Catálogo SAP'!$A$1:$F$245,2,FALSE),"-")</f>
        <v>-</v>
      </c>
      <c r="F696" s="16"/>
      <c r="G696" s="16"/>
      <c r="H696" s="22"/>
      <c r="I696" s="133"/>
      <c r="J696" s="162" t="str">
        <f t="shared" si="248"/>
        <v/>
      </c>
      <c r="K696" s="16"/>
      <c r="L696" s="167" t="str">
        <f>IF(K696&lt;&gt;"",VLOOKUP(K696,'Catálogo SAP'!A:F,3,FALSE),"")</f>
        <v/>
      </c>
      <c r="M696" s="162" t="str">
        <f>IF(K696&lt;&gt;"",VLOOKUP(K696,'Catálogo SAP'!A:F,4,FALSE),"")</f>
        <v/>
      </c>
      <c r="N696" s="168" t="str">
        <f>IF(K696&lt;&gt;"",VLOOKUP(K696,'Catálogo SAP'!A:F,5,FALSE),"")</f>
        <v/>
      </c>
      <c r="O696" s="160"/>
      <c r="P696" s="70" t="str">
        <f t="shared" si="239"/>
        <v>-</v>
      </c>
      <c r="Q696" s="163" t="str">
        <f t="shared" si="249"/>
        <v>-</v>
      </c>
      <c r="R696" s="44" t="str">
        <f>IF(J696&lt;&gt;"",VLOOKUP(J696,'RESUMO DR'!$B$4:$E$253,4,FALSE),"-")</f>
        <v>-</v>
      </c>
      <c r="S696" s="58" t="str">
        <f>IF(J696&lt;&gt;"",VLOOKUP(J696,'RESUMO DR'!$B$4:$E$253,3,FALSE),"-")</f>
        <v>-</v>
      </c>
      <c r="T696" s="129"/>
      <c r="U696" s="129"/>
      <c r="V696" s="129"/>
      <c r="W696" s="128"/>
      <c r="X696" s="127"/>
      <c r="Y696" s="127"/>
      <c r="Z696" s="4"/>
    </row>
    <row r="697" spans="1:26" ht="18" customHeight="1">
      <c r="A697" s="5">
        <v>1847</v>
      </c>
      <c r="B697" s="21">
        <v>45667</v>
      </c>
      <c r="C697" s="21" t="s">
        <v>311</v>
      </c>
      <c r="D697" s="74" t="str">
        <f t="shared" si="245"/>
        <v>sex</v>
      </c>
      <c r="E697" s="169">
        <f>IF(K697&lt;&gt;"",VLOOKUP(K697,'Catálogo SAP'!$A$1:$F$245,2,FALSE),"-")</f>
        <v>120</v>
      </c>
      <c r="F697" s="225">
        <v>1214</v>
      </c>
      <c r="G697" s="225">
        <v>1216</v>
      </c>
      <c r="H697" s="226"/>
      <c r="I697" s="230">
        <v>216</v>
      </c>
      <c r="J697" s="162" t="str">
        <f t="shared" si="248"/>
        <v>AGUIARNÓPOLIS</v>
      </c>
      <c r="K697" s="16">
        <v>120</v>
      </c>
      <c r="L697" s="167" t="str">
        <f>IF(K697&lt;&gt;"",VLOOKUP(K697,'Catálogo SAP'!A:F,3,FALSE),"")</f>
        <v>S.VP-01437</v>
      </c>
      <c r="M697" s="162" t="str">
        <f>IF(K697&lt;&gt;"",VLOOKUP(K697,'Catálogo SAP'!A:F,4,FALSE),"")</f>
        <v>Hr Produtiva Retroescavadeira C/Operador</v>
      </c>
      <c r="N697" s="168" t="str">
        <f>IF(K697&lt;&gt;"",VLOOKUP(K697,'Catálogo SAP'!A:F,5,FALSE),"")</f>
        <v>H</v>
      </c>
      <c r="O697" s="160">
        <v>2</v>
      </c>
      <c r="P697" s="70">
        <f t="shared" si="239"/>
        <v>2</v>
      </c>
      <c r="Q697" s="163" t="e">
        <f t="shared" si="249"/>
        <v>#VALUE!</v>
      </c>
      <c r="R697" s="44" t="str">
        <f>IF(J697&lt;&gt;"",VLOOKUP(J697,'RESUMO DR'!$B$4:$E$253,4,FALSE),"-")</f>
        <v>T-02</v>
      </c>
      <c r="S697" s="58" t="str">
        <f>IF(J697&lt;&gt;"",VLOOKUP(J697,'RESUMO DR'!$B$4:$E$253,3,FALSE),"-")</f>
        <v>ARAGUAINA</v>
      </c>
      <c r="T697" s="129"/>
      <c r="U697" s="129"/>
      <c r="V697" s="129"/>
      <c r="W697" s="128"/>
      <c r="X697" s="127"/>
      <c r="Y697" s="127"/>
      <c r="Z697" s="4"/>
    </row>
    <row r="698" spans="1:26" ht="18" customHeight="1">
      <c r="A698" s="5">
        <v>1847</v>
      </c>
      <c r="B698" s="21">
        <v>45667</v>
      </c>
      <c r="C698" s="21" t="s">
        <v>311</v>
      </c>
      <c r="D698" s="74" t="str">
        <f t="shared" si="245"/>
        <v>sex</v>
      </c>
      <c r="E698" s="169">
        <f>IF(K698&lt;&gt;"",VLOOKUP(K698,'Catálogo SAP'!$A$1:$F$245,2,FALSE),"-")</f>
        <v>130</v>
      </c>
      <c r="F698" s="225">
        <v>1216</v>
      </c>
      <c r="G698" s="225">
        <v>1216</v>
      </c>
      <c r="H698" s="226"/>
      <c r="I698" s="230">
        <v>216</v>
      </c>
      <c r="J698" s="162" t="str">
        <f t="shared" si="248"/>
        <v>AGUIARNÓPOLIS</v>
      </c>
      <c r="K698" s="16">
        <v>130</v>
      </c>
      <c r="L698" s="167" t="str">
        <f>IF(K698&lt;&gt;"",VLOOKUP(K698,'Catálogo SAP'!A:F,3,FALSE),"")</f>
        <v>S.VP-01438</v>
      </c>
      <c r="M698" s="162" t="str">
        <f>IF(K698&lt;&gt;"",VLOOKUP(K698,'Catálogo SAP'!A:F,4,FALSE),"")</f>
        <v>Hr Improdutiva Retroescavadeira C/Operador</v>
      </c>
      <c r="N698" s="168" t="str">
        <f>IF(K698&lt;&gt;"",VLOOKUP(K698,'Catálogo SAP'!A:F,5,FALSE),"")</f>
        <v>H</v>
      </c>
      <c r="O698" s="160">
        <v>6</v>
      </c>
      <c r="P698" s="70">
        <f t="shared" si="239"/>
        <v>0</v>
      </c>
      <c r="Q698" s="163" t="e">
        <f t="shared" si="249"/>
        <v>#VALUE!</v>
      </c>
      <c r="R698" s="44" t="str">
        <f>IF(J698&lt;&gt;"",VLOOKUP(J698,'RESUMO DR'!$B$4:$E$253,4,FALSE),"-")</f>
        <v>T-02</v>
      </c>
      <c r="S698" s="58" t="str">
        <f>IF(J698&lt;&gt;"",VLOOKUP(J698,'RESUMO DR'!$B$4:$E$253,3,FALSE),"-")</f>
        <v>ARAGUAINA</v>
      </c>
      <c r="T698" s="129"/>
      <c r="U698" s="129"/>
      <c r="V698" s="129"/>
      <c r="W698" s="128"/>
      <c r="X698" s="127"/>
      <c r="Y698" s="127"/>
      <c r="Z698" s="4"/>
    </row>
    <row r="699" spans="1:26" ht="18" customHeight="1">
      <c r="A699" s="5">
        <v>1847</v>
      </c>
      <c r="B699" s="21">
        <v>45667</v>
      </c>
      <c r="C699" s="21" t="s">
        <v>305</v>
      </c>
      <c r="D699" s="74" t="str">
        <f t="shared" si="245"/>
        <v>sex</v>
      </c>
      <c r="E699" s="169">
        <f>IF(K699&lt;&gt;"",VLOOKUP(K699,'Catálogo SAP'!$A$1:$F$245,2,FALSE),"-")</f>
        <v>290</v>
      </c>
      <c r="F699" s="225">
        <v>256</v>
      </c>
      <c r="G699" s="225">
        <v>256</v>
      </c>
      <c r="H699" s="226"/>
      <c r="I699" s="230">
        <v>216</v>
      </c>
      <c r="J699" s="162" t="str">
        <f t="shared" si="248"/>
        <v>AGUIARNÓPOLIS</v>
      </c>
      <c r="K699" s="16">
        <v>290</v>
      </c>
      <c r="L699" s="167" t="str">
        <f>IF(K699&lt;&gt;"",VLOOKUP(K699,'Catálogo SAP'!A:F,3,FALSE),"")</f>
        <v>S.VP-01454</v>
      </c>
      <c r="M699" s="162" t="str">
        <f>IF(K699&lt;&gt;"",VLOOKUP(K699,'Catálogo SAP'!A:F,4,FALSE),"")</f>
        <v>Hora Improdutiva Motoniveladora C/Operador</v>
      </c>
      <c r="N699" s="168" t="str">
        <f>IF(K699&lt;&gt;"",VLOOKUP(K699,'Catálogo SAP'!A:F,5,FALSE),"")</f>
        <v>H</v>
      </c>
      <c r="O699" s="160">
        <v>8</v>
      </c>
      <c r="P699" s="70">
        <f t="shared" si="239"/>
        <v>0</v>
      </c>
      <c r="Q699" s="163" t="e">
        <f t="shared" si="249"/>
        <v>#VALUE!</v>
      </c>
      <c r="R699" s="44" t="str">
        <f>IF(J699&lt;&gt;"",VLOOKUP(J699,'RESUMO DR'!$B$4:$E$253,4,FALSE),"-")</f>
        <v>T-02</v>
      </c>
      <c r="S699" s="58" t="str">
        <f>IF(J699&lt;&gt;"",VLOOKUP(J699,'RESUMO DR'!$B$4:$E$253,3,FALSE),"-")</f>
        <v>ARAGUAINA</v>
      </c>
      <c r="T699" s="129"/>
      <c r="U699" s="129"/>
      <c r="V699" s="129"/>
      <c r="W699" s="128"/>
      <c r="X699" s="127"/>
      <c r="Y699" s="127"/>
      <c r="Z699" s="4"/>
    </row>
    <row r="700" spans="1:26" ht="18" customHeight="1">
      <c r="A700" s="5"/>
      <c r="B700" s="21">
        <v>45667</v>
      </c>
      <c r="C700" s="21" t="s">
        <v>305</v>
      </c>
      <c r="D700" s="74" t="str">
        <f t="shared" si="245"/>
        <v>sex</v>
      </c>
      <c r="E700" s="169" t="str">
        <f>IF(K700&lt;&gt;"",VLOOKUP(K700,'Catálogo SAP'!$A$1:$F$245,2,FALSE),"-")</f>
        <v>-</v>
      </c>
      <c r="F700" s="225"/>
      <c r="G700" s="225"/>
      <c r="H700" s="226"/>
      <c r="I700" s="230"/>
      <c r="J700" s="162" t="str">
        <f t="shared" si="248"/>
        <v/>
      </c>
      <c r="K700" s="16"/>
      <c r="L700" s="167" t="str">
        <f>IF(K700&lt;&gt;"",VLOOKUP(K700,'Catálogo SAP'!A:F,3,FALSE),"")</f>
        <v/>
      </c>
      <c r="M700" s="162" t="str">
        <f>IF(K700&lt;&gt;"",VLOOKUP(K700,'Catálogo SAP'!A:F,4,FALSE),"")</f>
        <v/>
      </c>
      <c r="N700" s="168" t="str">
        <f>IF(K700&lt;&gt;"",VLOOKUP(K700,'Catálogo SAP'!A:F,5,FALSE),"")</f>
        <v/>
      </c>
      <c r="O700" s="160"/>
      <c r="P700" s="70" t="str">
        <f t="shared" si="239"/>
        <v>-</v>
      </c>
      <c r="Q700" s="163" t="str">
        <f t="shared" si="249"/>
        <v>-</v>
      </c>
      <c r="R700" s="44" t="str">
        <f>IF(J700&lt;&gt;"",VLOOKUP(J700,'RESUMO DR'!$B$4:$E$253,4,FALSE),"-")</f>
        <v>-</v>
      </c>
      <c r="S700" s="58" t="str">
        <f>IF(J700&lt;&gt;"",VLOOKUP(J700,'RESUMO DR'!$B$4:$E$253,3,FALSE),"-")</f>
        <v>-</v>
      </c>
      <c r="T700" s="129"/>
      <c r="U700" s="129"/>
      <c r="V700" s="129"/>
      <c r="W700" s="128"/>
      <c r="X700" s="127"/>
      <c r="Y700" s="127"/>
      <c r="Z700" s="4"/>
    </row>
    <row r="701" spans="1:26" ht="18" customHeight="1">
      <c r="A701" s="5">
        <v>1849</v>
      </c>
      <c r="B701" s="21">
        <v>45667</v>
      </c>
      <c r="C701" s="21" t="s">
        <v>302</v>
      </c>
      <c r="D701" s="74" t="str">
        <f t="shared" si="245"/>
        <v>sex</v>
      </c>
      <c r="E701" s="169">
        <f>IF(K701&lt;&gt;"",VLOOKUP(K701,'Catálogo SAP'!$A$1:$F$245,2,FALSE),"-")</f>
        <v>160</v>
      </c>
      <c r="F701" s="225">
        <v>147</v>
      </c>
      <c r="G701" s="16">
        <v>151</v>
      </c>
      <c r="H701" s="226"/>
      <c r="I701" s="230">
        <v>563</v>
      </c>
      <c r="J701" s="162" t="str">
        <f t="shared" si="248"/>
        <v>Tupirama</v>
      </c>
      <c r="K701" s="16">
        <v>160</v>
      </c>
      <c r="L701" s="167" t="str">
        <f>IF(K701&lt;&gt;"",VLOOKUP(K701,'Catálogo SAP'!A:F,3,FALSE),"")</f>
        <v>S.VP-01441</v>
      </c>
      <c r="M701" s="162" t="str">
        <f>IF(K701&lt;&gt;"",VLOOKUP(K701,'Catálogo SAP'!A:F,4,FALSE),"")</f>
        <v>Hora Produtiva Pa Carregadeira C/Operador</v>
      </c>
      <c r="N701" s="168" t="str">
        <f>IF(K701&lt;&gt;"",VLOOKUP(K701,'Catálogo SAP'!A:F,5,FALSE),"")</f>
        <v>H</v>
      </c>
      <c r="O701" s="160">
        <v>4</v>
      </c>
      <c r="P701" s="70">
        <f t="shared" si="239"/>
        <v>4</v>
      </c>
      <c r="Q701" s="163" t="e">
        <f t="shared" si="249"/>
        <v>#VALUE!</v>
      </c>
      <c r="R701" s="44" t="str">
        <f>IF(J701&lt;&gt;"",VLOOKUP(J701,'RESUMO DR'!$B$4:$E$253,4,FALSE),"-")</f>
        <v>T-03</v>
      </c>
      <c r="S701" s="58" t="str">
        <f>IF(J701&lt;&gt;"",VLOOKUP(J701,'RESUMO DR'!$B$4:$E$253,3,FALSE),"-")</f>
        <v>PALMAS</v>
      </c>
      <c r="T701" s="129"/>
      <c r="U701" s="129"/>
      <c r="V701" s="129"/>
      <c r="W701" s="128"/>
      <c r="X701" s="127"/>
      <c r="Y701" s="127"/>
      <c r="Z701" s="4"/>
    </row>
    <row r="702" spans="1:26" ht="18" customHeight="1">
      <c r="A702" s="5">
        <v>1849</v>
      </c>
      <c r="B702" s="21">
        <v>45667</v>
      </c>
      <c r="C702" s="21" t="s">
        <v>302</v>
      </c>
      <c r="D702" s="74" t="str">
        <f t="shared" si="245"/>
        <v>sex</v>
      </c>
      <c r="E702" s="169">
        <f>IF(K702&lt;&gt;"",VLOOKUP(K702,'Catálogo SAP'!$A$1:$F$245,2,FALSE),"-")</f>
        <v>170</v>
      </c>
      <c r="F702" s="16">
        <v>151</v>
      </c>
      <c r="G702" s="16">
        <v>151</v>
      </c>
      <c r="H702" s="22"/>
      <c r="I702" s="133">
        <v>563</v>
      </c>
      <c r="J702" s="162" t="str">
        <f t="shared" si="248"/>
        <v>Tupirama</v>
      </c>
      <c r="K702" s="16">
        <v>170</v>
      </c>
      <c r="L702" s="167" t="str">
        <f>IF(K702&lt;&gt;"",VLOOKUP(K702,'Catálogo SAP'!A:F,3,FALSE),"")</f>
        <v>S.VP-01442</v>
      </c>
      <c r="M702" s="162" t="str">
        <f>IF(K702&lt;&gt;"",VLOOKUP(K702,'Catálogo SAP'!A:F,4,FALSE),"")</f>
        <v>Hora Improdutiva Pa Carregadeira C/Operador</v>
      </c>
      <c r="N702" s="168" t="str">
        <f>IF(K702&lt;&gt;"",VLOOKUP(K702,'Catálogo SAP'!A:F,5,FALSE),"")</f>
        <v>H</v>
      </c>
      <c r="O702" s="160">
        <v>4</v>
      </c>
      <c r="P702" s="70">
        <f t="shared" si="239"/>
        <v>0</v>
      </c>
      <c r="Q702" s="163" t="e">
        <f t="shared" si="249"/>
        <v>#VALUE!</v>
      </c>
      <c r="R702" s="44" t="str">
        <f>IF(J702&lt;&gt;"",VLOOKUP(J702,'RESUMO DR'!$B$4:$E$253,4,FALSE),"-")</f>
        <v>T-03</v>
      </c>
      <c r="S702" s="58" t="str">
        <f>IF(J702&lt;&gt;"",VLOOKUP(J702,'RESUMO DR'!$B$4:$E$253,3,FALSE),"-")</f>
        <v>PALMAS</v>
      </c>
      <c r="T702" s="129"/>
      <c r="U702" s="129"/>
      <c r="V702" s="129"/>
      <c r="W702" s="128"/>
      <c r="X702" s="127"/>
      <c r="Y702" s="127"/>
      <c r="Z702" s="4"/>
    </row>
    <row r="703" spans="1:26" ht="18" customHeight="1">
      <c r="A703" s="5">
        <v>1837</v>
      </c>
      <c r="B703" s="21">
        <v>45667</v>
      </c>
      <c r="C703" s="21" t="s">
        <v>134</v>
      </c>
      <c r="D703" s="74" t="str">
        <f t="shared" si="245"/>
        <v>sex</v>
      </c>
      <c r="E703" s="169">
        <f>IF(K703&lt;&gt;"",VLOOKUP(K703,'Catálogo SAP'!$A$1:$F$245,2,FALSE),"-")</f>
        <v>480</v>
      </c>
      <c r="F703" s="225">
        <v>3425</v>
      </c>
      <c r="G703" s="225">
        <v>3426</v>
      </c>
      <c r="H703" s="226"/>
      <c r="I703" s="230">
        <v>91</v>
      </c>
      <c r="J703" s="162" t="str">
        <f t="shared" si="248"/>
        <v>IMPERATRIZ</v>
      </c>
      <c r="K703" s="16">
        <v>480</v>
      </c>
      <c r="L703" s="167" t="str">
        <f>IF(K703&lt;&gt;"",VLOOKUP(K703,'Catálogo SAP'!A:F,3,FALSE),"")</f>
        <v>S.VP-01465</v>
      </c>
      <c r="M703" s="162" t="str">
        <f>IF(K703&lt;&gt;"",VLOOKUP(K703,'Catálogo SAP'!A:F,4,FALSE),"")</f>
        <v>Hora Produtiva Miniescavadeira Hidraulica C/ Operador</v>
      </c>
      <c r="N703" s="168" t="str">
        <f>IF(K703&lt;&gt;"",VLOOKUP(K703,'Catálogo SAP'!A:F,5,FALSE),"")</f>
        <v>H</v>
      </c>
      <c r="O703" s="160">
        <v>1</v>
      </c>
      <c r="P703" s="70">
        <f t="shared" si="239"/>
        <v>1</v>
      </c>
      <c r="Q703" s="163" t="e">
        <f t="shared" si="249"/>
        <v>#VALUE!</v>
      </c>
      <c r="R703" s="44" t="str">
        <f>IF(J703&lt;&gt;"",VLOOKUP(J703,'RESUMO DR'!$B$4:$E$253,4,FALSE),"-")</f>
        <v>T-01</v>
      </c>
      <c r="S703" s="58" t="str">
        <f>IF(J703&lt;&gt;"",VLOOKUP(J703,'RESUMO DR'!$B$4:$E$253,3,FALSE),"-")</f>
        <v>IMPERATRIZ</v>
      </c>
      <c r="T703" s="129"/>
      <c r="U703" s="129"/>
      <c r="V703" s="129"/>
      <c r="W703" s="128"/>
      <c r="X703" s="127"/>
      <c r="Y703" s="127"/>
      <c r="Z703" s="4"/>
    </row>
    <row r="704" spans="1:26" ht="18" customHeight="1">
      <c r="A704" s="5">
        <v>1837</v>
      </c>
      <c r="B704" s="21">
        <v>45667</v>
      </c>
      <c r="C704" s="21" t="s">
        <v>134</v>
      </c>
      <c r="D704" s="74" t="str">
        <f t="shared" si="245"/>
        <v>sex</v>
      </c>
      <c r="E704" s="169">
        <f>IF(K704&lt;&gt;"",VLOOKUP(K704,'Catálogo SAP'!$A$1:$F$245,2,FALSE),"-")</f>
        <v>490</v>
      </c>
      <c r="F704" s="225">
        <v>3426</v>
      </c>
      <c r="G704" s="225">
        <v>3426</v>
      </c>
      <c r="H704" s="226"/>
      <c r="I704" s="230">
        <v>91</v>
      </c>
      <c r="J704" s="162" t="str">
        <f t="shared" si="248"/>
        <v>IMPERATRIZ</v>
      </c>
      <c r="K704" s="16">
        <v>490</v>
      </c>
      <c r="L704" s="167" t="str">
        <f>IF(K704&lt;&gt;"",VLOOKUP(K704,'Catálogo SAP'!A:F,3,FALSE),"")</f>
        <v>S.VP-01466</v>
      </c>
      <c r="M704" s="162" t="str">
        <f>IF(K704&lt;&gt;"",VLOOKUP(K704,'Catálogo SAP'!A:F,4,FALSE),"")</f>
        <v>Hora Improdutiva Miniescavadeira Hidraulica C/ Operador</v>
      </c>
      <c r="N704" s="168" t="str">
        <f>IF(K704&lt;&gt;"",VLOOKUP(K704,'Catálogo SAP'!A:F,5,FALSE),"")</f>
        <v>H</v>
      </c>
      <c r="O704" s="160">
        <v>7</v>
      </c>
      <c r="P704" s="70">
        <f t="shared" si="239"/>
        <v>0</v>
      </c>
      <c r="Q704" s="163" t="e">
        <f t="shared" si="249"/>
        <v>#VALUE!</v>
      </c>
      <c r="R704" s="44" t="str">
        <f>IF(J704&lt;&gt;"",VLOOKUP(J704,'RESUMO DR'!$B$4:$E$253,4,FALSE),"-")</f>
        <v>T-01</v>
      </c>
      <c r="S704" s="58" t="str">
        <f>IF(J704&lt;&gt;"",VLOOKUP(J704,'RESUMO DR'!$B$4:$E$253,3,FALSE),"-")</f>
        <v>IMPERATRIZ</v>
      </c>
      <c r="T704" s="129"/>
      <c r="U704" s="129"/>
      <c r="V704" s="129"/>
      <c r="W704" s="128"/>
      <c r="X704" s="127"/>
      <c r="Y704" s="127"/>
      <c r="Z704" s="4"/>
    </row>
    <row r="705" spans="1:26" ht="18" customHeight="1">
      <c r="A705" s="5"/>
      <c r="B705" s="21">
        <v>45667</v>
      </c>
      <c r="C705" s="21" t="s">
        <v>315</v>
      </c>
      <c r="D705" s="74" t="str">
        <f t="shared" si="245"/>
        <v>sex</v>
      </c>
      <c r="E705" s="169" t="str">
        <f>IF(K705&lt;&gt;"",VLOOKUP(K705,'Catálogo SAP'!$A$1:$F$245,2,FALSE),"-")</f>
        <v>-</v>
      </c>
      <c r="F705" s="16"/>
      <c r="G705" s="16"/>
      <c r="H705" s="22"/>
      <c r="I705" s="133"/>
      <c r="J705" s="162" t="str">
        <f t="shared" si="248"/>
        <v/>
      </c>
      <c r="K705" s="16"/>
      <c r="L705" s="167" t="str">
        <f>IF(K705&lt;&gt;"",VLOOKUP(K705,'Catálogo SAP'!A:F,3,FALSE),"")</f>
        <v/>
      </c>
      <c r="M705" s="162" t="str">
        <f>IF(K705&lt;&gt;"",VLOOKUP(K705,'Catálogo SAP'!A:F,4,FALSE),"")</f>
        <v/>
      </c>
      <c r="N705" s="168" t="str">
        <f>IF(K705&lt;&gt;"",VLOOKUP(K705,'Catálogo SAP'!A:F,5,FALSE),"")</f>
        <v/>
      </c>
      <c r="O705" s="160"/>
      <c r="P705" s="70" t="str">
        <f t="shared" si="239"/>
        <v>-</v>
      </c>
      <c r="Q705" s="163" t="str">
        <f t="shared" si="249"/>
        <v>-</v>
      </c>
      <c r="R705" s="44" t="str">
        <f>IF(J705&lt;&gt;"",VLOOKUP(J705,'RESUMO DR'!$B$4:$E$253,4,FALSE),"-")</f>
        <v>-</v>
      </c>
      <c r="S705" s="58" t="str">
        <f>IF(J705&lt;&gt;"",VLOOKUP(J705,'RESUMO DR'!$B$4:$E$253,3,FALSE),"-")</f>
        <v>-</v>
      </c>
      <c r="T705" s="129"/>
      <c r="U705" s="129"/>
      <c r="V705" s="129"/>
      <c r="W705" s="128"/>
      <c r="X705" s="127"/>
      <c r="Y705" s="127"/>
      <c r="Z705" s="4"/>
    </row>
    <row r="706" spans="1:26" ht="18" customHeight="1">
      <c r="A706" s="5">
        <v>1845</v>
      </c>
      <c r="B706" s="21">
        <v>45667</v>
      </c>
      <c r="C706" s="21" t="s">
        <v>306</v>
      </c>
      <c r="D706" s="74" t="str">
        <f t="shared" si="245"/>
        <v>sex</v>
      </c>
      <c r="E706" s="169">
        <f>IF(K706&lt;&gt;"",VLOOKUP(K706,'Catálogo SAP'!$A$1:$F$245,2,FALSE),"-")</f>
        <v>290</v>
      </c>
      <c r="F706" s="225">
        <v>346</v>
      </c>
      <c r="G706" s="225">
        <v>346</v>
      </c>
      <c r="H706" s="226"/>
      <c r="I706" s="230">
        <v>438</v>
      </c>
      <c r="J706" s="162" t="str">
        <f t="shared" si="248"/>
        <v>Palmeirante</v>
      </c>
      <c r="K706" s="16">
        <v>290</v>
      </c>
      <c r="L706" s="167" t="str">
        <f>IF(K706&lt;&gt;"",VLOOKUP(K706,'Catálogo SAP'!A:F,3,FALSE),"")</f>
        <v>S.VP-01454</v>
      </c>
      <c r="M706" s="162" t="str">
        <f>IF(K706&lt;&gt;"",VLOOKUP(K706,'Catálogo SAP'!A:F,4,FALSE),"")</f>
        <v>Hora Improdutiva Motoniveladora C/Operador</v>
      </c>
      <c r="N706" s="168" t="str">
        <f>IF(K706&lt;&gt;"",VLOOKUP(K706,'Catálogo SAP'!A:F,5,FALSE),"")</f>
        <v>H</v>
      </c>
      <c r="O706" s="160">
        <v>8</v>
      </c>
      <c r="P706" s="70">
        <f t="shared" si="239"/>
        <v>0</v>
      </c>
      <c r="Q706" s="163" t="e">
        <f t="shared" si="249"/>
        <v>#VALUE!</v>
      </c>
      <c r="R706" s="44" t="str">
        <f>IF(J706&lt;&gt;"",VLOOKUP(J706,'RESUMO DR'!$B$4:$E$253,4,FALSE),"-")</f>
        <v>T-02</v>
      </c>
      <c r="S706" s="58" t="str">
        <f>IF(J706&lt;&gt;"",VLOOKUP(J706,'RESUMO DR'!$B$4:$E$253,3,FALSE),"-")</f>
        <v>ARAGUAINA</v>
      </c>
      <c r="T706" s="129"/>
      <c r="U706" s="129"/>
      <c r="V706" s="129"/>
      <c r="W706" s="128"/>
      <c r="X706" s="127"/>
      <c r="Y706" s="127"/>
      <c r="Z706" s="4"/>
    </row>
    <row r="707" spans="1:26" ht="18" customHeight="1">
      <c r="A707" s="5"/>
      <c r="B707" s="21">
        <v>45667</v>
      </c>
      <c r="C707" s="21" t="s">
        <v>306</v>
      </c>
      <c r="D707" s="74" t="str">
        <f t="shared" si="245"/>
        <v>sex</v>
      </c>
      <c r="E707" s="169" t="str">
        <f>IF(K707&lt;&gt;"",VLOOKUP(K707,'Catálogo SAP'!$A$1:$F$245,2,FALSE),"-")</f>
        <v>-</v>
      </c>
      <c r="F707" s="225"/>
      <c r="G707" s="225"/>
      <c r="H707" s="226"/>
      <c r="I707" s="230"/>
      <c r="J707" s="162" t="str">
        <f t="shared" si="248"/>
        <v/>
      </c>
      <c r="K707" s="16"/>
      <c r="L707" s="167" t="str">
        <f>IF(K707&lt;&gt;"",VLOOKUP(K707,'Catálogo SAP'!A:F,3,FALSE),"")</f>
        <v/>
      </c>
      <c r="M707" s="162" t="str">
        <f>IF(K707&lt;&gt;"",VLOOKUP(K707,'Catálogo SAP'!A:F,4,FALSE),"")</f>
        <v/>
      </c>
      <c r="N707" s="168" t="str">
        <f>IF(K707&lt;&gt;"",VLOOKUP(K707,'Catálogo SAP'!A:F,5,FALSE),"")</f>
        <v/>
      </c>
      <c r="O707" s="160"/>
      <c r="P707" s="70" t="str">
        <f t="shared" si="239"/>
        <v>-</v>
      </c>
      <c r="Q707" s="163" t="str">
        <f t="shared" si="249"/>
        <v>-</v>
      </c>
      <c r="R707" s="44" t="str">
        <f>IF(J707&lt;&gt;"",VLOOKUP(J707,'RESUMO DR'!$B$4:$E$253,4,FALSE),"-")</f>
        <v>-</v>
      </c>
      <c r="S707" s="58" t="str">
        <f>IF(J707&lt;&gt;"",VLOOKUP(J707,'RESUMO DR'!$B$4:$E$253,3,FALSE),"-")</f>
        <v>-</v>
      </c>
      <c r="T707" s="129"/>
      <c r="U707" s="129"/>
      <c r="V707" s="129"/>
      <c r="W707" s="128"/>
      <c r="X707" s="127"/>
      <c r="Y707" s="127"/>
      <c r="Z707" s="4"/>
    </row>
    <row r="708" spans="1:26" ht="18" customHeight="1">
      <c r="A708" s="5">
        <v>1848</v>
      </c>
      <c r="B708" s="21">
        <v>45667</v>
      </c>
      <c r="C708" s="21" t="s">
        <v>310</v>
      </c>
      <c r="D708" s="74" t="str">
        <f t="shared" si="245"/>
        <v>sex</v>
      </c>
      <c r="E708" s="169">
        <f>IF(K708&lt;&gt;"",VLOOKUP(K708,'Catálogo SAP'!$A$1:$F$245,2,FALSE),"-")</f>
        <v>130</v>
      </c>
      <c r="F708" s="225">
        <v>169</v>
      </c>
      <c r="G708" s="225">
        <v>169</v>
      </c>
      <c r="H708" s="226"/>
      <c r="I708" s="230">
        <v>475</v>
      </c>
      <c r="J708" s="162" t="str">
        <f t="shared" si="248"/>
        <v>Tupiratins</v>
      </c>
      <c r="K708" s="16">
        <v>130</v>
      </c>
      <c r="L708" s="167" t="str">
        <f>IF(K708&lt;&gt;"",VLOOKUP(K708,'Catálogo SAP'!A:F,3,FALSE),"")</f>
        <v>S.VP-01438</v>
      </c>
      <c r="M708" s="162" t="str">
        <f>IF(K708&lt;&gt;"",VLOOKUP(K708,'Catálogo SAP'!A:F,4,FALSE),"")</f>
        <v>Hr Improdutiva Retroescavadeira C/Operador</v>
      </c>
      <c r="N708" s="168" t="str">
        <f>IF(K708&lt;&gt;"",VLOOKUP(K708,'Catálogo SAP'!A:F,5,FALSE),"")</f>
        <v>H</v>
      </c>
      <c r="O708" s="160">
        <v>8</v>
      </c>
      <c r="P708" s="70">
        <f t="shared" si="239"/>
        <v>0</v>
      </c>
      <c r="Q708" s="163" t="e">
        <f t="shared" si="249"/>
        <v>#VALUE!</v>
      </c>
      <c r="R708" s="44" t="str">
        <f>IF(J708&lt;&gt;"",VLOOKUP(J708,'RESUMO DR'!$B$4:$E$253,4,FALSE),"-")</f>
        <v>T-03</v>
      </c>
      <c r="S708" s="58" t="str">
        <f>IF(J708&lt;&gt;"",VLOOKUP(J708,'RESUMO DR'!$B$4:$E$253,3,FALSE),"-")</f>
        <v>PALMAS</v>
      </c>
      <c r="T708" s="129"/>
      <c r="U708" s="129"/>
      <c r="V708" s="129"/>
      <c r="W708" s="128"/>
      <c r="X708" s="127"/>
      <c r="Y708" s="127"/>
      <c r="Z708" s="4"/>
    </row>
    <row r="709" spans="1:26" ht="18" customHeight="1">
      <c r="A709" s="5"/>
      <c r="B709" s="21">
        <v>45667</v>
      </c>
      <c r="C709" s="21" t="s">
        <v>310</v>
      </c>
      <c r="D709" s="74" t="str">
        <f t="shared" si="245"/>
        <v>sex</v>
      </c>
      <c r="E709" s="169" t="str">
        <f>IF(K709&lt;&gt;"",VLOOKUP(K709,'Catálogo SAP'!$A$1:$F$245,2,FALSE),"-")</f>
        <v>-</v>
      </c>
      <c r="F709" s="16"/>
      <c r="G709" s="16"/>
      <c r="H709" s="22"/>
      <c r="I709" s="133"/>
      <c r="J709" s="162" t="str">
        <f t="shared" si="248"/>
        <v/>
      </c>
      <c r="K709" s="16"/>
      <c r="L709" s="167" t="str">
        <f>IF(K709&lt;&gt;"",VLOOKUP(K709,'Catálogo SAP'!A:F,3,FALSE),"")</f>
        <v/>
      </c>
      <c r="M709" s="162" t="str">
        <f>IF(K709&lt;&gt;"",VLOOKUP(K709,'Catálogo SAP'!A:F,4,FALSE),"")</f>
        <v/>
      </c>
      <c r="N709" s="168" t="str">
        <f>IF(K709&lt;&gt;"",VLOOKUP(K709,'Catálogo SAP'!A:F,5,FALSE),"")</f>
        <v/>
      </c>
      <c r="O709" s="160"/>
      <c r="P709" s="70" t="str">
        <f t="shared" si="239"/>
        <v>-</v>
      </c>
      <c r="Q709" s="163" t="str">
        <f t="shared" ref="Q709:Q712" si="252">IF(K709="","-",N709*O709)</f>
        <v>-</v>
      </c>
      <c r="R709" s="44" t="str">
        <f>IF(J709&lt;&gt;"",VLOOKUP(J709,'RESUMO DR'!$B$4:$E$253,4,FALSE),"-")</f>
        <v>-</v>
      </c>
      <c r="S709" s="58" t="str">
        <f>IF(J709&lt;&gt;"",VLOOKUP(J709,'RESUMO DR'!$B$4:$E$253,3,FALSE),"-")</f>
        <v>-</v>
      </c>
      <c r="T709" s="129"/>
      <c r="U709" s="129"/>
      <c r="V709" s="129"/>
      <c r="W709" s="128"/>
      <c r="X709" s="127"/>
      <c r="Y709" s="127"/>
      <c r="Z709" s="4"/>
    </row>
    <row r="710" spans="1:26" ht="18" customHeight="1">
      <c r="A710" s="5">
        <v>1839</v>
      </c>
      <c r="B710" s="21">
        <v>45667</v>
      </c>
      <c r="C710" s="21" t="s">
        <v>314</v>
      </c>
      <c r="D710" s="74" t="str">
        <f t="shared" ref="D710:D712" si="253">IF(B710="","-",TEXT(B710,"ddd"))</f>
        <v>sex</v>
      </c>
      <c r="E710" s="169">
        <f>IF(K710&lt;&gt;"",VLOOKUP(K710,'Catálogo SAP'!$A$1:$F$245,2,FALSE),"-")</f>
        <v>200</v>
      </c>
      <c r="F710" s="16">
        <v>67098</v>
      </c>
      <c r="G710" s="16">
        <v>67397</v>
      </c>
      <c r="H710" s="22"/>
      <c r="I710" s="133">
        <v>70</v>
      </c>
      <c r="J710" s="162" t="str">
        <f t="shared" si="248"/>
        <v>JOÃO LISBOA</v>
      </c>
      <c r="K710" s="16">
        <v>200</v>
      </c>
      <c r="L710" s="167" t="str">
        <f>IF(K710&lt;&gt;"",VLOOKUP(K710,'Catálogo SAP'!A:F,3,FALSE),"")</f>
        <v>S.VP-01445</v>
      </c>
      <c r="M710" s="162" t="str">
        <f>IF(K710&lt;&gt;"",VLOOKUP(K710,'Catálogo SAP'!A:F,4,FALSE),"")</f>
        <v>Km Rodado Caminhão Basculante - C/Motorista</v>
      </c>
      <c r="N710" s="168" t="str">
        <f>IF(K710&lt;&gt;"",VLOOKUP(K710,'Catálogo SAP'!A:F,5,FALSE),"")</f>
        <v>KM</v>
      </c>
      <c r="O710" s="160">
        <v>299</v>
      </c>
      <c r="P710" s="70">
        <f t="shared" ref="P710:P773" si="254">IF(G710="","-",G710-F710)</f>
        <v>299</v>
      </c>
      <c r="Q710" s="163" t="e">
        <f t="shared" si="252"/>
        <v>#VALUE!</v>
      </c>
      <c r="R710" s="44" t="str">
        <f>IF(J710&lt;&gt;"",VLOOKUP(J710,'RESUMO DR'!$B$4:$E$253,4,FALSE),"-")</f>
        <v>T-01</v>
      </c>
      <c r="S710" s="58" t="str">
        <f>IF(J710&lt;&gt;"",VLOOKUP(J710,'RESUMO DR'!$B$4:$E$253,3,FALSE),"-")</f>
        <v>IMPERATRIZ</v>
      </c>
      <c r="T710" s="129"/>
      <c r="U710" s="129"/>
      <c r="V710" s="129"/>
      <c r="W710" s="128"/>
      <c r="X710" s="127"/>
      <c r="Y710" s="127"/>
      <c r="Z710" s="4"/>
    </row>
    <row r="711" spans="1:26" ht="18" customHeight="1">
      <c r="A711" s="5"/>
      <c r="B711" s="21">
        <v>45667</v>
      </c>
      <c r="C711" s="21" t="s">
        <v>138</v>
      </c>
      <c r="D711" s="74" t="str">
        <f t="shared" si="253"/>
        <v>sex</v>
      </c>
      <c r="E711" s="169" t="str">
        <f>IF(K711&lt;&gt;"",VLOOKUP(K711,'Catálogo SAP'!$A$1:$F$245,2,FALSE),"-")</f>
        <v>-</v>
      </c>
      <c r="F711" s="225"/>
      <c r="G711" s="16"/>
      <c r="H711" s="226"/>
      <c r="I711" s="230"/>
      <c r="J711" s="162" t="str">
        <f t="shared" si="248"/>
        <v/>
      </c>
      <c r="K711" s="16"/>
      <c r="L711" s="167" t="str">
        <f>IF(K711&lt;&gt;"",VLOOKUP(K711,'Catálogo SAP'!A:F,3,FALSE),"")</f>
        <v/>
      </c>
      <c r="M711" s="162" t="str">
        <f>IF(K711&lt;&gt;"",VLOOKUP(K711,'Catálogo SAP'!A:F,4,FALSE),"")</f>
        <v/>
      </c>
      <c r="N711" s="168" t="str">
        <f>IF(K711&lt;&gt;"",VLOOKUP(K711,'Catálogo SAP'!A:F,5,FALSE),"")</f>
        <v/>
      </c>
      <c r="O711" s="160"/>
      <c r="P711" s="70" t="str">
        <f t="shared" si="254"/>
        <v>-</v>
      </c>
      <c r="Q711" s="163" t="str">
        <f t="shared" si="252"/>
        <v>-</v>
      </c>
      <c r="R711" s="44" t="str">
        <f>IF(J711&lt;&gt;"",VLOOKUP(J711,'RESUMO DR'!$B$4:$E$253,4,FALSE),"-")</f>
        <v>-</v>
      </c>
      <c r="S711" s="58" t="str">
        <f>IF(J711&lt;&gt;"",VLOOKUP(J711,'RESUMO DR'!$B$4:$E$253,3,FALSE),"-")</f>
        <v>-</v>
      </c>
      <c r="T711" s="129"/>
      <c r="U711" s="129"/>
      <c r="V711" s="129"/>
      <c r="W711" s="128"/>
      <c r="X711" s="127"/>
      <c r="Y711" s="127"/>
      <c r="Z711" s="4"/>
    </row>
    <row r="712" spans="1:26" ht="18" customHeight="1">
      <c r="A712" s="5"/>
      <c r="B712" s="21">
        <v>45667</v>
      </c>
      <c r="C712" s="21" t="s">
        <v>138</v>
      </c>
      <c r="D712" s="74" t="str">
        <f t="shared" si="253"/>
        <v>sex</v>
      </c>
      <c r="E712" s="169" t="str">
        <f>IF(K712&lt;&gt;"",VLOOKUP(K712,'Catálogo SAP'!$A$1:$F$245,2,FALSE),"-")</f>
        <v>-</v>
      </c>
      <c r="F712" s="16"/>
      <c r="G712" s="16"/>
      <c r="H712" s="22"/>
      <c r="I712" s="133"/>
      <c r="J712" s="162" t="str">
        <f t="shared" si="248"/>
        <v/>
      </c>
      <c r="K712" s="16"/>
      <c r="L712" s="167" t="str">
        <f>IF(K712&lt;&gt;"",VLOOKUP(K712,'Catálogo SAP'!A:F,3,FALSE),"")</f>
        <v/>
      </c>
      <c r="M712" s="162" t="str">
        <f>IF(K712&lt;&gt;"",VLOOKUP(K712,'Catálogo SAP'!A:F,4,FALSE),"")</f>
        <v/>
      </c>
      <c r="N712" s="168" t="str">
        <f>IF(K712&lt;&gt;"",VLOOKUP(K712,'Catálogo SAP'!A:F,5,FALSE),"")</f>
        <v/>
      </c>
      <c r="O712" s="160"/>
      <c r="P712" s="70" t="str">
        <f t="shared" si="254"/>
        <v>-</v>
      </c>
      <c r="Q712" s="163" t="str">
        <f t="shared" si="252"/>
        <v>-</v>
      </c>
      <c r="R712" s="44" t="str">
        <f>IF(J712&lt;&gt;"",VLOOKUP(J712,'RESUMO DR'!$B$4:$E$253,4,FALSE),"-")</f>
        <v>-</v>
      </c>
      <c r="S712" s="58" t="str">
        <f>IF(J712&lt;&gt;"",VLOOKUP(J712,'RESUMO DR'!$B$4:$E$253,3,FALSE),"-")</f>
        <v>-</v>
      </c>
      <c r="T712" s="129"/>
      <c r="U712" s="129"/>
      <c r="V712" s="129"/>
      <c r="W712" s="128"/>
      <c r="X712" s="127"/>
      <c r="Y712" s="127"/>
      <c r="Z712" s="4"/>
    </row>
    <row r="713" spans="1:26" ht="18" customHeight="1">
      <c r="A713" s="5"/>
      <c r="B713" s="21"/>
      <c r="C713" s="21"/>
      <c r="D713" s="74"/>
      <c r="E713" s="169"/>
      <c r="F713" s="16"/>
      <c r="G713" s="16"/>
      <c r="H713" s="22"/>
      <c r="I713" s="133"/>
      <c r="J713" s="162"/>
      <c r="K713" s="16"/>
      <c r="L713" s="167" t="str">
        <f>IF(K713&lt;&gt;"",VLOOKUP(K713,'Catálogo SAP'!A:F,3,FALSE),"")</f>
        <v/>
      </c>
      <c r="M713" s="162" t="str">
        <f>IF(K713&lt;&gt;"",VLOOKUP(K713,'Catálogo SAP'!A:F,4,FALSE),"")</f>
        <v/>
      </c>
      <c r="N713" s="168" t="str">
        <f>IF(K713&lt;&gt;"",VLOOKUP(K713,'Catálogo SAP'!A:F,5,FALSE),"")</f>
        <v/>
      </c>
      <c r="O713" s="160"/>
      <c r="P713" s="70" t="str">
        <f t="shared" si="254"/>
        <v>-</v>
      </c>
      <c r="Q713" s="163"/>
      <c r="R713" s="44" t="str">
        <f>IF(J713&lt;&gt;"",VLOOKUP(J713,'RESUMO DR'!$B$4:$E$253,4,FALSE),"-")</f>
        <v>-</v>
      </c>
      <c r="S713" s="58" t="str">
        <f>IF(J713&lt;&gt;"",VLOOKUP(J713,'RESUMO DR'!$B$4:$E$253,3,FALSE),"-")</f>
        <v>-</v>
      </c>
      <c r="T713" s="129"/>
      <c r="U713" s="129"/>
      <c r="V713" s="129"/>
      <c r="W713" s="128"/>
      <c r="X713" s="127"/>
      <c r="Y713" s="127"/>
      <c r="Z713" s="4"/>
    </row>
    <row r="714" spans="1:26" ht="18" customHeight="1">
      <c r="A714" s="5"/>
      <c r="B714" s="21"/>
      <c r="C714" s="21"/>
      <c r="D714" s="74" t="str">
        <f t="shared" si="245"/>
        <v>-</v>
      </c>
      <c r="E714" s="169" t="str">
        <f>IF(K714&lt;&gt;"",VLOOKUP(K714,'Catálogo SAP'!$A$1:$F$245,2,FALSE),"-")</f>
        <v>-</v>
      </c>
      <c r="F714" s="16"/>
      <c r="G714" s="16"/>
      <c r="H714" s="22"/>
      <c r="I714" s="133"/>
      <c r="J714" s="162" t="str">
        <f t="shared" si="248"/>
        <v/>
      </c>
      <c r="K714" s="16"/>
      <c r="L714" s="167" t="str">
        <f>IF(K714&lt;&gt;"",VLOOKUP(K714,'Catálogo SAP'!A:F,3,FALSE),"")</f>
        <v/>
      </c>
      <c r="M714" s="162" t="str">
        <f>IF(K714&lt;&gt;"",VLOOKUP(K714,'Catálogo SAP'!A:F,4,FALSE),"")</f>
        <v/>
      </c>
      <c r="N714" s="168" t="str">
        <f>IF(K714&lt;&gt;"",VLOOKUP(K714,'Catálogo SAP'!A:F,5,FALSE),"")</f>
        <v/>
      </c>
      <c r="O714" s="160"/>
      <c r="P714" s="70" t="str">
        <f t="shared" si="254"/>
        <v>-</v>
      </c>
      <c r="Q714" s="163" t="str">
        <f t="shared" si="249"/>
        <v>-</v>
      </c>
      <c r="R714" s="44" t="str">
        <f>IF(J714&lt;&gt;"",VLOOKUP(J714,'RESUMO DR'!$B$4:$E$253,4,FALSE),"-")</f>
        <v>-</v>
      </c>
      <c r="S714" s="58" t="str">
        <f>IF(J714&lt;&gt;"",VLOOKUP(J714,'RESUMO DR'!$B$4:$E$253,3,FALSE),"-")</f>
        <v>-</v>
      </c>
      <c r="T714" s="129"/>
      <c r="U714" s="129"/>
      <c r="V714" s="129"/>
      <c r="W714" s="128"/>
      <c r="X714" s="127"/>
      <c r="Y714" s="127"/>
      <c r="Z714" s="4"/>
    </row>
    <row r="715" spans="1:26" ht="18" customHeight="1">
      <c r="A715" s="5"/>
      <c r="B715" s="21">
        <v>45668</v>
      </c>
      <c r="C715" s="21" t="s">
        <v>121</v>
      </c>
      <c r="D715" s="74" t="str">
        <f t="shared" si="245"/>
        <v>sáb</v>
      </c>
      <c r="E715" s="169" t="str">
        <f>IF(K715&lt;&gt;"",VLOOKUP(K715,'Catálogo SAP'!$A$1:$F$245,2,FALSE),"-")</f>
        <v>-</v>
      </c>
      <c r="F715" s="16"/>
      <c r="G715" s="16"/>
      <c r="H715" s="22"/>
      <c r="I715" s="133"/>
      <c r="J715" s="162" t="str">
        <f t="shared" si="248"/>
        <v/>
      </c>
      <c r="K715" s="16"/>
      <c r="L715" s="167" t="str">
        <f>IF(K715&lt;&gt;"",VLOOKUP(K715,'Catálogo SAP'!A:F,3,FALSE),"")</f>
        <v/>
      </c>
      <c r="M715" s="162" t="str">
        <f>IF(K715&lt;&gt;"",VLOOKUP(K715,'Catálogo SAP'!A:F,4,FALSE),"")</f>
        <v/>
      </c>
      <c r="N715" s="168" t="str">
        <f>IF(K715&lt;&gt;"",VLOOKUP(K715,'Catálogo SAP'!A:F,5,FALSE),"")</f>
        <v/>
      </c>
      <c r="O715" s="160"/>
      <c r="P715" s="70" t="str">
        <f t="shared" si="254"/>
        <v>-</v>
      </c>
      <c r="Q715" s="163" t="str">
        <f t="shared" si="249"/>
        <v>-</v>
      </c>
      <c r="R715" s="44" t="str">
        <f>IF(J715&lt;&gt;"",VLOOKUP(J715,'RESUMO DR'!$B$4:$E$253,4,FALSE),"-")</f>
        <v>-</v>
      </c>
      <c r="S715" s="58" t="str">
        <f>IF(J715&lt;&gt;"",VLOOKUP(J715,'RESUMO DR'!$B$4:$E$253,3,FALSE),"-")</f>
        <v>-</v>
      </c>
      <c r="T715" s="129"/>
      <c r="U715" s="129"/>
      <c r="V715" s="129"/>
      <c r="W715" s="128"/>
      <c r="X715" s="127"/>
      <c r="Y715" s="127"/>
      <c r="Z715" s="4"/>
    </row>
    <row r="716" spans="1:26" ht="18" customHeight="1">
      <c r="A716" s="5"/>
      <c r="B716" s="21">
        <v>45668</v>
      </c>
      <c r="C716" s="21" t="s">
        <v>121</v>
      </c>
      <c r="D716" s="74" t="str">
        <f t="shared" si="245"/>
        <v>sáb</v>
      </c>
      <c r="E716" s="169" t="str">
        <f>IF(K716&lt;&gt;"",VLOOKUP(K716,'Catálogo SAP'!$A$1:$F$245,2,FALSE),"-")</f>
        <v>-</v>
      </c>
      <c r="F716" s="16"/>
      <c r="G716" s="16"/>
      <c r="H716" s="22"/>
      <c r="I716" s="133"/>
      <c r="J716" s="162" t="str">
        <f t="shared" si="248"/>
        <v/>
      </c>
      <c r="K716" s="16"/>
      <c r="L716" s="167" t="str">
        <f>IF(K716&lt;&gt;"",VLOOKUP(K716,'Catálogo SAP'!A:F,3,FALSE),"")</f>
        <v/>
      </c>
      <c r="M716" s="162" t="str">
        <f>IF(K716&lt;&gt;"",VLOOKUP(K716,'Catálogo SAP'!A:F,4,FALSE),"")</f>
        <v/>
      </c>
      <c r="N716" s="168" t="str">
        <f>IF(K716&lt;&gt;"",VLOOKUP(K716,'Catálogo SAP'!A:F,5,FALSE),"")</f>
        <v/>
      </c>
      <c r="O716" s="160"/>
      <c r="P716" s="70" t="str">
        <f t="shared" si="254"/>
        <v>-</v>
      </c>
      <c r="Q716" s="163" t="str">
        <f t="shared" si="249"/>
        <v>-</v>
      </c>
      <c r="R716" s="44" t="str">
        <f>IF(J716&lt;&gt;"",VLOOKUP(J716,'RESUMO DR'!$B$4:$E$253,4,FALSE),"-")</f>
        <v>-</v>
      </c>
      <c r="S716" s="58" t="str">
        <f>IF(J716&lt;&gt;"",VLOOKUP(J716,'RESUMO DR'!$B$4:$E$253,3,FALSE),"-")</f>
        <v>-</v>
      </c>
      <c r="T716" s="129"/>
      <c r="U716" s="129"/>
      <c r="V716" s="129"/>
      <c r="W716" s="128"/>
      <c r="X716" s="127"/>
      <c r="Y716" s="127"/>
      <c r="Z716" s="4"/>
    </row>
    <row r="717" spans="1:26" ht="18" customHeight="1">
      <c r="A717" s="5">
        <v>1842</v>
      </c>
      <c r="B717" s="21">
        <v>45668</v>
      </c>
      <c r="C717" s="21" t="s">
        <v>122</v>
      </c>
      <c r="D717" s="74" t="str">
        <f t="shared" si="245"/>
        <v>sáb</v>
      </c>
      <c r="E717" s="169">
        <f>IF(K717&lt;&gt;"",VLOOKUP(K717,'Catálogo SAP'!$A$1:$F$245,2,FALSE),"-")</f>
        <v>120</v>
      </c>
      <c r="F717" s="225">
        <v>3906</v>
      </c>
      <c r="G717" s="225">
        <v>3913</v>
      </c>
      <c r="H717" s="226"/>
      <c r="I717" s="230">
        <v>327</v>
      </c>
      <c r="J717" s="162" t="str">
        <f t="shared" si="248"/>
        <v>BABAÇULÂNDIA</v>
      </c>
      <c r="K717" s="16">
        <v>120</v>
      </c>
      <c r="L717" s="167" t="str">
        <f>IF(K717&lt;&gt;"",VLOOKUP(K717,'Catálogo SAP'!A:F,3,FALSE),"")</f>
        <v>S.VP-01437</v>
      </c>
      <c r="M717" s="162" t="str">
        <f>IF(K717&lt;&gt;"",VLOOKUP(K717,'Catálogo SAP'!A:F,4,FALSE),"")</f>
        <v>Hr Produtiva Retroescavadeira C/Operador</v>
      </c>
      <c r="N717" s="168" t="str">
        <f>IF(K717&lt;&gt;"",VLOOKUP(K717,'Catálogo SAP'!A:F,5,FALSE),"")</f>
        <v>H</v>
      </c>
      <c r="O717" s="160">
        <v>7</v>
      </c>
      <c r="P717" s="70">
        <f t="shared" si="254"/>
        <v>7</v>
      </c>
      <c r="Q717" s="163" t="e">
        <f t="shared" si="249"/>
        <v>#VALUE!</v>
      </c>
      <c r="R717" s="44" t="str">
        <f>IF(J717&lt;&gt;"",VLOOKUP(J717,'RESUMO DR'!$B$4:$E$253,4,FALSE),"-")</f>
        <v>T-02</v>
      </c>
      <c r="S717" s="58" t="str">
        <f>IF(J717&lt;&gt;"",VLOOKUP(J717,'RESUMO DR'!$B$4:$E$253,3,FALSE),"-")</f>
        <v>ARAGUAINA</v>
      </c>
      <c r="T717" s="129"/>
      <c r="U717" s="129"/>
      <c r="V717" s="129"/>
      <c r="W717" s="128"/>
      <c r="X717" s="127"/>
      <c r="Y717" s="127"/>
      <c r="Z717" s="4"/>
    </row>
    <row r="718" spans="1:26" ht="18" customHeight="1">
      <c r="A718" s="5"/>
      <c r="B718" s="21">
        <v>45668</v>
      </c>
      <c r="C718" s="21" t="s">
        <v>123</v>
      </c>
      <c r="D718" s="74" t="str">
        <f t="shared" si="245"/>
        <v>sáb</v>
      </c>
      <c r="E718" s="169" t="str">
        <f>IF(K718&lt;&gt;"",VLOOKUP(K718,'Catálogo SAP'!$A$1:$F$245,2,FALSE),"-")</f>
        <v>-</v>
      </c>
      <c r="F718" s="225"/>
      <c r="G718" s="225"/>
      <c r="H718" s="226"/>
      <c r="I718" s="230"/>
      <c r="J718" s="162" t="str">
        <f t="shared" si="248"/>
        <v/>
      </c>
      <c r="K718" s="16"/>
      <c r="L718" s="167" t="str">
        <f>IF(K718&lt;&gt;"",VLOOKUP(K718,'Catálogo SAP'!A:F,3,FALSE),"")</f>
        <v/>
      </c>
      <c r="M718" s="162" t="str">
        <f>IF(K718&lt;&gt;"",VLOOKUP(K718,'Catálogo SAP'!A:F,4,FALSE),"")</f>
        <v/>
      </c>
      <c r="N718" s="168" t="str">
        <f>IF(K718&lt;&gt;"",VLOOKUP(K718,'Catálogo SAP'!A:F,5,FALSE),"")</f>
        <v/>
      </c>
      <c r="O718" s="160"/>
      <c r="P718" s="70" t="str">
        <f t="shared" si="254"/>
        <v>-</v>
      </c>
      <c r="Q718" s="163" t="str">
        <f t="shared" si="249"/>
        <v>-</v>
      </c>
      <c r="R718" s="44" t="str">
        <f>IF(J718&lt;&gt;"",VLOOKUP(J718,'RESUMO DR'!$B$4:$E$253,4,FALSE),"-")</f>
        <v>-</v>
      </c>
      <c r="S718" s="58" t="str">
        <f>IF(J718&lt;&gt;"",VLOOKUP(J718,'RESUMO DR'!$B$4:$E$253,3,FALSE),"-")</f>
        <v>-</v>
      </c>
      <c r="T718" s="129"/>
      <c r="U718" s="129"/>
      <c r="V718" s="129"/>
      <c r="W718" s="128"/>
      <c r="X718" s="127"/>
      <c r="Y718" s="127"/>
      <c r="Z718" s="4"/>
    </row>
    <row r="719" spans="1:26" ht="18" customHeight="1">
      <c r="A719" s="5">
        <v>1841</v>
      </c>
      <c r="B719" s="21">
        <v>45668</v>
      </c>
      <c r="C719" s="21" t="s">
        <v>124</v>
      </c>
      <c r="D719" s="74" t="str">
        <f t="shared" si="245"/>
        <v>sáb</v>
      </c>
      <c r="E719" s="169">
        <f>IF(K719&lt;&gt;"",VLOOKUP(K719,'Catálogo SAP'!$A$1:$F$245,2,FALSE),"-")</f>
        <v>400</v>
      </c>
      <c r="F719" s="16">
        <v>420930</v>
      </c>
      <c r="G719" s="16">
        <v>421162</v>
      </c>
      <c r="H719" s="22"/>
      <c r="I719" s="133">
        <v>187</v>
      </c>
      <c r="J719" s="162" t="str">
        <f t="shared" si="248"/>
        <v>PORTO FRANCO</v>
      </c>
      <c r="K719" s="16">
        <v>400</v>
      </c>
      <c r="L719" s="167" t="str">
        <f>IF(K719&lt;&gt;"",VLOOKUP(K719,'Catálogo SAP'!A:F,3,FALSE),"")</f>
        <v>S.VP-01461</v>
      </c>
      <c r="M719" s="162" t="str">
        <f>IF(K719&lt;&gt;"",VLOOKUP(K719,'Catálogo SAP'!A:F,4,FALSE),"")</f>
        <v>Km Rodado Carreta Prancha - C/ Motorista</v>
      </c>
      <c r="N719" s="168" t="str">
        <f>IF(K719&lt;&gt;"",VLOOKUP(K719,'Catálogo SAP'!A:F,5,FALSE),"")</f>
        <v>KM</v>
      </c>
      <c r="O719" s="160">
        <v>232</v>
      </c>
      <c r="P719" s="70">
        <f t="shared" si="254"/>
        <v>232</v>
      </c>
      <c r="Q719" s="163" t="e">
        <f t="shared" si="249"/>
        <v>#VALUE!</v>
      </c>
      <c r="R719" s="44" t="str">
        <f>IF(J719&lt;&gt;"",VLOOKUP(J719,'RESUMO DR'!$B$4:$E$253,4,FALSE),"-")</f>
        <v>T-01</v>
      </c>
      <c r="S719" s="58" t="str">
        <f>IF(J719&lt;&gt;"",VLOOKUP(J719,'RESUMO DR'!$B$4:$E$253,3,FALSE),"-")</f>
        <v>IMPERATRIZ</v>
      </c>
      <c r="T719" s="129"/>
      <c r="U719" s="129"/>
      <c r="V719" s="129"/>
      <c r="W719" s="128"/>
      <c r="X719" s="127"/>
      <c r="Y719" s="127"/>
      <c r="Z719" s="4"/>
    </row>
    <row r="720" spans="1:26" ht="18" customHeight="1">
      <c r="A720" s="5"/>
      <c r="B720" s="21">
        <v>45668</v>
      </c>
      <c r="C720" s="21" t="s">
        <v>124</v>
      </c>
      <c r="D720" s="74" t="str">
        <f t="shared" si="245"/>
        <v>sáb</v>
      </c>
      <c r="E720" s="169" t="str">
        <f>IF(K720&lt;&gt;"",VLOOKUP(K720,'Catálogo SAP'!$A$1:$F$245,2,FALSE),"-")</f>
        <v>-</v>
      </c>
      <c r="F720" s="16"/>
      <c r="G720" s="16"/>
      <c r="H720" s="22"/>
      <c r="I720" s="133"/>
      <c r="J720" s="162" t="str">
        <f t="shared" si="248"/>
        <v/>
      </c>
      <c r="K720" s="16"/>
      <c r="L720" s="167" t="str">
        <f>IF(K720&lt;&gt;"",VLOOKUP(K720,'Catálogo SAP'!A:F,3,FALSE),"")</f>
        <v/>
      </c>
      <c r="M720" s="162" t="str">
        <f>IF(K720&lt;&gt;"",VLOOKUP(K720,'Catálogo SAP'!A:F,4,FALSE),"")</f>
        <v/>
      </c>
      <c r="N720" s="168" t="str">
        <f>IF(K720&lt;&gt;"",VLOOKUP(K720,'Catálogo SAP'!A:F,5,FALSE),"")</f>
        <v/>
      </c>
      <c r="O720" s="160"/>
      <c r="P720" s="70" t="str">
        <f t="shared" si="254"/>
        <v>-</v>
      </c>
      <c r="Q720" s="163" t="str">
        <f t="shared" si="249"/>
        <v>-</v>
      </c>
      <c r="R720" s="44" t="str">
        <f>IF(J720&lt;&gt;"",VLOOKUP(J720,'RESUMO DR'!$B$4:$E$253,4,FALSE),"-")</f>
        <v>-</v>
      </c>
      <c r="S720" s="58" t="str">
        <f>IF(J720&lt;&gt;"",VLOOKUP(J720,'RESUMO DR'!$B$4:$E$253,3,FALSE),"-")</f>
        <v>-</v>
      </c>
      <c r="T720" s="129"/>
      <c r="U720" s="129"/>
      <c r="V720" s="129"/>
      <c r="W720" s="128"/>
      <c r="X720" s="127"/>
      <c r="Y720" s="127"/>
      <c r="Z720" s="4"/>
    </row>
    <row r="721" spans="1:26" ht="18" customHeight="1">
      <c r="A721" s="5">
        <v>1841</v>
      </c>
      <c r="B721" s="21">
        <v>45668</v>
      </c>
      <c r="C721" s="21" t="s">
        <v>307</v>
      </c>
      <c r="D721" s="74" t="str">
        <f t="shared" si="245"/>
        <v>sáb</v>
      </c>
      <c r="E721" s="169">
        <f>IF(K721&lt;&gt;"",VLOOKUP(K721,'Catálogo SAP'!$A$1:$F$245,2,FALSE),"-")</f>
        <v>200</v>
      </c>
      <c r="F721" s="225">
        <v>67996</v>
      </c>
      <c r="G721" s="225">
        <v>68326</v>
      </c>
      <c r="H721" s="226"/>
      <c r="I721" s="230">
        <v>187</v>
      </c>
      <c r="J721" s="162" t="str">
        <f t="shared" si="248"/>
        <v>PORTO FRANCO</v>
      </c>
      <c r="K721" s="16">
        <v>200</v>
      </c>
      <c r="L721" s="167" t="str">
        <f>IF(K721&lt;&gt;"",VLOOKUP(K721,'Catálogo SAP'!A:F,3,FALSE),"")</f>
        <v>S.VP-01445</v>
      </c>
      <c r="M721" s="162" t="str">
        <f>IF(K721&lt;&gt;"",VLOOKUP(K721,'Catálogo SAP'!A:F,4,FALSE),"")</f>
        <v>Km Rodado Caminhão Basculante - C/Motorista</v>
      </c>
      <c r="N721" s="168" t="str">
        <f>IF(K721&lt;&gt;"",VLOOKUP(K721,'Catálogo SAP'!A:F,5,FALSE),"")</f>
        <v>KM</v>
      </c>
      <c r="O721" s="160">
        <v>330</v>
      </c>
      <c r="P721" s="70">
        <f t="shared" si="254"/>
        <v>330</v>
      </c>
      <c r="Q721" s="163" t="e">
        <f t="shared" si="249"/>
        <v>#VALUE!</v>
      </c>
      <c r="R721" s="44" t="str">
        <f>IF(J721&lt;&gt;"",VLOOKUP(J721,'RESUMO DR'!$B$4:$E$253,4,FALSE),"-")</f>
        <v>T-01</v>
      </c>
      <c r="S721" s="58" t="str">
        <f>IF(J721&lt;&gt;"",VLOOKUP(J721,'RESUMO DR'!$B$4:$E$253,3,FALSE),"-")</f>
        <v>IMPERATRIZ</v>
      </c>
      <c r="T721" s="129"/>
      <c r="U721" s="129"/>
      <c r="V721" s="129"/>
      <c r="W721" s="128"/>
      <c r="X721" s="127"/>
      <c r="Y721" s="127"/>
      <c r="Z721" s="4"/>
    </row>
    <row r="722" spans="1:26" ht="18" customHeight="1">
      <c r="A722" s="5">
        <v>1841</v>
      </c>
      <c r="B722" s="21">
        <v>45668</v>
      </c>
      <c r="C722" s="21" t="s">
        <v>308</v>
      </c>
      <c r="D722" s="74" t="str">
        <f t="shared" si="245"/>
        <v>sáb</v>
      </c>
      <c r="E722" s="169">
        <f>IF(K722&lt;&gt;"",VLOOKUP(K722,'Catálogo SAP'!$A$1:$F$245,2,FALSE),"-")</f>
        <v>200</v>
      </c>
      <c r="F722" s="225">
        <v>67563</v>
      </c>
      <c r="G722" s="225">
        <v>67804</v>
      </c>
      <c r="H722" s="226"/>
      <c r="I722" s="230">
        <v>187</v>
      </c>
      <c r="J722" s="162" t="str">
        <f t="shared" si="248"/>
        <v>PORTO FRANCO</v>
      </c>
      <c r="K722" s="16">
        <v>200</v>
      </c>
      <c r="L722" s="167" t="str">
        <f>IF(K722&lt;&gt;"",VLOOKUP(K722,'Catálogo SAP'!A:F,3,FALSE),"")</f>
        <v>S.VP-01445</v>
      </c>
      <c r="M722" s="162" t="str">
        <f>IF(K722&lt;&gt;"",VLOOKUP(K722,'Catálogo SAP'!A:F,4,FALSE),"")</f>
        <v>Km Rodado Caminhão Basculante - C/Motorista</v>
      </c>
      <c r="N722" s="168" t="str">
        <f>IF(K722&lt;&gt;"",VLOOKUP(K722,'Catálogo SAP'!A:F,5,FALSE),"")</f>
        <v>KM</v>
      </c>
      <c r="O722" s="160">
        <v>241</v>
      </c>
      <c r="P722" s="70">
        <f t="shared" si="254"/>
        <v>241</v>
      </c>
      <c r="Q722" s="163" t="e">
        <f t="shared" si="249"/>
        <v>#VALUE!</v>
      </c>
      <c r="R722" s="44" t="str">
        <f>IF(J722&lt;&gt;"",VLOOKUP(J722,'RESUMO DR'!$B$4:$E$253,4,FALSE),"-")</f>
        <v>T-01</v>
      </c>
      <c r="S722" s="58" t="str">
        <f>IF(J722&lt;&gt;"",VLOOKUP(J722,'RESUMO DR'!$B$4:$E$253,3,FALSE),"-")</f>
        <v>IMPERATRIZ</v>
      </c>
      <c r="T722" s="129"/>
      <c r="U722" s="129"/>
      <c r="V722" s="129"/>
      <c r="W722" s="128"/>
      <c r="X722" s="127"/>
      <c r="Y722" s="127"/>
      <c r="Z722" s="4"/>
    </row>
    <row r="723" spans="1:26" ht="18" customHeight="1">
      <c r="A723" s="5"/>
      <c r="B723" s="21">
        <v>45668</v>
      </c>
      <c r="C723" s="21" t="s">
        <v>127</v>
      </c>
      <c r="D723" s="74" t="str">
        <f t="shared" si="245"/>
        <v>sáb</v>
      </c>
      <c r="E723" s="169" t="str">
        <f>IF(K723&lt;&gt;"",VLOOKUP(K723,'Catálogo SAP'!$A$1:$F$245,2,FALSE),"-")</f>
        <v>-</v>
      </c>
      <c r="F723" s="225"/>
      <c r="G723" s="225"/>
      <c r="H723" s="226"/>
      <c r="I723" s="230"/>
      <c r="J723" s="162" t="str">
        <f t="shared" si="248"/>
        <v/>
      </c>
      <c r="K723" s="16"/>
      <c r="L723" s="167" t="str">
        <f>IF(K723&lt;&gt;"",VLOOKUP(K723,'Catálogo SAP'!A:F,3,FALSE),"")</f>
        <v/>
      </c>
      <c r="M723" s="162" t="str">
        <f>IF(K723&lt;&gt;"",VLOOKUP(K723,'Catálogo SAP'!A:F,4,FALSE),"")</f>
        <v/>
      </c>
      <c r="N723" s="168" t="str">
        <f>IF(K723&lt;&gt;"",VLOOKUP(K723,'Catálogo SAP'!A:F,5,FALSE),"")</f>
        <v/>
      </c>
      <c r="O723" s="160"/>
      <c r="P723" s="70" t="str">
        <f t="shared" si="254"/>
        <v>-</v>
      </c>
      <c r="Q723" s="163" t="str">
        <f t="shared" si="249"/>
        <v>-</v>
      </c>
      <c r="R723" s="44" t="str">
        <f>IF(J723&lt;&gt;"",VLOOKUP(J723,'RESUMO DR'!$B$4:$E$253,4,FALSE),"-")</f>
        <v>-</v>
      </c>
      <c r="S723" s="58" t="str">
        <f>IF(J723&lt;&gt;"",VLOOKUP(J723,'RESUMO DR'!$B$4:$E$253,3,FALSE),"-")</f>
        <v>-</v>
      </c>
      <c r="T723" s="129"/>
      <c r="U723" s="129"/>
      <c r="V723" s="129"/>
      <c r="W723" s="128"/>
      <c r="X723" s="127"/>
      <c r="Y723" s="127"/>
      <c r="Z723" s="4"/>
    </row>
    <row r="724" spans="1:26" ht="18" customHeight="1">
      <c r="A724" s="5">
        <v>1843</v>
      </c>
      <c r="B724" s="21">
        <v>45668</v>
      </c>
      <c r="C724" s="21" t="s">
        <v>313</v>
      </c>
      <c r="D724" s="74" t="str">
        <f t="shared" si="245"/>
        <v>sáb</v>
      </c>
      <c r="E724" s="169">
        <f>IF(K724&lt;&gt;"",VLOOKUP(K724,'Catálogo SAP'!$A$1:$F$245,2,FALSE),"-")</f>
        <v>200</v>
      </c>
      <c r="F724" s="225">
        <v>63293</v>
      </c>
      <c r="G724" s="225">
        <v>63642</v>
      </c>
      <c r="H724" s="226"/>
      <c r="I724" s="230">
        <v>147</v>
      </c>
      <c r="J724" s="162" t="str">
        <f t="shared" si="248"/>
        <v>RIBAMAR FIQUENE</v>
      </c>
      <c r="K724" s="16">
        <v>200</v>
      </c>
      <c r="L724" s="167" t="str">
        <f>IF(K724&lt;&gt;"",VLOOKUP(K724,'Catálogo SAP'!A:F,3,FALSE),"")</f>
        <v>S.VP-01445</v>
      </c>
      <c r="M724" s="162" t="str">
        <f>IF(K724&lt;&gt;"",VLOOKUP(K724,'Catálogo SAP'!A:F,4,FALSE),"")</f>
        <v>Km Rodado Caminhão Basculante - C/Motorista</v>
      </c>
      <c r="N724" s="168" t="str">
        <f>IF(K724&lt;&gt;"",VLOOKUP(K724,'Catálogo SAP'!A:F,5,FALSE),"")</f>
        <v>KM</v>
      </c>
      <c r="O724" s="160">
        <v>349</v>
      </c>
      <c r="P724" s="70">
        <f t="shared" si="254"/>
        <v>349</v>
      </c>
      <c r="Q724" s="163" t="e">
        <f t="shared" si="249"/>
        <v>#VALUE!</v>
      </c>
      <c r="R724" s="44" t="str">
        <f>IF(J724&lt;&gt;"",VLOOKUP(J724,'RESUMO DR'!$B$4:$E$253,4,FALSE),"-")</f>
        <v>T-01</v>
      </c>
      <c r="S724" s="58" t="str">
        <f>IF(J724&lt;&gt;"",VLOOKUP(J724,'RESUMO DR'!$B$4:$E$253,3,FALSE),"-")</f>
        <v>IMPERATRIZ</v>
      </c>
      <c r="T724" s="129"/>
      <c r="U724" s="129"/>
      <c r="V724" s="129"/>
      <c r="W724" s="128"/>
      <c r="X724" s="127"/>
      <c r="Y724" s="127"/>
      <c r="Z724" s="4"/>
    </row>
    <row r="725" spans="1:26" ht="18" customHeight="1">
      <c r="A725" s="5">
        <v>1850</v>
      </c>
      <c r="B725" s="21">
        <v>45668</v>
      </c>
      <c r="C725" s="21" t="s">
        <v>312</v>
      </c>
      <c r="D725" s="74" t="str">
        <f t="shared" si="245"/>
        <v>sáb</v>
      </c>
      <c r="E725" s="169">
        <f>IF(K725&lt;&gt;"",VLOOKUP(K725,'Catálogo SAP'!$A$1:$F$245,2,FALSE),"-")</f>
        <v>200</v>
      </c>
      <c r="F725" s="16">
        <v>75695</v>
      </c>
      <c r="G725" s="16">
        <v>75915</v>
      </c>
      <c r="H725" s="22"/>
      <c r="I725" s="133">
        <v>319</v>
      </c>
      <c r="J725" s="162" t="str">
        <f t="shared" si="248"/>
        <v>BABAÇULÂNDIA</v>
      </c>
      <c r="K725" s="16">
        <v>200</v>
      </c>
      <c r="L725" s="167" t="str">
        <f>IF(K725&lt;&gt;"",VLOOKUP(K725,'Catálogo SAP'!A:F,3,FALSE),"")</f>
        <v>S.VP-01445</v>
      </c>
      <c r="M725" s="162" t="str">
        <f>IF(K725&lt;&gt;"",VLOOKUP(K725,'Catálogo SAP'!A:F,4,FALSE),"")</f>
        <v>Km Rodado Caminhão Basculante - C/Motorista</v>
      </c>
      <c r="N725" s="168" t="str">
        <f>IF(K725&lt;&gt;"",VLOOKUP(K725,'Catálogo SAP'!A:F,5,FALSE),"")</f>
        <v>KM</v>
      </c>
      <c r="O725" s="160">
        <v>220</v>
      </c>
      <c r="P725" s="70">
        <f t="shared" si="254"/>
        <v>220</v>
      </c>
      <c r="Q725" s="163" t="e">
        <f t="shared" si="249"/>
        <v>#VALUE!</v>
      </c>
      <c r="R725" s="44" t="str">
        <f>IF(J725&lt;&gt;"",VLOOKUP(J725,'RESUMO DR'!$B$4:$E$253,4,FALSE),"-")</f>
        <v>T-02</v>
      </c>
      <c r="S725" s="58" t="str">
        <f>IF(J725&lt;&gt;"",VLOOKUP(J725,'RESUMO DR'!$B$4:$E$253,3,FALSE),"-")</f>
        <v>ARAGUAINA</v>
      </c>
      <c r="T725" s="129"/>
      <c r="U725" s="129"/>
      <c r="V725" s="129"/>
      <c r="W725" s="128"/>
      <c r="X725" s="127"/>
      <c r="Y725" s="127"/>
      <c r="Z725" s="4"/>
    </row>
    <row r="726" spans="1:26" ht="18" customHeight="1">
      <c r="A726" s="5"/>
      <c r="B726" s="21">
        <v>45668</v>
      </c>
      <c r="C726" s="21" t="s">
        <v>129</v>
      </c>
      <c r="D726" s="74" t="str">
        <f t="shared" si="245"/>
        <v>sáb</v>
      </c>
      <c r="E726" s="169" t="str">
        <f>IF(K726&lt;&gt;"",VLOOKUP(K726,'Catálogo SAP'!$A$1:$F$245,2,FALSE),"-")</f>
        <v>-</v>
      </c>
      <c r="F726" s="225"/>
      <c r="G726" s="225"/>
      <c r="H726" s="226"/>
      <c r="I726" s="230"/>
      <c r="J726" s="162" t="str">
        <f t="shared" si="248"/>
        <v/>
      </c>
      <c r="K726" s="16"/>
      <c r="L726" s="167" t="str">
        <f>IF(K726&lt;&gt;"",VLOOKUP(K726,'Catálogo SAP'!A:F,3,FALSE),"")</f>
        <v/>
      </c>
      <c r="M726" s="162" t="str">
        <f>IF(K726&lt;&gt;"",VLOOKUP(K726,'Catálogo SAP'!A:F,4,FALSE),"")</f>
        <v/>
      </c>
      <c r="N726" s="168" t="str">
        <f>IF(K726&lt;&gt;"",VLOOKUP(K726,'Catálogo SAP'!A:F,5,FALSE),"")</f>
        <v/>
      </c>
      <c r="O726" s="160"/>
      <c r="P726" s="70" t="str">
        <f t="shared" si="254"/>
        <v>-</v>
      </c>
      <c r="Q726" s="163" t="str">
        <f t="shared" si="249"/>
        <v>-</v>
      </c>
      <c r="R726" s="44" t="str">
        <f>IF(J726&lt;&gt;"",VLOOKUP(J726,'RESUMO DR'!$B$4:$E$253,4,FALSE),"-")</f>
        <v>-</v>
      </c>
      <c r="S726" s="58" t="str">
        <f>IF(J726&lt;&gt;"",VLOOKUP(J726,'RESUMO DR'!$B$4:$E$253,3,FALSE),"-")</f>
        <v>-</v>
      </c>
      <c r="T726" s="129"/>
      <c r="U726" s="129"/>
      <c r="V726" s="129"/>
      <c r="W726" s="128"/>
      <c r="X726" s="127"/>
      <c r="Y726" s="127"/>
      <c r="Z726" s="4"/>
    </row>
    <row r="727" spans="1:26" ht="18" customHeight="1">
      <c r="A727" s="5"/>
      <c r="B727" s="21">
        <v>45668</v>
      </c>
      <c r="C727" s="21" t="s">
        <v>298</v>
      </c>
      <c r="D727" s="74" t="str">
        <f t="shared" si="245"/>
        <v>sáb</v>
      </c>
      <c r="E727" s="169" t="str">
        <f>IF(K727&lt;&gt;"",VLOOKUP(K727,'Catálogo SAP'!$A$1:$F$245,2,FALSE),"-")</f>
        <v>-</v>
      </c>
      <c r="F727" s="225"/>
      <c r="G727" s="225"/>
      <c r="H727" s="226"/>
      <c r="I727" s="230"/>
      <c r="J727" s="162" t="str">
        <f t="shared" si="248"/>
        <v/>
      </c>
      <c r="K727" s="16"/>
      <c r="L727" s="167" t="str">
        <f>IF(K727&lt;&gt;"",VLOOKUP(K727,'Catálogo SAP'!A:F,3,FALSE),"")</f>
        <v/>
      </c>
      <c r="M727" s="162" t="str">
        <f>IF(K727&lt;&gt;"",VLOOKUP(K727,'Catálogo SAP'!A:F,4,FALSE),"")</f>
        <v/>
      </c>
      <c r="N727" s="168" t="str">
        <f>IF(K727&lt;&gt;"",VLOOKUP(K727,'Catálogo SAP'!A:F,5,FALSE),"")</f>
        <v/>
      </c>
      <c r="O727" s="160"/>
      <c r="P727" s="70" t="str">
        <f t="shared" si="254"/>
        <v>-</v>
      </c>
      <c r="Q727" s="163" t="str">
        <f t="shared" si="249"/>
        <v>-</v>
      </c>
      <c r="R727" s="44" t="str">
        <f>IF(J727&lt;&gt;"",VLOOKUP(J727,'RESUMO DR'!$B$4:$E$253,4,FALSE),"-")</f>
        <v>-</v>
      </c>
      <c r="S727" s="58" t="str">
        <f>IF(J727&lt;&gt;"",VLOOKUP(J727,'RESUMO DR'!$B$4:$E$253,3,FALSE),"-")</f>
        <v>-</v>
      </c>
      <c r="T727" s="129"/>
      <c r="U727" s="129"/>
      <c r="V727" s="129"/>
      <c r="W727" s="128"/>
      <c r="X727" s="127"/>
      <c r="Y727" s="127"/>
      <c r="Z727" s="4"/>
    </row>
    <row r="728" spans="1:26" ht="18" customHeight="1">
      <c r="A728" s="5"/>
      <c r="B728" s="21">
        <v>45668</v>
      </c>
      <c r="C728" s="21" t="s">
        <v>298</v>
      </c>
      <c r="D728" s="74" t="str">
        <f t="shared" ref="D728" si="255">IF(B728="","-",TEXT(B728,"ddd"))</f>
        <v>sáb</v>
      </c>
      <c r="E728" s="169" t="str">
        <f>IF(K728&lt;&gt;"",VLOOKUP(K728,'Catálogo SAP'!$A$1:$F$245,2,FALSE),"-")</f>
        <v>-</v>
      </c>
      <c r="F728" s="225"/>
      <c r="G728" s="225"/>
      <c r="H728" s="226"/>
      <c r="I728" s="230"/>
      <c r="J728" s="162" t="str">
        <f t="shared" si="248"/>
        <v/>
      </c>
      <c r="K728" s="225"/>
      <c r="L728" s="167" t="str">
        <f>IF(K728&lt;&gt;"",VLOOKUP(K728,'Catálogo SAP'!A:F,3,FALSE),"")</f>
        <v/>
      </c>
      <c r="M728" s="162" t="str">
        <f>IF(K728&lt;&gt;"",VLOOKUP(K728,'Catálogo SAP'!A:F,4,FALSE),"")</f>
        <v/>
      </c>
      <c r="N728" s="168" t="str">
        <f>IF(K728&lt;&gt;"",VLOOKUP(K728,'Catálogo SAP'!A:F,5,FALSE),"")</f>
        <v/>
      </c>
      <c r="O728" s="231"/>
      <c r="P728" s="70" t="str">
        <f t="shared" si="254"/>
        <v>-</v>
      </c>
      <c r="Q728" s="163" t="str">
        <f t="shared" ref="Q728" si="256">IF(K728="","-",N728*O728)</f>
        <v>-</v>
      </c>
      <c r="R728" s="44" t="str">
        <f>IF(J728&lt;&gt;"",VLOOKUP(J728,'RESUMO DR'!$B$4:$E$253,4,FALSE),"-")</f>
        <v>-</v>
      </c>
      <c r="S728" s="58" t="str">
        <f>IF(J728&lt;&gt;"",VLOOKUP(J728,'RESUMO DR'!$B$4:$E$253,3,FALSE),"-")</f>
        <v>-</v>
      </c>
      <c r="T728" s="129"/>
      <c r="U728" s="129"/>
      <c r="V728" s="129"/>
      <c r="W728" s="128"/>
      <c r="X728" s="127"/>
      <c r="Y728" s="127"/>
      <c r="Z728" s="4"/>
    </row>
    <row r="729" spans="1:26" ht="18" customHeight="1">
      <c r="A729" s="5">
        <v>1841</v>
      </c>
      <c r="B729" s="21">
        <v>45668</v>
      </c>
      <c r="C729" s="21" t="s">
        <v>131</v>
      </c>
      <c r="D729" s="74" t="str">
        <f t="shared" si="245"/>
        <v>sáb</v>
      </c>
      <c r="E729" s="169">
        <f>IF(K729&lt;&gt;"",VLOOKUP(K729,'Catálogo SAP'!$A$1:$F$245,2,FALSE),"-")</f>
        <v>520</v>
      </c>
      <c r="F729" s="225">
        <v>10654</v>
      </c>
      <c r="G729" s="225">
        <v>10662</v>
      </c>
      <c r="H729" s="226"/>
      <c r="I729" s="230">
        <v>195</v>
      </c>
      <c r="J729" s="162" t="str">
        <f t="shared" ref="J729:J899" si="257">IF(AND(I729&gt;=0.001,I729&lt;=16),"AÇAILÂNDIA","")&amp;IF(AND(I729&gt;=16.001,I729&lt;=44),"S.F. BREJÃO","")&amp;IF(AND(I729&gt;=44.001,I729&lt;=78),"JOÃO LISBOA","")&amp;IF(AND(I729&gt;=78.001,I729&lt;=96.397),"IMPERATRIZ","")&amp;IF(AND(I729&gt;=96.398,I729&lt;=122.82),"EDSON LOBÃO","")&amp;IF(AND(I729&gt;=122.821,I729&lt;=152.303),"RIBAMAR FIQUENE","")&amp;IF(AND(I729&gt;=152.304,I729&lt;=172.403),"CAMPESTRE","")&amp;IF(AND(I729&gt;=172.404,I729&lt;=195),"PORTO FRANCO","")&amp;IF(AND(I729&gt;=300,I729&lt;=300),"SAO LUIS","")&amp;IF(AND(I729&gt;=385.4,I729&lt;=465.4),"Palmeirante","")&amp;IF(AND(I729&gt;=465.401,I729&lt;=520.455),"Tupiratins","")&amp;IF(AND(I729&gt;=520.456,I729&lt;=536.741),"Guaraí","")&amp;IF(AND(I729&gt;=536.742,I729&lt;=580.293),"Tupirama","")&amp;IF(AND(I729&gt;=580.294,I729&lt;=608.637),"Rio dos Bois","")&amp;IF(AND(I729&gt;=608.638,I729&lt;=698.981),"Miracema","")&amp;IF(AND(I729&gt;=698.982,I729&lt;=735.6),"Porto Nacional","")&amp;IF(AND(I729&gt;=195.1,I729&lt;=213.603),"ESTREITO","")&amp;IF(AND(I729&gt;=213.604,I729&lt;=218.976),"AGUIARNÓPOLIS","")&amp;IF(AND(I729&gt;=218.977,I729&lt;=253.5),"PALMEIRAS DO TOCANTINS","")&amp;IF(AND(I729&gt;=253.501,I729&lt;=274.15),"DARCINÓPOLIS","")&amp;IF(AND(I729&gt;=274.151,I729&lt;=299.999),"BABAÇULÂNDIA","")&amp;IF(AND(I729&gt;=356.62,I729&lt;=385.4),"ARAGUAÍNA","")&amp;IF(AND(I729&gt;=300.001,I729&lt;=356.619),"BABAÇULÂNDIA","")&amp;IF(AND(I729&gt;=900,I729&lt;=902),"ENG. VLI","")</f>
        <v>PORTO FRANCO</v>
      </c>
      <c r="K729" s="16">
        <v>520</v>
      </c>
      <c r="L729" s="167" t="str">
        <f>IF(K729&lt;&gt;"",VLOOKUP(K729,'Catálogo SAP'!A:F,3,FALSE),"")</f>
        <v>S.VP-01469</v>
      </c>
      <c r="M729" s="162" t="str">
        <f>IF(K729&lt;&gt;"",VLOOKUP(K729,'Catálogo SAP'!A:F,4,FALSE),"")</f>
        <v>Hora Produtiva Escavadeira Hidraulica</v>
      </c>
      <c r="N729" s="168" t="str">
        <f>IF(K729&lt;&gt;"",VLOOKUP(K729,'Catálogo SAP'!A:F,5,FALSE),"")</f>
        <v>H</v>
      </c>
      <c r="O729" s="160">
        <v>8</v>
      </c>
      <c r="P729" s="70">
        <f t="shared" si="254"/>
        <v>8</v>
      </c>
      <c r="Q729" s="163" t="e">
        <f t="shared" ref="Q729:Q899" si="258">IF(K729="","-",N729*O729)</f>
        <v>#VALUE!</v>
      </c>
      <c r="R729" s="44" t="str">
        <f>IF(J729&lt;&gt;"",VLOOKUP(J729,'RESUMO DR'!$B$4:$E$253,4,FALSE),"-")</f>
        <v>T-01</v>
      </c>
      <c r="S729" s="58" t="str">
        <f>IF(J729&lt;&gt;"",VLOOKUP(J729,'RESUMO DR'!$B$4:$E$253,3,FALSE),"-")</f>
        <v>IMPERATRIZ</v>
      </c>
      <c r="T729" s="129"/>
      <c r="U729" s="129"/>
      <c r="V729" s="129"/>
      <c r="W729" s="128"/>
      <c r="X729" s="127"/>
      <c r="Y729" s="127"/>
      <c r="Z729" s="4"/>
    </row>
    <row r="730" spans="1:26" ht="18" customHeight="1">
      <c r="A730" s="5"/>
      <c r="B730" s="21">
        <v>45668</v>
      </c>
      <c r="C730" s="21" t="s">
        <v>131</v>
      </c>
      <c r="D730" s="74" t="str">
        <f t="shared" si="245"/>
        <v>sáb</v>
      </c>
      <c r="E730" s="169" t="str">
        <f>IF(K730&lt;&gt;"",VLOOKUP(K730,'Catálogo SAP'!$A$1:$F$245,2,FALSE),"-")</f>
        <v>-</v>
      </c>
      <c r="F730" s="225"/>
      <c r="G730" s="225"/>
      <c r="H730" s="226"/>
      <c r="I730" s="230"/>
      <c r="J730" s="162" t="str">
        <f t="shared" si="257"/>
        <v/>
      </c>
      <c r="K730" s="16"/>
      <c r="L730" s="167" t="str">
        <f>IF(K730&lt;&gt;"",VLOOKUP(K730,'Catálogo SAP'!A:F,3,FALSE),"")</f>
        <v/>
      </c>
      <c r="M730" s="162" t="str">
        <f>IF(K730&lt;&gt;"",VLOOKUP(K730,'Catálogo SAP'!A:F,4,FALSE),"")</f>
        <v/>
      </c>
      <c r="N730" s="168" t="str">
        <f>IF(K730&lt;&gt;"",VLOOKUP(K730,'Catálogo SAP'!A:F,5,FALSE),"")</f>
        <v/>
      </c>
      <c r="O730" s="160"/>
      <c r="P730" s="70" t="str">
        <f t="shared" si="254"/>
        <v>-</v>
      </c>
      <c r="Q730" s="163" t="str">
        <f t="shared" si="258"/>
        <v>-</v>
      </c>
      <c r="R730" s="44" t="str">
        <f>IF(J730&lt;&gt;"",VLOOKUP(J730,'RESUMO DR'!$B$4:$E$253,4,FALSE),"-")</f>
        <v>-</v>
      </c>
      <c r="S730" s="58" t="str">
        <f>IF(J730&lt;&gt;"",VLOOKUP(J730,'RESUMO DR'!$B$4:$E$253,3,FALSE),"-")</f>
        <v>-</v>
      </c>
      <c r="T730" s="129"/>
      <c r="U730" s="129"/>
      <c r="V730" s="129"/>
      <c r="W730" s="128"/>
      <c r="X730" s="127"/>
      <c r="Y730" s="127"/>
      <c r="Z730" s="4"/>
    </row>
    <row r="731" spans="1:26" ht="18" customHeight="1">
      <c r="A731" s="5"/>
      <c r="B731" s="21">
        <v>45668</v>
      </c>
      <c r="C731" s="21" t="s">
        <v>311</v>
      </c>
      <c r="D731" s="74" t="str">
        <f t="shared" si="245"/>
        <v>sáb</v>
      </c>
      <c r="E731" s="169" t="str">
        <f>IF(K731&lt;&gt;"",VLOOKUP(K731,'Catálogo SAP'!$A$1:$F$245,2,FALSE),"-")</f>
        <v>-</v>
      </c>
      <c r="F731" s="225"/>
      <c r="G731" s="225"/>
      <c r="H731" s="226"/>
      <c r="I731" s="230"/>
      <c r="J731" s="162" t="str">
        <f t="shared" si="257"/>
        <v/>
      </c>
      <c r="K731" s="16"/>
      <c r="L731" s="167" t="str">
        <f>IF(K731&lt;&gt;"",VLOOKUP(K731,'Catálogo SAP'!A:F,3,FALSE),"")</f>
        <v/>
      </c>
      <c r="M731" s="162" t="str">
        <f>IF(K731&lt;&gt;"",VLOOKUP(K731,'Catálogo SAP'!A:F,4,FALSE),"")</f>
        <v/>
      </c>
      <c r="N731" s="168" t="str">
        <f>IF(K731&lt;&gt;"",VLOOKUP(K731,'Catálogo SAP'!A:F,5,FALSE),"")</f>
        <v/>
      </c>
      <c r="O731" s="160"/>
      <c r="P731" s="70" t="str">
        <f t="shared" si="254"/>
        <v>-</v>
      </c>
      <c r="Q731" s="163" t="str">
        <f t="shared" si="258"/>
        <v>-</v>
      </c>
      <c r="R731" s="44" t="str">
        <f>IF(J731&lt;&gt;"",VLOOKUP(J731,'RESUMO DR'!$B$4:$E$253,4,FALSE),"-")</f>
        <v>-</v>
      </c>
      <c r="S731" s="58" t="str">
        <f>IF(J731&lt;&gt;"",VLOOKUP(J731,'RESUMO DR'!$B$4:$E$253,3,FALSE),"-")</f>
        <v>-</v>
      </c>
      <c r="T731" s="129"/>
      <c r="U731" s="129"/>
      <c r="V731" s="129"/>
      <c r="W731" s="128"/>
      <c r="X731" s="127"/>
      <c r="Y731" s="127"/>
      <c r="Z731" s="4"/>
    </row>
    <row r="732" spans="1:26" ht="18" customHeight="1">
      <c r="A732" s="5"/>
      <c r="B732" s="21">
        <v>45668</v>
      </c>
      <c r="C732" s="21" t="s">
        <v>311</v>
      </c>
      <c r="D732" s="74" t="str">
        <f t="shared" si="245"/>
        <v>sáb</v>
      </c>
      <c r="E732" s="169" t="str">
        <f>IF(K732&lt;&gt;"",VLOOKUP(K732,'Catálogo SAP'!$A$1:$F$245,2,FALSE),"-")</f>
        <v>-</v>
      </c>
      <c r="F732" s="225"/>
      <c r="G732" s="225"/>
      <c r="H732" s="226"/>
      <c r="I732" s="230"/>
      <c r="J732" s="162" t="str">
        <f t="shared" si="257"/>
        <v/>
      </c>
      <c r="K732" s="16"/>
      <c r="L732" s="167" t="str">
        <f>IF(K732&lt;&gt;"",VLOOKUP(K732,'Catálogo SAP'!A:F,3,FALSE),"")</f>
        <v/>
      </c>
      <c r="M732" s="162" t="str">
        <f>IF(K732&lt;&gt;"",VLOOKUP(K732,'Catálogo SAP'!A:F,4,FALSE),"")</f>
        <v/>
      </c>
      <c r="N732" s="168" t="str">
        <f>IF(K732&lt;&gt;"",VLOOKUP(K732,'Catálogo SAP'!A:F,5,FALSE),"")</f>
        <v/>
      </c>
      <c r="O732" s="160"/>
      <c r="P732" s="70" t="str">
        <f t="shared" si="254"/>
        <v>-</v>
      </c>
      <c r="Q732" s="163" t="str">
        <f t="shared" si="258"/>
        <v>-</v>
      </c>
      <c r="R732" s="44" t="str">
        <f>IF(J732&lt;&gt;"",VLOOKUP(J732,'RESUMO DR'!$B$4:$E$253,4,FALSE),"-")</f>
        <v>-</v>
      </c>
      <c r="S732" s="58" t="str">
        <f>IF(J732&lt;&gt;"",VLOOKUP(J732,'RESUMO DR'!$B$4:$E$253,3,FALSE),"-")</f>
        <v>-</v>
      </c>
      <c r="T732" s="129"/>
      <c r="U732" s="129"/>
      <c r="V732" s="129"/>
      <c r="W732" s="128"/>
      <c r="X732" s="127"/>
      <c r="Y732" s="127"/>
      <c r="Z732" s="4"/>
    </row>
    <row r="733" spans="1:26" ht="18" customHeight="1">
      <c r="A733" s="5"/>
      <c r="B733" s="21">
        <v>45668</v>
      </c>
      <c r="C733" s="21" t="s">
        <v>305</v>
      </c>
      <c r="D733" s="74" t="str">
        <f t="shared" si="245"/>
        <v>sáb</v>
      </c>
      <c r="E733" s="169" t="str">
        <f>IF(K733&lt;&gt;"",VLOOKUP(K733,'Catálogo SAP'!$A$1:$F$245,2,FALSE),"-")</f>
        <v>-</v>
      </c>
      <c r="F733" s="225"/>
      <c r="G733" s="16"/>
      <c r="H733" s="226"/>
      <c r="I733" s="230"/>
      <c r="J733" s="162" t="str">
        <f t="shared" si="257"/>
        <v/>
      </c>
      <c r="K733" s="16"/>
      <c r="L733" s="167" t="str">
        <f>IF(K733&lt;&gt;"",VLOOKUP(K733,'Catálogo SAP'!A:F,3,FALSE),"")</f>
        <v/>
      </c>
      <c r="M733" s="162" t="str">
        <f>IF(K733&lt;&gt;"",VLOOKUP(K733,'Catálogo SAP'!A:F,4,FALSE),"")</f>
        <v/>
      </c>
      <c r="N733" s="168" t="str">
        <f>IF(K733&lt;&gt;"",VLOOKUP(K733,'Catálogo SAP'!A:F,5,FALSE),"")</f>
        <v/>
      </c>
      <c r="O733" s="160"/>
      <c r="P733" s="70" t="str">
        <f t="shared" si="254"/>
        <v>-</v>
      </c>
      <c r="Q733" s="163" t="str">
        <f t="shared" si="258"/>
        <v>-</v>
      </c>
      <c r="R733" s="44" t="str">
        <f>IF(J733&lt;&gt;"",VLOOKUP(J733,'RESUMO DR'!$B$4:$E$253,4,FALSE),"-")</f>
        <v>-</v>
      </c>
      <c r="S733" s="58" t="str">
        <f>IF(J733&lt;&gt;"",VLOOKUP(J733,'RESUMO DR'!$B$4:$E$253,3,FALSE),"-")</f>
        <v>-</v>
      </c>
      <c r="T733" s="129"/>
      <c r="U733" s="129"/>
      <c r="V733" s="129"/>
      <c r="W733" s="128"/>
      <c r="X733" s="127"/>
      <c r="Y733" s="127"/>
      <c r="Z733" s="4"/>
    </row>
    <row r="734" spans="1:26" ht="18" customHeight="1">
      <c r="A734" s="5"/>
      <c r="B734" s="21">
        <v>45668</v>
      </c>
      <c r="C734" s="21" t="s">
        <v>305</v>
      </c>
      <c r="D734" s="74" t="str">
        <f t="shared" si="245"/>
        <v>sáb</v>
      </c>
      <c r="E734" s="169" t="str">
        <f>IF(K734&lt;&gt;"",VLOOKUP(K734,'Catálogo SAP'!$A$1:$F$245,2,FALSE),"-")</f>
        <v>-</v>
      </c>
      <c r="F734" s="16"/>
      <c r="G734" s="16"/>
      <c r="H734" s="22"/>
      <c r="I734" s="133"/>
      <c r="J734" s="162" t="str">
        <f t="shared" si="257"/>
        <v/>
      </c>
      <c r="K734" s="16"/>
      <c r="L734" s="167" t="str">
        <f>IF(K734&lt;&gt;"",VLOOKUP(K734,'Catálogo SAP'!A:F,3,FALSE),"")</f>
        <v/>
      </c>
      <c r="M734" s="162" t="str">
        <f>IF(K734&lt;&gt;"",VLOOKUP(K734,'Catálogo SAP'!A:F,4,FALSE),"")</f>
        <v/>
      </c>
      <c r="N734" s="168" t="str">
        <f>IF(K734&lt;&gt;"",VLOOKUP(K734,'Catálogo SAP'!A:F,5,FALSE),"")</f>
        <v/>
      </c>
      <c r="O734" s="160"/>
      <c r="P734" s="70" t="str">
        <f t="shared" si="254"/>
        <v>-</v>
      </c>
      <c r="Q734" s="163" t="str">
        <f t="shared" si="258"/>
        <v>-</v>
      </c>
      <c r="R734" s="44" t="str">
        <f>IF(J734&lt;&gt;"",VLOOKUP(J734,'RESUMO DR'!$B$4:$E$253,4,FALSE),"-")</f>
        <v>-</v>
      </c>
      <c r="S734" s="58" t="str">
        <f>IF(J734&lt;&gt;"",VLOOKUP(J734,'RESUMO DR'!$B$4:$E$253,3,FALSE),"-")</f>
        <v>-</v>
      </c>
      <c r="T734" s="129"/>
      <c r="U734" s="129"/>
      <c r="V734" s="129"/>
      <c r="W734" s="128"/>
      <c r="X734" s="127"/>
      <c r="Y734" s="127"/>
      <c r="Z734" s="4"/>
    </row>
    <row r="735" spans="1:26" ht="18" customHeight="1">
      <c r="A735" s="5"/>
      <c r="B735" s="21">
        <v>45668</v>
      </c>
      <c r="C735" s="21" t="s">
        <v>300</v>
      </c>
      <c r="D735" s="74" t="str">
        <f t="shared" ref="D735:D798" si="259">IF(B735="","-",TEXT(B735,"ddd"))</f>
        <v>sáb</v>
      </c>
      <c r="E735" s="169" t="str">
        <f>IF(K735&lt;&gt;"",VLOOKUP(K735,'Catálogo SAP'!$A$1:$F$245,2,FALSE),"-")</f>
        <v>-</v>
      </c>
      <c r="F735" s="225"/>
      <c r="G735" s="225"/>
      <c r="H735" s="226"/>
      <c r="I735" s="230"/>
      <c r="J735" s="162" t="str">
        <f t="shared" si="257"/>
        <v/>
      </c>
      <c r="K735" s="16"/>
      <c r="L735" s="167" t="str">
        <f>IF(K735&lt;&gt;"",VLOOKUP(K735,'Catálogo SAP'!A:F,3,FALSE),"")</f>
        <v/>
      </c>
      <c r="M735" s="162" t="str">
        <f>IF(K735&lt;&gt;"",VLOOKUP(K735,'Catálogo SAP'!A:F,4,FALSE),"")</f>
        <v/>
      </c>
      <c r="N735" s="168" t="str">
        <f>IF(K735&lt;&gt;"",VLOOKUP(K735,'Catálogo SAP'!A:F,5,FALSE),"")</f>
        <v/>
      </c>
      <c r="O735" s="160"/>
      <c r="P735" s="70" t="str">
        <f t="shared" si="254"/>
        <v>-</v>
      </c>
      <c r="Q735" s="163" t="str">
        <f t="shared" si="258"/>
        <v>-</v>
      </c>
      <c r="R735" s="44" t="str">
        <f>IF(J735&lt;&gt;"",VLOOKUP(J735,'RESUMO DR'!$B$4:$E$253,4,FALSE),"-")</f>
        <v>-</v>
      </c>
      <c r="S735" s="58" t="str">
        <f>IF(J735&lt;&gt;"",VLOOKUP(J735,'RESUMO DR'!$B$4:$E$253,3,FALSE),"-")</f>
        <v>-</v>
      </c>
      <c r="T735" s="129"/>
      <c r="U735" s="129"/>
      <c r="V735" s="129"/>
      <c r="W735" s="128"/>
      <c r="X735" s="127"/>
      <c r="Y735" s="127"/>
      <c r="Z735" s="4"/>
    </row>
    <row r="736" spans="1:26" ht="18" customHeight="1">
      <c r="A736" s="5"/>
      <c r="B736" s="21">
        <v>45668</v>
      </c>
      <c r="C736" s="21" t="s">
        <v>300</v>
      </c>
      <c r="D736" s="74" t="str">
        <f t="shared" si="259"/>
        <v>sáb</v>
      </c>
      <c r="E736" s="169" t="str">
        <f>IF(K736&lt;&gt;"",VLOOKUP(K736,'Catálogo SAP'!$A$1:$F$245,2,FALSE),"-")</f>
        <v>-</v>
      </c>
      <c r="F736" s="225"/>
      <c r="G736" s="225"/>
      <c r="H736" s="226"/>
      <c r="I736" s="230"/>
      <c r="J736" s="162" t="str">
        <f t="shared" si="257"/>
        <v/>
      </c>
      <c r="K736" s="16"/>
      <c r="L736" s="167" t="str">
        <f>IF(K736&lt;&gt;"",VLOOKUP(K736,'Catálogo SAP'!A:F,3,FALSE),"")</f>
        <v/>
      </c>
      <c r="M736" s="162" t="str">
        <f>IF(K736&lt;&gt;"",VLOOKUP(K736,'Catálogo SAP'!A:F,4,FALSE),"")</f>
        <v/>
      </c>
      <c r="N736" s="168" t="str">
        <f>IF(K736&lt;&gt;"",VLOOKUP(K736,'Catálogo SAP'!A:F,5,FALSE),"")</f>
        <v/>
      </c>
      <c r="O736" s="160"/>
      <c r="P736" s="70" t="str">
        <f t="shared" si="254"/>
        <v>-</v>
      </c>
      <c r="Q736" s="163" t="str">
        <f t="shared" si="258"/>
        <v>-</v>
      </c>
      <c r="R736" s="44" t="str">
        <f>IF(J736&lt;&gt;"",VLOOKUP(J736,'RESUMO DR'!$B$4:$E$253,4,FALSE),"-")</f>
        <v>-</v>
      </c>
      <c r="S736" s="58" t="str">
        <f>IF(J736&lt;&gt;"",VLOOKUP(J736,'RESUMO DR'!$B$4:$E$253,3,FALSE),"-")</f>
        <v>-</v>
      </c>
      <c r="T736" s="129"/>
      <c r="U736" s="129"/>
      <c r="V736" s="129"/>
      <c r="W736" s="128"/>
      <c r="X736" s="127"/>
      <c r="Y736" s="127"/>
      <c r="Z736" s="4"/>
    </row>
    <row r="737" spans="1:26" ht="18" customHeight="1">
      <c r="A737" s="5"/>
      <c r="B737" s="21">
        <v>45668</v>
      </c>
      <c r="C737" s="21" t="s">
        <v>134</v>
      </c>
      <c r="D737" s="74" t="str">
        <f t="shared" si="259"/>
        <v>sáb</v>
      </c>
      <c r="E737" s="169" t="str">
        <f>IF(K737&lt;&gt;"",VLOOKUP(K737,'Catálogo SAP'!$A$1:$F$245,2,FALSE),"-")</f>
        <v>-</v>
      </c>
      <c r="F737" s="225"/>
      <c r="G737" s="225"/>
      <c r="H737" s="226"/>
      <c r="I737" s="230"/>
      <c r="J737" s="162" t="str">
        <f t="shared" si="257"/>
        <v/>
      </c>
      <c r="K737" s="16"/>
      <c r="L737" s="167" t="str">
        <f>IF(K737&lt;&gt;"",VLOOKUP(K737,'Catálogo SAP'!A:F,3,FALSE),"")</f>
        <v/>
      </c>
      <c r="M737" s="162" t="str">
        <f>IF(K737&lt;&gt;"",VLOOKUP(K737,'Catálogo SAP'!A:F,4,FALSE),"")</f>
        <v/>
      </c>
      <c r="N737" s="168" t="str">
        <f>IF(K737&lt;&gt;"",VLOOKUP(K737,'Catálogo SAP'!A:F,5,FALSE),"")</f>
        <v/>
      </c>
      <c r="O737" s="160"/>
      <c r="P737" s="70" t="str">
        <f t="shared" si="254"/>
        <v>-</v>
      </c>
      <c r="Q737" s="163" t="str">
        <f t="shared" si="258"/>
        <v>-</v>
      </c>
      <c r="R737" s="44" t="str">
        <f>IF(J737&lt;&gt;"",VLOOKUP(J737,'RESUMO DR'!$B$4:$E$253,4,FALSE),"-")</f>
        <v>-</v>
      </c>
      <c r="S737" s="58" t="str">
        <f>IF(J737&lt;&gt;"",VLOOKUP(J737,'RESUMO DR'!$B$4:$E$253,3,FALSE),"-")</f>
        <v>-</v>
      </c>
      <c r="T737" s="129"/>
      <c r="U737" s="129"/>
      <c r="V737" s="129"/>
      <c r="W737" s="128"/>
      <c r="X737" s="127"/>
      <c r="Y737" s="127"/>
      <c r="Z737" s="4"/>
    </row>
    <row r="738" spans="1:26" ht="18" customHeight="1">
      <c r="A738" s="5"/>
      <c r="B738" s="21">
        <v>45668</v>
      </c>
      <c r="C738" s="21" t="s">
        <v>134</v>
      </c>
      <c r="D738" s="74" t="str">
        <f t="shared" si="259"/>
        <v>sáb</v>
      </c>
      <c r="E738" s="169" t="str">
        <f>IF(K738&lt;&gt;"",VLOOKUP(K738,'Catálogo SAP'!$A$1:$F$245,2,FALSE),"-")</f>
        <v>-</v>
      </c>
      <c r="F738" s="225"/>
      <c r="G738" s="225"/>
      <c r="H738" s="226"/>
      <c r="I738" s="230"/>
      <c r="J738" s="162" t="str">
        <f t="shared" si="257"/>
        <v/>
      </c>
      <c r="K738" s="16"/>
      <c r="L738" s="167" t="str">
        <f>IF(K738&lt;&gt;"",VLOOKUP(K738,'Catálogo SAP'!A:F,3,FALSE),"")</f>
        <v/>
      </c>
      <c r="M738" s="162" t="str">
        <f>IF(K738&lt;&gt;"",VLOOKUP(K738,'Catálogo SAP'!A:F,4,FALSE),"")</f>
        <v/>
      </c>
      <c r="N738" s="168" t="str">
        <f>IF(K738&lt;&gt;"",VLOOKUP(K738,'Catálogo SAP'!A:F,5,FALSE),"")</f>
        <v/>
      </c>
      <c r="O738" s="160"/>
      <c r="P738" s="70" t="str">
        <f t="shared" si="254"/>
        <v>-</v>
      </c>
      <c r="Q738" s="163" t="str">
        <f t="shared" si="258"/>
        <v>-</v>
      </c>
      <c r="R738" s="44" t="str">
        <f>IF(J738&lt;&gt;"",VLOOKUP(J738,'RESUMO DR'!$B$4:$E$253,4,FALSE),"-")</f>
        <v>-</v>
      </c>
      <c r="S738" s="58" t="str">
        <f>IF(J738&lt;&gt;"",VLOOKUP(J738,'RESUMO DR'!$B$4:$E$253,3,FALSE),"-")</f>
        <v>-</v>
      </c>
      <c r="T738" s="129"/>
      <c r="U738" s="129"/>
      <c r="V738" s="129"/>
      <c r="W738" s="128"/>
      <c r="X738" s="127"/>
      <c r="Y738" s="127"/>
      <c r="Z738" s="4"/>
    </row>
    <row r="739" spans="1:26" ht="18" customHeight="1">
      <c r="A739" s="5"/>
      <c r="B739" s="21">
        <v>45668</v>
      </c>
      <c r="C739" s="21" t="s">
        <v>315</v>
      </c>
      <c r="D739" s="74" t="str">
        <f t="shared" si="259"/>
        <v>sáb</v>
      </c>
      <c r="E739" s="169" t="str">
        <f>IF(K739&lt;&gt;"",VLOOKUP(K739,'Catálogo SAP'!$A$1:$F$245,2,FALSE),"-")</f>
        <v>-</v>
      </c>
      <c r="F739" s="16"/>
      <c r="G739" s="16"/>
      <c r="H739" s="22"/>
      <c r="I739" s="133"/>
      <c r="J739" s="162" t="str">
        <f t="shared" si="257"/>
        <v/>
      </c>
      <c r="K739" s="16"/>
      <c r="L739" s="167" t="str">
        <f>IF(K739&lt;&gt;"",VLOOKUP(K739,'Catálogo SAP'!A:F,3,FALSE),"")</f>
        <v/>
      </c>
      <c r="M739" s="162" t="str">
        <f>IF(K739&lt;&gt;"",VLOOKUP(K739,'Catálogo SAP'!A:F,4,FALSE),"")</f>
        <v/>
      </c>
      <c r="N739" s="168" t="str">
        <f>IF(K739&lt;&gt;"",VLOOKUP(K739,'Catálogo SAP'!A:F,5,FALSE),"")</f>
        <v/>
      </c>
      <c r="O739" s="160"/>
      <c r="P739" s="70" t="str">
        <f t="shared" si="254"/>
        <v>-</v>
      </c>
      <c r="Q739" s="163" t="str">
        <f t="shared" si="258"/>
        <v>-</v>
      </c>
      <c r="R739" s="44" t="str">
        <f>IF(J739&lt;&gt;"",VLOOKUP(J739,'RESUMO DR'!$B$4:$E$253,4,FALSE),"-")</f>
        <v>-</v>
      </c>
      <c r="S739" s="58" t="str">
        <f>IF(J739&lt;&gt;"",VLOOKUP(J739,'RESUMO DR'!$B$4:$E$253,3,FALSE),"-")</f>
        <v>-</v>
      </c>
      <c r="T739" s="129"/>
      <c r="U739" s="129"/>
      <c r="V739" s="129"/>
      <c r="W739" s="128"/>
      <c r="X739" s="127"/>
      <c r="Y739" s="127"/>
      <c r="Z739" s="4"/>
    </row>
    <row r="740" spans="1:26" ht="18" customHeight="1">
      <c r="A740" s="5"/>
      <c r="B740" s="21">
        <v>45668</v>
      </c>
      <c r="C740" s="21" t="s">
        <v>306</v>
      </c>
      <c r="D740" s="74" t="str">
        <f t="shared" si="259"/>
        <v>sáb</v>
      </c>
      <c r="E740" s="169" t="str">
        <f>IF(K740&lt;&gt;"",VLOOKUP(K740,'Catálogo SAP'!$A$1:$F$245,2,FALSE),"-")</f>
        <v>-</v>
      </c>
      <c r="F740" s="225"/>
      <c r="G740" s="225"/>
      <c r="H740" s="226"/>
      <c r="I740" s="230"/>
      <c r="J740" s="162" t="str">
        <f t="shared" si="257"/>
        <v/>
      </c>
      <c r="K740" s="16"/>
      <c r="L740" s="167" t="str">
        <f>IF(K740&lt;&gt;"",VLOOKUP(K740,'Catálogo SAP'!A:F,3,FALSE),"")</f>
        <v/>
      </c>
      <c r="M740" s="162" t="str">
        <f>IF(K740&lt;&gt;"",VLOOKUP(K740,'Catálogo SAP'!A:F,4,FALSE),"")</f>
        <v/>
      </c>
      <c r="N740" s="168" t="str">
        <f>IF(K740&lt;&gt;"",VLOOKUP(K740,'Catálogo SAP'!A:F,5,FALSE),"")</f>
        <v/>
      </c>
      <c r="O740" s="160"/>
      <c r="P740" s="70" t="str">
        <f t="shared" si="254"/>
        <v>-</v>
      </c>
      <c r="Q740" s="163" t="str">
        <f t="shared" si="258"/>
        <v>-</v>
      </c>
      <c r="R740" s="44" t="str">
        <f>IF(J740&lt;&gt;"",VLOOKUP(J740,'RESUMO DR'!$B$4:$E$253,4,FALSE),"-")</f>
        <v>-</v>
      </c>
      <c r="S740" s="58" t="str">
        <f>IF(J740&lt;&gt;"",VLOOKUP(J740,'RESUMO DR'!$B$4:$E$253,3,FALSE),"-")</f>
        <v>-</v>
      </c>
      <c r="T740" s="129"/>
      <c r="U740" s="129"/>
      <c r="V740" s="129"/>
      <c r="W740" s="128"/>
      <c r="X740" s="127"/>
      <c r="Y740" s="127"/>
      <c r="Z740" s="4"/>
    </row>
    <row r="741" spans="1:26" ht="18" customHeight="1">
      <c r="A741" s="5"/>
      <c r="B741" s="21">
        <v>45668</v>
      </c>
      <c r="C741" s="21" t="s">
        <v>306</v>
      </c>
      <c r="D741" s="74" t="str">
        <f t="shared" si="259"/>
        <v>sáb</v>
      </c>
      <c r="E741" s="169" t="str">
        <f>IF(K741&lt;&gt;"",VLOOKUP(K741,'Catálogo SAP'!$A$1:$F$245,2,FALSE),"-")</f>
        <v>-</v>
      </c>
      <c r="F741" s="16"/>
      <c r="G741" s="16"/>
      <c r="H741" s="22"/>
      <c r="I741" s="133"/>
      <c r="J741" s="162" t="str">
        <f t="shared" si="257"/>
        <v/>
      </c>
      <c r="K741" s="16"/>
      <c r="L741" s="167" t="str">
        <f>IF(K741&lt;&gt;"",VLOOKUP(K741,'Catálogo SAP'!A:F,3,FALSE),"")</f>
        <v/>
      </c>
      <c r="M741" s="162" t="str">
        <f>IF(K741&lt;&gt;"",VLOOKUP(K741,'Catálogo SAP'!A:F,4,FALSE),"")</f>
        <v/>
      </c>
      <c r="N741" s="168" t="str">
        <f>IF(K741&lt;&gt;"",VLOOKUP(K741,'Catálogo SAP'!A:F,5,FALSE),"")</f>
        <v/>
      </c>
      <c r="O741" s="160"/>
      <c r="P741" s="70" t="str">
        <f t="shared" si="254"/>
        <v>-</v>
      </c>
      <c r="Q741" s="163" t="str">
        <f t="shared" si="258"/>
        <v>-</v>
      </c>
      <c r="R741" s="44" t="str">
        <f>IF(J741&lt;&gt;"",VLOOKUP(J741,'RESUMO DR'!$B$4:$E$253,4,FALSE),"-")</f>
        <v>-</v>
      </c>
      <c r="S741" s="58" t="str">
        <f>IF(J741&lt;&gt;"",VLOOKUP(J741,'RESUMO DR'!$B$4:$E$253,3,FALSE),"-")</f>
        <v>-</v>
      </c>
      <c r="T741" s="129"/>
      <c r="U741" s="129"/>
      <c r="V741" s="129"/>
      <c r="W741" s="128"/>
      <c r="X741" s="127"/>
      <c r="Y741" s="127"/>
      <c r="Z741" s="4"/>
    </row>
    <row r="742" spans="1:26" ht="18" customHeight="1">
      <c r="A742" s="5"/>
      <c r="B742" s="21">
        <v>45668</v>
      </c>
      <c r="C742" s="21" t="s">
        <v>137</v>
      </c>
      <c r="D742" s="74" t="str">
        <f t="shared" si="259"/>
        <v>sáb</v>
      </c>
      <c r="E742" s="169" t="str">
        <f>IF(K742&lt;&gt;"",VLOOKUP(K742,'Catálogo SAP'!$A$1:$F$245,2,FALSE),"-")</f>
        <v>-</v>
      </c>
      <c r="F742" s="225"/>
      <c r="G742" s="225"/>
      <c r="H742" s="226"/>
      <c r="I742" s="230"/>
      <c r="J742" s="162" t="str">
        <f t="shared" si="257"/>
        <v/>
      </c>
      <c r="K742" s="16"/>
      <c r="L742" s="167" t="str">
        <f>IF(K742&lt;&gt;"",VLOOKUP(K742,'Catálogo SAP'!A:F,3,FALSE),"")</f>
        <v/>
      </c>
      <c r="M742" s="162" t="str">
        <f>IF(K742&lt;&gt;"",VLOOKUP(K742,'Catálogo SAP'!A:F,4,FALSE),"")</f>
        <v/>
      </c>
      <c r="N742" s="168" t="str">
        <f>IF(K742&lt;&gt;"",VLOOKUP(K742,'Catálogo SAP'!A:F,5,FALSE),"")</f>
        <v/>
      </c>
      <c r="O742" s="160"/>
      <c r="P742" s="70" t="str">
        <f t="shared" si="254"/>
        <v>-</v>
      </c>
      <c r="Q742" s="163" t="str">
        <f t="shared" si="258"/>
        <v>-</v>
      </c>
      <c r="R742" s="44" t="str">
        <f>IF(J742&lt;&gt;"",VLOOKUP(J742,'RESUMO DR'!$B$4:$E$253,4,FALSE),"-")</f>
        <v>-</v>
      </c>
      <c r="S742" s="58" t="str">
        <f>IF(J742&lt;&gt;"",VLOOKUP(J742,'RESUMO DR'!$B$4:$E$253,3,FALSE),"-")</f>
        <v>-</v>
      </c>
      <c r="T742" s="129"/>
      <c r="U742" s="129"/>
      <c r="V742" s="129"/>
      <c r="W742" s="128"/>
      <c r="X742" s="127"/>
      <c r="Y742" s="127"/>
      <c r="Z742" s="4"/>
    </row>
    <row r="743" spans="1:26" ht="18" customHeight="1">
      <c r="A743" s="5"/>
      <c r="B743" s="21">
        <v>45668</v>
      </c>
      <c r="C743" s="21" t="s">
        <v>137</v>
      </c>
      <c r="D743" s="74" t="str">
        <f t="shared" si="259"/>
        <v>sáb</v>
      </c>
      <c r="E743" s="169" t="str">
        <f>IF(K743&lt;&gt;"",VLOOKUP(K743,'Catálogo SAP'!$A$1:$F$245,2,FALSE),"-")</f>
        <v>-</v>
      </c>
      <c r="F743" s="225"/>
      <c r="G743" s="225"/>
      <c r="H743" s="226"/>
      <c r="I743" s="230"/>
      <c r="J743" s="162" t="str">
        <f t="shared" si="257"/>
        <v/>
      </c>
      <c r="K743" s="16"/>
      <c r="L743" s="167" t="str">
        <f>IF(K743&lt;&gt;"",VLOOKUP(K743,'Catálogo SAP'!A:F,3,FALSE),"")</f>
        <v/>
      </c>
      <c r="M743" s="162" t="str">
        <f>IF(K743&lt;&gt;"",VLOOKUP(K743,'Catálogo SAP'!A:F,4,FALSE),"")</f>
        <v/>
      </c>
      <c r="N743" s="168" t="str">
        <f>IF(K743&lt;&gt;"",VLOOKUP(K743,'Catálogo SAP'!A:F,5,FALSE),"")</f>
        <v/>
      </c>
      <c r="O743" s="160"/>
      <c r="P743" s="70" t="str">
        <f t="shared" si="254"/>
        <v>-</v>
      </c>
      <c r="Q743" s="163" t="str">
        <f t="shared" si="258"/>
        <v>-</v>
      </c>
      <c r="R743" s="44" t="str">
        <f>IF(J743&lt;&gt;"",VLOOKUP(J743,'RESUMO DR'!$B$4:$E$253,4,FALSE),"-")</f>
        <v>-</v>
      </c>
      <c r="S743" s="58" t="str">
        <f>IF(J743&lt;&gt;"",VLOOKUP(J743,'RESUMO DR'!$B$4:$E$253,3,FALSE),"-")</f>
        <v>-</v>
      </c>
      <c r="T743" s="129"/>
      <c r="U743" s="129"/>
      <c r="V743" s="129"/>
      <c r="W743" s="128"/>
      <c r="X743" s="127"/>
      <c r="Y743" s="127"/>
      <c r="Z743" s="4"/>
    </row>
    <row r="744" spans="1:26" ht="18" customHeight="1">
      <c r="A744" s="5"/>
      <c r="B744" s="21">
        <v>45668</v>
      </c>
      <c r="C744" s="21" t="s">
        <v>123</v>
      </c>
      <c r="D744" s="74" t="str">
        <f t="shared" si="259"/>
        <v>sáb</v>
      </c>
      <c r="E744" s="169" t="str">
        <f>IF(K744&lt;&gt;"",VLOOKUP(K744,'Catálogo SAP'!$A$1:$F$245,2,FALSE),"-")</f>
        <v>-</v>
      </c>
      <c r="F744" s="16"/>
      <c r="G744" s="16"/>
      <c r="H744" s="22"/>
      <c r="I744" s="133"/>
      <c r="J744" s="162" t="str">
        <f t="shared" si="257"/>
        <v/>
      </c>
      <c r="K744" s="16"/>
      <c r="L744" s="167" t="str">
        <f>IF(K744&lt;&gt;"",VLOOKUP(K744,'Catálogo SAP'!A:F,3,FALSE),"")</f>
        <v/>
      </c>
      <c r="M744" s="162" t="str">
        <f>IF(K744&lt;&gt;"",VLOOKUP(K744,'Catálogo SAP'!A:F,4,FALSE),"")</f>
        <v/>
      </c>
      <c r="N744" s="168" t="str">
        <f>IF(K744&lt;&gt;"",VLOOKUP(K744,'Catálogo SAP'!A:F,5,FALSE),"")</f>
        <v/>
      </c>
      <c r="O744" s="160"/>
      <c r="P744" s="70" t="str">
        <f t="shared" si="254"/>
        <v>-</v>
      </c>
      <c r="Q744" s="163" t="str">
        <f t="shared" si="258"/>
        <v>-</v>
      </c>
      <c r="R744" s="44" t="str">
        <f>IF(J744&lt;&gt;"",VLOOKUP(J744,'RESUMO DR'!$B$4:$E$253,4,FALSE),"-")</f>
        <v>-</v>
      </c>
      <c r="S744" s="58" t="str">
        <f>IF(J744&lt;&gt;"",VLOOKUP(J744,'RESUMO DR'!$B$4:$E$253,3,FALSE),"-")</f>
        <v>-</v>
      </c>
      <c r="T744" s="129"/>
      <c r="U744" s="129"/>
      <c r="V744" s="129"/>
      <c r="W744" s="128"/>
      <c r="X744" s="127"/>
      <c r="Y744" s="127"/>
      <c r="Z744" s="4"/>
    </row>
    <row r="745" spans="1:26" ht="18" customHeight="1">
      <c r="A745" s="5">
        <v>1843</v>
      </c>
      <c r="B745" s="21">
        <v>45668</v>
      </c>
      <c r="C745" s="21" t="s">
        <v>314</v>
      </c>
      <c r="D745" s="74" t="str">
        <f t="shared" si="259"/>
        <v>sáb</v>
      </c>
      <c r="E745" s="169">
        <f>IF(K745&lt;&gt;"",VLOOKUP(K745,'Catálogo SAP'!$A$1:$F$245,2,FALSE),"-")</f>
        <v>200</v>
      </c>
      <c r="F745" s="225">
        <v>67397</v>
      </c>
      <c r="G745" s="225">
        <v>67750</v>
      </c>
      <c r="H745" s="226"/>
      <c r="I745" s="230">
        <v>147</v>
      </c>
      <c r="J745" s="162" t="str">
        <f t="shared" si="257"/>
        <v>RIBAMAR FIQUENE</v>
      </c>
      <c r="K745" s="16">
        <v>200</v>
      </c>
      <c r="L745" s="167" t="str">
        <f>IF(K745&lt;&gt;"",VLOOKUP(K745,'Catálogo SAP'!A:F,3,FALSE),"")</f>
        <v>S.VP-01445</v>
      </c>
      <c r="M745" s="162" t="str">
        <f>IF(K745&lt;&gt;"",VLOOKUP(K745,'Catálogo SAP'!A:F,4,FALSE),"")</f>
        <v>Km Rodado Caminhão Basculante - C/Motorista</v>
      </c>
      <c r="N745" s="168" t="str">
        <f>IF(K745&lt;&gt;"",VLOOKUP(K745,'Catálogo SAP'!A:F,5,FALSE),"")</f>
        <v>KM</v>
      </c>
      <c r="O745" s="160">
        <v>353</v>
      </c>
      <c r="P745" s="70">
        <f t="shared" si="254"/>
        <v>353</v>
      </c>
      <c r="Q745" s="163" t="e">
        <f t="shared" si="258"/>
        <v>#VALUE!</v>
      </c>
      <c r="R745" s="44" t="str">
        <f>IF(J745&lt;&gt;"",VLOOKUP(J745,'RESUMO DR'!$B$4:$E$253,4,FALSE),"-")</f>
        <v>T-01</v>
      </c>
      <c r="S745" s="58" t="str">
        <f>IF(J745&lt;&gt;"",VLOOKUP(J745,'RESUMO DR'!$B$4:$E$253,3,FALSE),"-")</f>
        <v>IMPERATRIZ</v>
      </c>
      <c r="T745" s="129"/>
      <c r="U745" s="129"/>
      <c r="V745" s="129"/>
      <c r="W745" s="128"/>
      <c r="X745" s="127"/>
      <c r="Y745" s="127"/>
      <c r="Z745" s="4"/>
    </row>
    <row r="746" spans="1:26" ht="18" customHeight="1">
      <c r="A746" s="5"/>
      <c r="B746" s="21">
        <v>45668</v>
      </c>
      <c r="C746" s="21" t="s">
        <v>151</v>
      </c>
      <c r="D746" s="74" t="str">
        <f t="shared" si="259"/>
        <v>sáb</v>
      </c>
      <c r="E746" s="169" t="str">
        <f>IF(K746&lt;&gt;"",VLOOKUP(K746,'Catálogo SAP'!$A$1:$F$245,2,FALSE),"-")</f>
        <v>-</v>
      </c>
      <c r="F746" s="16"/>
      <c r="G746" s="16"/>
      <c r="H746" s="22"/>
      <c r="I746" s="133"/>
      <c r="J746" s="162" t="str">
        <f t="shared" si="257"/>
        <v/>
      </c>
      <c r="K746" s="16"/>
      <c r="L746" s="167" t="str">
        <f>IF(K746&lt;&gt;"",VLOOKUP(K746,'Catálogo SAP'!A:F,3,FALSE),"")</f>
        <v/>
      </c>
      <c r="M746" s="162" t="str">
        <f>IF(K746&lt;&gt;"",VLOOKUP(K746,'Catálogo SAP'!A:F,4,FALSE),"")</f>
        <v/>
      </c>
      <c r="N746" s="168" t="str">
        <f>IF(K746&lt;&gt;"",VLOOKUP(K746,'Catálogo SAP'!A:F,5,FALSE),"")</f>
        <v/>
      </c>
      <c r="O746" s="160"/>
      <c r="P746" s="70" t="str">
        <f t="shared" si="254"/>
        <v>-</v>
      </c>
      <c r="Q746" s="163" t="str">
        <f t="shared" ref="Q746" si="260">IF(K746="","-",N746*O746)</f>
        <v>-</v>
      </c>
      <c r="R746" s="44" t="str">
        <f>IF(J746&lt;&gt;"",VLOOKUP(J746,'RESUMO DR'!$B$4:$E$253,4,FALSE),"-")</f>
        <v>-</v>
      </c>
      <c r="S746" s="58" t="str">
        <f>IF(J746&lt;&gt;"",VLOOKUP(J746,'RESUMO DR'!$B$4:$E$253,3,FALSE),"-")</f>
        <v>-</v>
      </c>
      <c r="T746" s="129"/>
      <c r="U746" s="129"/>
      <c r="V746" s="129"/>
      <c r="W746" s="128"/>
      <c r="X746" s="127"/>
      <c r="Y746" s="127"/>
      <c r="Z746" s="4"/>
    </row>
    <row r="747" spans="1:26" ht="18" customHeight="1">
      <c r="A747" s="5"/>
      <c r="B747" s="21">
        <v>45668</v>
      </c>
      <c r="C747" s="21" t="s">
        <v>152</v>
      </c>
      <c r="D747" s="74" t="str">
        <f t="shared" si="259"/>
        <v>sáb</v>
      </c>
      <c r="E747" s="169" t="str">
        <f>IF(K747&lt;&gt;"",VLOOKUP(K747,'Catálogo SAP'!$A$1:$F$245,2,FALSE),"-")</f>
        <v>-</v>
      </c>
      <c r="F747" s="16"/>
      <c r="G747" s="16"/>
      <c r="H747" s="22"/>
      <c r="I747" s="133"/>
      <c r="J747" s="162" t="str">
        <f t="shared" si="257"/>
        <v/>
      </c>
      <c r="K747" s="16"/>
      <c r="L747" s="167" t="str">
        <f>IF(K747&lt;&gt;"",VLOOKUP(K747,'Catálogo SAP'!A:F,3,FALSE),"")</f>
        <v/>
      </c>
      <c r="M747" s="162" t="str">
        <f>IF(K747&lt;&gt;"",VLOOKUP(K747,'Catálogo SAP'!A:F,4,FALSE),"")</f>
        <v/>
      </c>
      <c r="N747" s="168" t="str">
        <f>IF(K747&lt;&gt;"",VLOOKUP(K747,'Catálogo SAP'!A:F,5,FALSE),"")</f>
        <v/>
      </c>
      <c r="O747" s="160"/>
      <c r="P747" s="70" t="str">
        <f t="shared" si="254"/>
        <v>-</v>
      </c>
      <c r="Q747" s="163" t="str">
        <f t="shared" si="258"/>
        <v>-</v>
      </c>
      <c r="R747" s="44" t="str">
        <f>IF(J747&lt;&gt;"",VLOOKUP(J747,'RESUMO DR'!$B$4:$E$253,4,FALSE),"-")</f>
        <v>-</v>
      </c>
      <c r="S747" s="58" t="str">
        <f>IF(J747&lt;&gt;"",VLOOKUP(J747,'RESUMO DR'!$B$4:$E$253,3,FALSE),"-")</f>
        <v>-</v>
      </c>
      <c r="T747" s="129"/>
      <c r="U747" s="129"/>
      <c r="V747" s="129"/>
      <c r="W747" s="128"/>
      <c r="X747" s="127"/>
      <c r="Y747" s="127"/>
      <c r="Z747" s="4"/>
    </row>
    <row r="748" spans="1:26" ht="18" customHeight="1">
      <c r="A748" s="5"/>
      <c r="B748" s="21">
        <v>45668</v>
      </c>
      <c r="C748" s="21" t="s">
        <v>152</v>
      </c>
      <c r="D748" s="74" t="str">
        <f t="shared" ref="D748" si="261">IF(B748="","-",TEXT(B748,"ddd"))</f>
        <v>sáb</v>
      </c>
      <c r="E748" s="169" t="str">
        <f>IF(K748&lt;&gt;"",VLOOKUP(K748,'Catálogo SAP'!$A$1:$F$245,2,FALSE),"-")</f>
        <v>-</v>
      </c>
      <c r="F748" s="16"/>
      <c r="G748" s="16"/>
      <c r="H748" s="22"/>
      <c r="I748" s="133"/>
      <c r="J748" s="162" t="str">
        <f t="shared" si="257"/>
        <v/>
      </c>
      <c r="K748" s="16"/>
      <c r="L748" s="167" t="str">
        <f>IF(K748&lt;&gt;"",VLOOKUP(K748,'Catálogo SAP'!A:F,3,FALSE),"")</f>
        <v/>
      </c>
      <c r="M748" s="162" t="str">
        <f>IF(K748&lt;&gt;"",VLOOKUP(K748,'Catálogo SAP'!A:F,4,FALSE),"")</f>
        <v/>
      </c>
      <c r="N748" s="168" t="str">
        <f>IF(K748&lt;&gt;"",VLOOKUP(K748,'Catálogo SAP'!A:F,5,FALSE),"")</f>
        <v/>
      </c>
      <c r="O748" s="160"/>
      <c r="P748" s="70" t="str">
        <f t="shared" si="254"/>
        <v>-</v>
      </c>
      <c r="Q748" s="163" t="str">
        <f t="shared" ref="Q748:Q749" si="262">IF(K748="","-",N748*O748)</f>
        <v>-</v>
      </c>
      <c r="R748" s="44" t="str">
        <f>IF(J748&lt;&gt;"",VLOOKUP(J748,'RESUMO DR'!$B$4:$E$253,4,FALSE),"-")</f>
        <v>-</v>
      </c>
      <c r="S748" s="58" t="str">
        <f>IF(J748&lt;&gt;"",VLOOKUP(J748,'RESUMO DR'!$B$4:$E$253,3,FALSE),"-")</f>
        <v>-</v>
      </c>
      <c r="T748" s="129"/>
      <c r="U748" s="129"/>
      <c r="V748" s="129"/>
      <c r="W748" s="128"/>
      <c r="X748" s="127"/>
      <c r="Y748" s="127"/>
      <c r="Z748" s="4"/>
    </row>
    <row r="749" spans="1:26" ht="18" customHeight="1">
      <c r="A749" s="5"/>
      <c r="B749" s="21"/>
      <c r="C749" s="21"/>
      <c r="D749" s="74" t="str">
        <f t="shared" ref="D749" si="263">IF(B749="","-",TEXT(B749,"ddd"))</f>
        <v>-</v>
      </c>
      <c r="E749" s="169" t="str">
        <f>IF(K749&lt;&gt;"",VLOOKUP(K749,'Catálogo SAP'!$A$1:$F$245,2,FALSE),"-")</f>
        <v>-</v>
      </c>
      <c r="F749" s="16"/>
      <c r="G749" s="16"/>
      <c r="H749" s="22"/>
      <c r="I749" s="133"/>
      <c r="J749" s="162" t="str">
        <f t="shared" si="257"/>
        <v/>
      </c>
      <c r="K749" s="16"/>
      <c r="L749" s="167" t="str">
        <f>IF(K749&lt;&gt;"",VLOOKUP(K749,'Catálogo SAP'!A:F,3,FALSE),"")</f>
        <v/>
      </c>
      <c r="M749" s="162" t="str">
        <f>IF(K749&lt;&gt;"",VLOOKUP(K749,'Catálogo SAP'!A:F,4,FALSE),"")</f>
        <v/>
      </c>
      <c r="N749" s="168" t="str">
        <f>IF(K749&lt;&gt;"",VLOOKUP(K749,'Catálogo SAP'!A:F,5,FALSE),"")</f>
        <v/>
      </c>
      <c r="O749" s="160"/>
      <c r="P749" s="70" t="str">
        <f t="shared" si="254"/>
        <v>-</v>
      </c>
      <c r="Q749" s="163" t="str">
        <f t="shared" si="262"/>
        <v>-</v>
      </c>
      <c r="R749" s="44" t="str">
        <f>IF(J749&lt;&gt;"",VLOOKUP(J749,'RESUMO DR'!$B$4:$E$253,4,FALSE),"-")</f>
        <v>-</v>
      </c>
      <c r="S749" s="58" t="str">
        <f>IF(J749&lt;&gt;"",VLOOKUP(J749,'RESUMO DR'!$B$4:$E$253,3,FALSE),"-")</f>
        <v>-</v>
      </c>
      <c r="T749" s="129"/>
      <c r="U749" s="129"/>
      <c r="V749" s="129"/>
      <c r="W749" s="128"/>
      <c r="X749" s="127"/>
      <c r="Y749" s="127"/>
      <c r="Z749" s="4"/>
    </row>
    <row r="750" spans="1:26" ht="18" customHeight="1">
      <c r="A750" s="5"/>
      <c r="B750" s="21"/>
      <c r="C750" s="21"/>
      <c r="D750" s="74" t="str">
        <f t="shared" si="259"/>
        <v>-</v>
      </c>
      <c r="E750" s="169" t="str">
        <f>IF(K750&lt;&gt;"",VLOOKUP(K750,'Catálogo SAP'!$A$1:$F$245,2,FALSE),"-")</f>
        <v>-</v>
      </c>
      <c r="F750" s="225"/>
      <c r="G750" s="225"/>
      <c r="H750" s="226"/>
      <c r="I750" s="230"/>
      <c r="J750" s="162" t="str">
        <f t="shared" si="257"/>
        <v/>
      </c>
      <c r="K750" s="16"/>
      <c r="L750" s="167" t="str">
        <f>IF(K750&lt;&gt;"",VLOOKUP(K750,'Catálogo SAP'!A:F,3,FALSE),"")</f>
        <v/>
      </c>
      <c r="M750" s="162" t="str">
        <f>IF(K750&lt;&gt;"",VLOOKUP(K750,'Catálogo SAP'!A:F,4,FALSE),"")</f>
        <v/>
      </c>
      <c r="N750" s="168" t="str">
        <f>IF(K750&lt;&gt;"",VLOOKUP(K750,'Catálogo SAP'!A:F,5,FALSE),"")</f>
        <v/>
      </c>
      <c r="O750" s="160"/>
      <c r="P750" s="70" t="str">
        <f t="shared" si="254"/>
        <v>-</v>
      </c>
      <c r="Q750" s="163" t="str">
        <f t="shared" si="258"/>
        <v>-</v>
      </c>
      <c r="R750" s="44" t="str">
        <f>IF(J750&lt;&gt;"",VLOOKUP(J750,'RESUMO DR'!$B$4:$E$253,4,FALSE),"-")</f>
        <v>-</v>
      </c>
      <c r="S750" s="58" t="str">
        <f>IF(J750&lt;&gt;"",VLOOKUP(J750,'RESUMO DR'!$B$4:$E$253,3,FALSE),"-")</f>
        <v>-</v>
      </c>
      <c r="T750" s="129"/>
      <c r="U750" s="129"/>
      <c r="V750" s="129"/>
      <c r="W750" s="128"/>
      <c r="X750" s="127"/>
      <c r="Y750" s="127"/>
      <c r="Z750" s="4"/>
    </row>
    <row r="751" spans="1:26" ht="18" customHeight="1">
      <c r="A751" s="5">
        <v>1574</v>
      </c>
      <c r="B751" s="21">
        <v>45670</v>
      </c>
      <c r="C751" s="21" t="s">
        <v>121</v>
      </c>
      <c r="D751" s="74" t="str">
        <f t="shared" si="259"/>
        <v>seg</v>
      </c>
      <c r="E751" s="169">
        <f>IF(K751&lt;&gt;"",VLOOKUP(K751,'Catálogo SAP'!$A$1:$F$245,2,FALSE),"-")</f>
        <v>120</v>
      </c>
      <c r="F751" s="16">
        <v>8748</v>
      </c>
      <c r="G751" s="16">
        <v>8756</v>
      </c>
      <c r="H751" s="22"/>
      <c r="I751" s="133">
        <v>300</v>
      </c>
      <c r="J751" s="162" t="str">
        <f t="shared" si="257"/>
        <v>SAO LUIS</v>
      </c>
      <c r="K751" s="16">
        <v>120</v>
      </c>
      <c r="L751" s="167" t="str">
        <f>IF(K751&lt;&gt;"",VLOOKUP(K751,'Catálogo SAP'!A:F,3,FALSE),"")</f>
        <v>S.VP-01437</v>
      </c>
      <c r="M751" s="162" t="str">
        <f>IF(K751&lt;&gt;"",VLOOKUP(K751,'Catálogo SAP'!A:F,4,FALSE),"")</f>
        <v>Hr Produtiva Retroescavadeira C/Operador</v>
      </c>
      <c r="N751" s="168" t="str">
        <f>IF(K751&lt;&gt;"",VLOOKUP(K751,'Catálogo SAP'!A:F,5,FALSE),"")</f>
        <v>H</v>
      </c>
      <c r="O751" s="160">
        <v>8</v>
      </c>
      <c r="P751" s="70">
        <f t="shared" si="254"/>
        <v>8</v>
      </c>
      <c r="Q751" s="163" t="e">
        <f t="shared" si="258"/>
        <v>#VALUE!</v>
      </c>
      <c r="R751" s="44" t="str">
        <f>IF(J751&lt;&gt;"",VLOOKUP(J751,'RESUMO DR'!$B$4:$E$253,4,FALSE),"-")</f>
        <v>T-02</v>
      </c>
      <c r="S751" s="58" t="str">
        <f>IF(J751&lt;&gt;"",VLOOKUP(J751,'RESUMO DR'!$B$4:$E$253,3,FALSE),"-")</f>
        <v>ARAGUAINA</v>
      </c>
      <c r="T751" s="129"/>
      <c r="U751" s="129"/>
      <c r="V751" s="129"/>
      <c r="W751" s="128"/>
      <c r="X751" s="127"/>
      <c r="Y751" s="127"/>
      <c r="Z751" s="4"/>
    </row>
    <row r="752" spans="1:26" ht="18" customHeight="1">
      <c r="A752" s="5">
        <v>1574</v>
      </c>
      <c r="B752" s="21">
        <v>45670</v>
      </c>
      <c r="C752" s="21" t="s">
        <v>121</v>
      </c>
      <c r="D752" s="74" t="str">
        <f t="shared" si="259"/>
        <v>seg</v>
      </c>
      <c r="E752" s="169">
        <f>IF(K752&lt;&gt;"",VLOOKUP(K752,'Catálogo SAP'!$A$1:$F$245,2,FALSE),"-")</f>
        <v>130</v>
      </c>
      <c r="F752" s="16">
        <v>8756</v>
      </c>
      <c r="G752" s="16">
        <v>8756</v>
      </c>
      <c r="H752" s="22"/>
      <c r="I752" s="133">
        <v>300</v>
      </c>
      <c r="J752" s="162" t="str">
        <f t="shared" si="257"/>
        <v>SAO LUIS</v>
      </c>
      <c r="K752" s="16">
        <v>130</v>
      </c>
      <c r="L752" s="167" t="str">
        <f>IF(K752&lt;&gt;"",VLOOKUP(K752,'Catálogo SAP'!A:F,3,FALSE),"")</f>
        <v>S.VP-01438</v>
      </c>
      <c r="M752" s="162" t="str">
        <f>IF(K752&lt;&gt;"",VLOOKUP(K752,'Catálogo SAP'!A:F,4,FALSE),"")</f>
        <v>Hr Improdutiva Retroescavadeira C/Operador</v>
      </c>
      <c r="N752" s="168" t="str">
        <f>IF(K752&lt;&gt;"",VLOOKUP(K752,'Catálogo SAP'!A:F,5,FALSE),"")</f>
        <v>H</v>
      </c>
      <c r="O752" s="160">
        <v>1</v>
      </c>
      <c r="P752" s="70">
        <f t="shared" si="254"/>
        <v>0</v>
      </c>
      <c r="Q752" s="163" t="e">
        <f t="shared" si="258"/>
        <v>#VALUE!</v>
      </c>
      <c r="R752" s="44" t="str">
        <f>IF(J752&lt;&gt;"",VLOOKUP(J752,'RESUMO DR'!$B$4:$E$253,4,FALSE),"-")</f>
        <v>T-02</v>
      </c>
      <c r="S752" s="58" t="str">
        <f>IF(J752&lt;&gt;"",VLOOKUP(J752,'RESUMO DR'!$B$4:$E$253,3,FALSE),"-")</f>
        <v>ARAGUAINA</v>
      </c>
      <c r="T752" s="129"/>
      <c r="U752" s="129"/>
      <c r="V752" s="129"/>
      <c r="W752" s="128"/>
      <c r="X752" s="127"/>
      <c r="Y752" s="127"/>
      <c r="Z752" s="4"/>
    </row>
    <row r="753" spans="1:26" ht="18" customHeight="1">
      <c r="A753" s="5">
        <v>1861</v>
      </c>
      <c r="B753" s="21">
        <v>45670</v>
      </c>
      <c r="C753" s="21" t="s">
        <v>122</v>
      </c>
      <c r="D753" s="74" t="str">
        <f t="shared" si="259"/>
        <v>seg</v>
      </c>
      <c r="E753" s="169">
        <f>IF(K753&lt;&gt;"",VLOOKUP(K753,'Catálogo SAP'!$A$1:$F$245,2,FALSE),"-")</f>
        <v>120</v>
      </c>
      <c r="F753" s="225">
        <v>3913</v>
      </c>
      <c r="G753" s="225">
        <v>3922</v>
      </c>
      <c r="H753" s="226"/>
      <c r="I753" s="230">
        <v>318</v>
      </c>
      <c r="J753" s="162" t="str">
        <f t="shared" si="257"/>
        <v>BABAÇULÂNDIA</v>
      </c>
      <c r="K753" s="16">
        <v>120</v>
      </c>
      <c r="L753" s="167" t="str">
        <f>IF(K753&lt;&gt;"",VLOOKUP(K753,'Catálogo SAP'!A:F,3,FALSE),"")</f>
        <v>S.VP-01437</v>
      </c>
      <c r="M753" s="162" t="str">
        <f>IF(K753&lt;&gt;"",VLOOKUP(K753,'Catálogo SAP'!A:F,4,FALSE),"")</f>
        <v>Hr Produtiva Retroescavadeira C/Operador</v>
      </c>
      <c r="N753" s="168" t="str">
        <f>IF(K753&lt;&gt;"",VLOOKUP(K753,'Catálogo SAP'!A:F,5,FALSE),"")</f>
        <v>H</v>
      </c>
      <c r="O753" s="160">
        <v>9</v>
      </c>
      <c r="P753" s="70">
        <f t="shared" si="254"/>
        <v>9</v>
      </c>
      <c r="Q753" s="163" t="e">
        <f t="shared" si="258"/>
        <v>#VALUE!</v>
      </c>
      <c r="R753" s="44" t="str">
        <f>IF(J753&lt;&gt;"",VLOOKUP(J753,'RESUMO DR'!$B$4:$E$253,4,FALSE),"-")</f>
        <v>T-02</v>
      </c>
      <c r="S753" s="58" t="str">
        <f>IF(J753&lt;&gt;"",VLOOKUP(J753,'RESUMO DR'!$B$4:$E$253,3,FALSE),"-")</f>
        <v>ARAGUAINA</v>
      </c>
      <c r="T753" s="129"/>
      <c r="U753" s="129"/>
      <c r="V753" s="129"/>
      <c r="W753" s="128"/>
      <c r="X753" s="127"/>
      <c r="Y753" s="127"/>
      <c r="Z753" s="4"/>
    </row>
    <row r="754" spans="1:26" ht="18" customHeight="1">
      <c r="A754" s="5">
        <v>1859</v>
      </c>
      <c r="B754" s="21">
        <v>45670</v>
      </c>
      <c r="C754" s="21" t="s">
        <v>123</v>
      </c>
      <c r="D754" s="74" t="str">
        <f t="shared" si="259"/>
        <v>seg</v>
      </c>
      <c r="E754" s="169">
        <f>IF(K754&lt;&gt;"",VLOOKUP(K754,'Catálogo SAP'!$A$1:$F$245,2,FALSE),"-")</f>
        <v>120</v>
      </c>
      <c r="F754" s="225">
        <v>5908</v>
      </c>
      <c r="G754" s="225">
        <v>5917</v>
      </c>
      <c r="H754" s="226"/>
      <c r="I754" s="230">
        <v>438</v>
      </c>
      <c r="J754" s="162" t="str">
        <f t="shared" si="257"/>
        <v>Palmeirante</v>
      </c>
      <c r="K754" s="16">
        <v>120</v>
      </c>
      <c r="L754" s="167" t="str">
        <f>IF(K754&lt;&gt;"",VLOOKUP(K754,'Catálogo SAP'!A:F,3,FALSE),"")</f>
        <v>S.VP-01437</v>
      </c>
      <c r="M754" s="162" t="str">
        <f>IF(K754&lt;&gt;"",VLOOKUP(K754,'Catálogo SAP'!A:F,4,FALSE),"")</f>
        <v>Hr Produtiva Retroescavadeira C/Operador</v>
      </c>
      <c r="N754" s="168" t="str">
        <f>IF(K754&lt;&gt;"",VLOOKUP(K754,'Catálogo SAP'!A:F,5,FALSE),"")</f>
        <v>H</v>
      </c>
      <c r="O754" s="160">
        <v>9</v>
      </c>
      <c r="P754" s="70">
        <f t="shared" si="254"/>
        <v>9</v>
      </c>
      <c r="Q754" s="163" t="e">
        <f t="shared" si="258"/>
        <v>#VALUE!</v>
      </c>
      <c r="R754" s="44" t="str">
        <f>IF(J754&lt;&gt;"",VLOOKUP(J754,'RESUMO DR'!$B$4:$E$253,4,FALSE),"-")</f>
        <v>T-02</v>
      </c>
      <c r="S754" s="58" t="str">
        <f>IF(J754&lt;&gt;"",VLOOKUP(J754,'RESUMO DR'!$B$4:$E$253,3,FALSE),"-")</f>
        <v>ARAGUAINA</v>
      </c>
      <c r="T754" s="129"/>
      <c r="U754" s="129"/>
      <c r="V754" s="129"/>
      <c r="W754" s="128"/>
      <c r="X754" s="127"/>
      <c r="Y754" s="127"/>
      <c r="Z754" s="4"/>
    </row>
    <row r="755" spans="1:26" ht="18" customHeight="1">
      <c r="A755" s="5"/>
      <c r="B755" s="21">
        <v>45670</v>
      </c>
      <c r="C755" s="21" t="s">
        <v>124</v>
      </c>
      <c r="D755" s="74" t="str">
        <f t="shared" si="259"/>
        <v>seg</v>
      </c>
      <c r="E755" s="169" t="str">
        <f>IF(K755&lt;&gt;"",VLOOKUP(K755,'Catálogo SAP'!$A$1:$F$245,2,FALSE),"-")</f>
        <v>-</v>
      </c>
      <c r="F755" s="225"/>
      <c r="G755" s="225"/>
      <c r="H755" s="226"/>
      <c r="I755" s="230"/>
      <c r="J755" s="162" t="str">
        <f t="shared" si="257"/>
        <v/>
      </c>
      <c r="K755" s="16"/>
      <c r="L755" s="167" t="str">
        <f>IF(K755&lt;&gt;"",VLOOKUP(K755,'Catálogo SAP'!A:F,3,FALSE),"")</f>
        <v/>
      </c>
      <c r="M755" s="162" t="str">
        <f>IF(K755&lt;&gt;"",VLOOKUP(K755,'Catálogo SAP'!A:F,4,FALSE),"")</f>
        <v/>
      </c>
      <c r="N755" s="168" t="str">
        <f>IF(K755&lt;&gt;"",VLOOKUP(K755,'Catálogo SAP'!A:F,5,FALSE),"")</f>
        <v/>
      </c>
      <c r="O755" s="160"/>
      <c r="P755" s="70" t="str">
        <f t="shared" si="254"/>
        <v>-</v>
      </c>
      <c r="Q755" s="163" t="str">
        <f t="shared" si="258"/>
        <v>-</v>
      </c>
      <c r="R755" s="44" t="str">
        <f>IF(J755&lt;&gt;"",VLOOKUP(J755,'RESUMO DR'!$B$4:$E$253,4,FALSE),"-")</f>
        <v>-</v>
      </c>
      <c r="S755" s="58" t="str">
        <f>IF(J755&lt;&gt;"",VLOOKUP(J755,'RESUMO DR'!$B$4:$E$253,3,FALSE),"-")</f>
        <v>-</v>
      </c>
      <c r="T755" s="129"/>
      <c r="U755" s="129"/>
      <c r="V755" s="129"/>
      <c r="W755" s="128"/>
      <c r="X755" s="127"/>
      <c r="Y755" s="127"/>
      <c r="Z755" s="4"/>
    </row>
    <row r="756" spans="1:26" ht="18" customHeight="1">
      <c r="A756" s="5"/>
      <c r="B756" s="21">
        <v>45670</v>
      </c>
      <c r="C756" s="21" t="s">
        <v>124</v>
      </c>
      <c r="D756" s="74" t="str">
        <f t="shared" ref="D756" si="264">IF(B756="","-",TEXT(B756,"ddd"))</f>
        <v>seg</v>
      </c>
      <c r="E756" s="169" t="str">
        <f>IF(K756&lt;&gt;"",VLOOKUP(K756,'Catálogo SAP'!$A$1:$F$245,2,FALSE),"-")</f>
        <v>-</v>
      </c>
      <c r="F756" s="225"/>
      <c r="G756" s="225"/>
      <c r="H756" s="226"/>
      <c r="I756" s="230"/>
      <c r="J756" s="162" t="str">
        <f t="shared" si="257"/>
        <v/>
      </c>
      <c r="K756" s="16"/>
      <c r="L756" s="167" t="str">
        <f>IF(K756&lt;&gt;"",VLOOKUP(K756,'Catálogo SAP'!A:F,3,FALSE),"")</f>
        <v/>
      </c>
      <c r="M756" s="162" t="str">
        <f>IF(K756&lt;&gt;"",VLOOKUP(K756,'Catálogo SAP'!A:F,4,FALSE),"")</f>
        <v/>
      </c>
      <c r="N756" s="168" t="str">
        <f>IF(K756&lt;&gt;"",VLOOKUP(K756,'Catálogo SAP'!A:F,5,FALSE),"")</f>
        <v/>
      </c>
      <c r="O756" s="160"/>
      <c r="P756" s="70" t="str">
        <f t="shared" si="254"/>
        <v>-</v>
      </c>
      <c r="Q756" s="163" t="str">
        <f t="shared" ref="Q756:Q759" si="265">IF(K756="","-",N756*O756)</f>
        <v>-</v>
      </c>
      <c r="R756" s="44" t="str">
        <f>IF(J756&lt;&gt;"",VLOOKUP(J756,'RESUMO DR'!$B$4:$E$253,4,FALSE),"-")</f>
        <v>-</v>
      </c>
      <c r="S756" s="58" t="str">
        <f>IF(J756&lt;&gt;"",VLOOKUP(J756,'RESUMO DR'!$B$4:$E$253,3,FALSE),"-")</f>
        <v>-</v>
      </c>
      <c r="T756" s="129"/>
      <c r="U756" s="129"/>
      <c r="V756" s="129"/>
      <c r="W756" s="128"/>
      <c r="X756" s="127"/>
      <c r="Y756" s="127"/>
      <c r="Z756" s="4"/>
    </row>
    <row r="757" spans="1:26" ht="18" customHeight="1">
      <c r="A757" s="5">
        <v>1854</v>
      </c>
      <c r="B757" s="21">
        <v>45670</v>
      </c>
      <c r="C757" s="21" t="s">
        <v>307</v>
      </c>
      <c r="D757" s="74" t="str">
        <f t="shared" si="259"/>
        <v>seg</v>
      </c>
      <c r="E757" s="169">
        <f>IF(K757&lt;&gt;"",VLOOKUP(K757,'Catálogo SAP'!$A$1:$F$245,2,FALSE),"-")</f>
        <v>200</v>
      </c>
      <c r="F757" s="225">
        <v>68326</v>
      </c>
      <c r="G757" s="225">
        <v>68603</v>
      </c>
      <c r="H757" s="226"/>
      <c r="I757" s="230">
        <v>187</v>
      </c>
      <c r="J757" s="162" t="str">
        <f t="shared" si="257"/>
        <v>PORTO FRANCO</v>
      </c>
      <c r="K757" s="16">
        <v>200</v>
      </c>
      <c r="L757" s="167" t="str">
        <f>IF(K757&lt;&gt;"",VLOOKUP(K757,'Catálogo SAP'!A:F,3,FALSE),"")</f>
        <v>S.VP-01445</v>
      </c>
      <c r="M757" s="162" t="str">
        <f>IF(K757&lt;&gt;"",VLOOKUP(K757,'Catálogo SAP'!A:F,4,FALSE),"")</f>
        <v>Km Rodado Caminhão Basculante - C/Motorista</v>
      </c>
      <c r="N757" s="168" t="str">
        <f>IF(K757&lt;&gt;"",VLOOKUP(K757,'Catálogo SAP'!A:F,5,FALSE),"")</f>
        <v>KM</v>
      </c>
      <c r="O757" s="160">
        <v>277</v>
      </c>
      <c r="P757" s="70">
        <f t="shared" si="254"/>
        <v>277</v>
      </c>
      <c r="Q757" s="163" t="e">
        <f t="shared" si="265"/>
        <v>#VALUE!</v>
      </c>
      <c r="R757" s="44" t="str">
        <f>IF(J757&lt;&gt;"",VLOOKUP(J757,'RESUMO DR'!$B$4:$E$253,4,FALSE),"-")</f>
        <v>T-01</v>
      </c>
      <c r="S757" s="58" t="str">
        <f>IF(J757&lt;&gt;"",VLOOKUP(J757,'RESUMO DR'!$B$4:$E$253,3,FALSE),"-")</f>
        <v>IMPERATRIZ</v>
      </c>
      <c r="T757" s="129"/>
      <c r="U757" s="129"/>
      <c r="V757" s="129"/>
      <c r="W757" s="128"/>
      <c r="X757" s="127"/>
      <c r="Y757" s="127"/>
      <c r="Z757" s="4"/>
    </row>
    <row r="758" spans="1:26" ht="18" customHeight="1">
      <c r="A758" s="5">
        <v>1854</v>
      </c>
      <c r="B758" s="21">
        <v>45670</v>
      </c>
      <c r="C758" s="21" t="s">
        <v>308</v>
      </c>
      <c r="D758" s="74" t="str">
        <f t="shared" si="259"/>
        <v>seg</v>
      </c>
      <c r="E758" s="169">
        <f>IF(K758&lt;&gt;"",VLOOKUP(K758,'Catálogo SAP'!$A$1:$F$245,2,FALSE),"-")</f>
        <v>200</v>
      </c>
      <c r="F758" s="16">
        <v>67804</v>
      </c>
      <c r="G758" s="16">
        <v>68037</v>
      </c>
      <c r="H758" s="22"/>
      <c r="I758" s="133">
        <v>187</v>
      </c>
      <c r="J758" s="162" t="str">
        <f t="shared" si="257"/>
        <v>PORTO FRANCO</v>
      </c>
      <c r="K758" s="16">
        <v>200</v>
      </c>
      <c r="L758" s="167" t="str">
        <f>IF(K758&lt;&gt;"",VLOOKUP(K758,'Catálogo SAP'!A:F,3,FALSE),"")</f>
        <v>S.VP-01445</v>
      </c>
      <c r="M758" s="162" t="str">
        <f>IF(K758&lt;&gt;"",VLOOKUP(K758,'Catálogo SAP'!A:F,4,FALSE),"")</f>
        <v>Km Rodado Caminhão Basculante - C/Motorista</v>
      </c>
      <c r="N758" s="168" t="str">
        <f>IF(K758&lt;&gt;"",VLOOKUP(K758,'Catálogo SAP'!A:F,5,FALSE),"")</f>
        <v>KM</v>
      </c>
      <c r="O758" s="160">
        <v>233</v>
      </c>
      <c r="P758" s="70">
        <f t="shared" si="254"/>
        <v>233</v>
      </c>
      <c r="Q758" s="163" t="e">
        <f t="shared" si="265"/>
        <v>#VALUE!</v>
      </c>
      <c r="R758" s="44" t="str">
        <f>IF(J758&lt;&gt;"",VLOOKUP(J758,'RESUMO DR'!$B$4:$E$253,4,FALSE),"-")</f>
        <v>T-01</v>
      </c>
      <c r="S758" s="58" t="str">
        <f>IF(J758&lt;&gt;"",VLOOKUP(J758,'RESUMO DR'!$B$4:$E$253,3,FALSE),"-")</f>
        <v>IMPERATRIZ</v>
      </c>
      <c r="T758" s="129"/>
      <c r="U758" s="129"/>
      <c r="V758" s="129"/>
      <c r="W758" s="128"/>
      <c r="X758" s="127"/>
      <c r="Y758" s="127"/>
      <c r="Z758" s="4"/>
    </row>
    <row r="759" spans="1:26" ht="18" customHeight="1">
      <c r="A759" s="5">
        <v>1860</v>
      </c>
      <c r="B759" s="21">
        <v>45670</v>
      </c>
      <c r="C759" s="21" t="s">
        <v>127</v>
      </c>
      <c r="D759" s="74" t="str">
        <f t="shared" si="259"/>
        <v>seg</v>
      </c>
      <c r="E759" s="169">
        <f>IF(K759&lt;&gt;"",VLOOKUP(K759,'Catálogo SAP'!$A$1:$F$245,2,FALSE),"-")</f>
        <v>200</v>
      </c>
      <c r="F759" s="225">
        <v>50480</v>
      </c>
      <c r="G759" s="225">
        <v>50550</v>
      </c>
      <c r="H759" s="226"/>
      <c r="I759" s="230">
        <v>216</v>
      </c>
      <c r="J759" s="162" t="str">
        <f t="shared" si="257"/>
        <v>AGUIARNÓPOLIS</v>
      </c>
      <c r="K759" s="16">
        <v>200</v>
      </c>
      <c r="L759" s="167" t="str">
        <f>IF(K759&lt;&gt;"",VLOOKUP(K759,'Catálogo SAP'!A:F,3,FALSE),"")</f>
        <v>S.VP-01445</v>
      </c>
      <c r="M759" s="162" t="str">
        <f>IF(K759&lt;&gt;"",VLOOKUP(K759,'Catálogo SAP'!A:F,4,FALSE),"")</f>
        <v>Km Rodado Caminhão Basculante - C/Motorista</v>
      </c>
      <c r="N759" s="168" t="str">
        <f>IF(K759&lt;&gt;"",VLOOKUP(K759,'Catálogo SAP'!A:F,5,FALSE),"")</f>
        <v>KM</v>
      </c>
      <c r="O759" s="160">
        <v>70</v>
      </c>
      <c r="P759" s="70">
        <f t="shared" si="254"/>
        <v>70</v>
      </c>
      <c r="Q759" s="163" t="e">
        <f t="shared" si="265"/>
        <v>#VALUE!</v>
      </c>
      <c r="R759" s="44" t="str">
        <f>IF(J759&lt;&gt;"",VLOOKUP(J759,'RESUMO DR'!$B$4:$E$253,4,FALSE),"-")</f>
        <v>T-02</v>
      </c>
      <c r="S759" s="58" t="str">
        <f>IF(J759&lt;&gt;"",VLOOKUP(J759,'RESUMO DR'!$B$4:$E$253,3,FALSE),"-")</f>
        <v>ARAGUAINA</v>
      </c>
      <c r="T759" s="129"/>
      <c r="U759" s="129"/>
      <c r="V759" s="129"/>
      <c r="W759" s="128"/>
      <c r="X759" s="127"/>
      <c r="Y759" s="127"/>
      <c r="Z759" s="4"/>
    </row>
    <row r="760" spans="1:26" ht="18" customHeight="1">
      <c r="A760" s="5">
        <v>1854</v>
      </c>
      <c r="B760" s="21">
        <v>45670</v>
      </c>
      <c r="C760" s="21" t="s">
        <v>313</v>
      </c>
      <c r="D760" s="74" t="str">
        <f t="shared" si="259"/>
        <v>seg</v>
      </c>
      <c r="E760" s="169">
        <f>IF(K760&lt;&gt;"",VLOOKUP(K760,'Catálogo SAP'!$A$1:$F$245,2,FALSE),"-")</f>
        <v>200</v>
      </c>
      <c r="F760" s="225">
        <v>63642</v>
      </c>
      <c r="G760" s="225">
        <v>63870</v>
      </c>
      <c r="H760" s="226"/>
      <c r="I760" s="230">
        <v>187</v>
      </c>
      <c r="J760" s="162" t="str">
        <f t="shared" si="257"/>
        <v>PORTO FRANCO</v>
      </c>
      <c r="K760" s="16">
        <v>200</v>
      </c>
      <c r="L760" s="167" t="str">
        <f>IF(K760&lt;&gt;"",VLOOKUP(K760,'Catálogo SAP'!A:F,3,FALSE),"")</f>
        <v>S.VP-01445</v>
      </c>
      <c r="M760" s="162" t="str">
        <f>IF(K760&lt;&gt;"",VLOOKUP(K760,'Catálogo SAP'!A:F,4,FALSE),"")</f>
        <v>Km Rodado Caminhão Basculante - C/Motorista</v>
      </c>
      <c r="N760" s="168" t="str">
        <f>IF(K760&lt;&gt;"",VLOOKUP(K760,'Catálogo SAP'!A:F,5,FALSE),"")</f>
        <v>KM</v>
      </c>
      <c r="O760" s="160">
        <v>228</v>
      </c>
      <c r="P760" s="70">
        <f t="shared" si="254"/>
        <v>228</v>
      </c>
      <c r="Q760" s="163" t="e">
        <f t="shared" si="258"/>
        <v>#VALUE!</v>
      </c>
      <c r="R760" s="44" t="str">
        <f>IF(J760&lt;&gt;"",VLOOKUP(J760,'RESUMO DR'!$B$4:$E$253,4,FALSE),"-")</f>
        <v>T-01</v>
      </c>
      <c r="S760" s="58" t="str">
        <f>IF(J760&lt;&gt;"",VLOOKUP(J760,'RESUMO DR'!$B$4:$E$253,3,FALSE),"-")</f>
        <v>IMPERATRIZ</v>
      </c>
      <c r="T760" s="129"/>
      <c r="U760" s="129"/>
      <c r="V760" s="129"/>
      <c r="W760" s="128"/>
      <c r="X760" s="127"/>
      <c r="Y760" s="127"/>
      <c r="Z760" s="4"/>
    </row>
    <row r="761" spans="1:26" ht="18" customHeight="1">
      <c r="A761" s="5">
        <v>1863</v>
      </c>
      <c r="B761" s="21">
        <v>45670</v>
      </c>
      <c r="C761" s="21" t="s">
        <v>312</v>
      </c>
      <c r="D761" s="74" t="str">
        <f t="shared" si="259"/>
        <v>seg</v>
      </c>
      <c r="E761" s="169">
        <f>IF(K761&lt;&gt;"",VLOOKUP(K761,'Catálogo SAP'!$A$1:$F$245,2,FALSE),"-")</f>
        <v>200</v>
      </c>
      <c r="F761" s="225">
        <v>75915</v>
      </c>
      <c r="G761" s="16">
        <v>76339</v>
      </c>
      <c r="H761" s="226"/>
      <c r="I761" s="230">
        <v>319</v>
      </c>
      <c r="J761" s="162" t="str">
        <f t="shared" si="257"/>
        <v>BABAÇULÂNDIA</v>
      </c>
      <c r="K761" s="16">
        <v>200</v>
      </c>
      <c r="L761" s="167" t="str">
        <f>IF(K761&lt;&gt;"",VLOOKUP(K761,'Catálogo SAP'!A:F,3,FALSE),"")</f>
        <v>S.VP-01445</v>
      </c>
      <c r="M761" s="162" t="str">
        <f>IF(K761&lt;&gt;"",VLOOKUP(K761,'Catálogo SAP'!A:F,4,FALSE),"")</f>
        <v>Km Rodado Caminhão Basculante - C/Motorista</v>
      </c>
      <c r="N761" s="168" t="str">
        <f>IF(K761&lt;&gt;"",VLOOKUP(K761,'Catálogo SAP'!A:F,5,FALSE),"")</f>
        <v>KM</v>
      </c>
      <c r="O761" s="160">
        <v>424</v>
      </c>
      <c r="P761" s="70">
        <f t="shared" si="254"/>
        <v>424</v>
      </c>
      <c r="Q761" s="163" t="e">
        <f t="shared" si="258"/>
        <v>#VALUE!</v>
      </c>
      <c r="R761" s="44" t="str">
        <f>IF(J761&lt;&gt;"",VLOOKUP(J761,'RESUMO DR'!$B$4:$E$253,4,FALSE),"-")</f>
        <v>T-02</v>
      </c>
      <c r="S761" s="58" t="str">
        <f>IF(J761&lt;&gt;"",VLOOKUP(J761,'RESUMO DR'!$B$4:$E$253,3,FALSE),"-")</f>
        <v>ARAGUAINA</v>
      </c>
      <c r="T761" s="129"/>
      <c r="U761" s="129"/>
      <c r="V761" s="129"/>
      <c r="W761" s="128"/>
      <c r="X761" s="127"/>
      <c r="Y761" s="127"/>
      <c r="Z761" s="4"/>
    </row>
    <row r="762" spans="1:26" ht="18" customHeight="1">
      <c r="A762" s="5">
        <v>1859</v>
      </c>
      <c r="B762" s="21">
        <v>45670</v>
      </c>
      <c r="C762" s="21" t="s">
        <v>129</v>
      </c>
      <c r="D762" s="74" t="str">
        <f t="shared" si="259"/>
        <v>seg</v>
      </c>
      <c r="E762" s="169">
        <f>IF(K762&lt;&gt;"",VLOOKUP(K762,'Catálogo SAP'!$A$1:$F$245,2,FALSE),"-")</f>
        <v>200</v>
      </c>
      <c r="F762" s="16">
        <v>81353</v>
      </c>
      <c r="G762" s="16">
        <v>81372</v>
      </c>
      <c r="H762" s="22"/>
      <c r="I762" s="133">
        <v>438</v>
      </c>
      <c r="J762" s="162" t="str">
        <f t="shared" si="257"/>
        <v>Palmeirante</v>
      </c>
      <c r="K762" s="16">
        <v>200</v>
      </c>
      <c r="L762" s="167" t="str">
        <f>IF(K762&lt;&gt;"",VLOOKUP(K762,'Catálogo SAP'!A:F,3,FALSE),"")</f>
        <v>S.VP-01445</v>
      </c>
      <c r="M762" s="162" t="str">
        <f>IF(K762&lt;&gt;"",VLOOKUP(K762,'Catálogo SAP'!A:F,4,FALSE),"")</f>
        <v>Km Rodado Caminhão Basculante - C/Motorista</v>
      </c>
      <c r="N762" s="168" t="str">
        <f>IF(K762&lt;&gt;"",VLOOKUP(K762,'Catálogo SAP'!A:F,5,FALSE),"")</f>
        <v>KM</v>
      </c>
      <c r="O762" s="160">
        <v>19</v>
      </c>
      <c r="P762" s="70">
        <f t="shared" si="254"/>
        <v>19</v>
      </c>
      <c r="Q762" s="163" t="e">
        <f t="shared" si="258"/>
        <v>#VALUE!</v>
      </c>
      <c r="R762" s="44" t="str">
        <f>IF(J762&lt;&gt;"",VLOOKUP(J762,'RESUMO DR'!$B$4:$E$253,4,FALSE),"-")</f>
        <v>T-02</v>
      </c>
      <c r="S762" s="58" t="str">
        <f>IF(J762&lt;&gt;"",VLOOKUP(J762,'RESUMO DR'!$B$4:$E$253,3,FALSE),"-")</f>
        <v>ARAGUAINA</v>
      </c>
      <c r="T762" s="129"/>
      <c r="U762" s="129"/>
      <c r="V762" s="129"/>
      <c r="W762" s="128"/>
      <c r="X762" s="127"/>
      <c r="Y762" s="127"/>
      <c r="Z762" s="4"/>
    </row>
    <row r="763" spans="1:26" ht="18" customHeight="1">
      <c r="A763" s="5">
        <v>1854</v>
      </c>
      <c r="B763" s="21">
        <v>45670</v>
      </c>
      <c r="C763" s="21" t="s">
        <v>298</v>
      </c>
      <c r="D763" s="74" t="str">
        <f t="shared" si="259"/>
        <v>seg</v>
      </c>
      <c r="E763" s="169">
        <f>IF(K763&lt;&gt;"",VLOOKUP(K763,'Catálogo SAP'!$A$1:$F$245,2,FALSE),"-")</f>
        <v>160</v>
      </c>
      <c r="F763" s="225">
        <v>573</v>
      </c>
      <c r="G763" s="225">
        <v>582</v>
      </c>
      <c r="H763" s="226"/>
      <c r="I763" s="230">
        <v>187</v>
      </c>
      <c r="J763" s="162" t="str">
        <f t="shared" si="257"/>
        <v>PORTO FRANCO</v>
      </c>
      <c r="K763" s="16">
        <v>160</v>
      </c>
      <c r="L763" s="167" t="str">
        <f>IF(K763&lt;&gt;"",VLOOKUP(K763,'Catálogo SAP'!A:F,3,FALSE),"")</f>
        <v>S.VP-01441</v>
      </c>
      <c r="M763" s="162" t="str">
        <f>IF(K763&lt;&gt;"",VLOOKUP(K763,'Catálogo SAP'!A:F,4,FALSE),"")</f>
        <v>Hora Produtiva Pa Carregadeira C/Operador</v>
      </c>
      <c r="N763" s="168" t="str">
        <f>IF(K763&lt;&gt;"",VLOOKUP(K763,'Catálogo SAP'!A:F,5,FALSE),"")</f>
        <v>H</v>
      </c>
      <c r="O763" s="160">
        <v>9</v>
      </c>
      <c r="P763" s="70">
        <f t="shared" si="254"/>
        <v>9</v>
      </c>
      <c r="Q763" s="163" t="e">
        <f t="shared" si="258"/>
        <v>#VALUE!</v>
      </c>
      <c r="R763" s="44" t="str">
        <f>IF(J763&lt;&gt;"",VLOOKUP(J763,'RESUMO DR'!$B$4:$E$253,4,FALSE),"-")</f>
        <v>T-01</v>
      </c>
      <c r="S763" s="58" t="str">
        <f>IF(J763&lt;&gt;"",VLOOKUP(J763,'RESUMO DR'!$B$4:$E$253,3,FALSE),"-")</f>
        <v>IMPERATRIZ</v>
      </c>
      <c r="T763" s="129"/>
      <c r="U763" s="129"/>
      <c r="V763" s="129"/>
      <c r="W763" s="128"/>
      <c r="X763" s="127"/>
      <c r="Y763" s="127"/>
      <c r="Z763" s="4"/>
    </row>
    <row r="764" spans="1:26" ht="18" customHeight="1">
      <c r="A764" s="5"/>
      <c r="B764" s="21">
        <v>45670</v>
      </c>
      <c r="C764" s="21" t="s">
        <v>298</v>
      </c>
      <c r="D764" s="74" t="str">
        <f t="shared" si="259"/>
        <v>seg</v>
      </c>
      <c r="E764" s="169" t="str">
        <f>IF(K764&lt;&gt;"",VLOOKUP(K764,'Catálogo SAP'!$A$1:$F$245,2,FALSE),"-")</f>
        <v>-</v>
      </c>
      <c r="F764" s="225"/>
      <c r="G764" s="225"/>
      <c r="H764" s="226"/>
      <c r="I764" s="230"/>
      <c r="J764" s="162" t="str">
        <f t="shared" si="257"/>
        <v/>
      </c>
      <c r="K764" s="16"/>
      <c r="L764" s="167" t="str">
        <f>IF(K764&lt;&gt;"",VLOOKUP(K764,'Catálogo SAP'!A:F,3,FALSE),"")</f>
        <v/>
      </c>
      <c r="M764" s="162" t="str">
        <f>IF(K764&lt;&gt;"",VLOOKUP(K764,'Catálogo SAP'!A:F,4,FALSE),"")</f>
        <v/>
      </c>
      <c r="N764" s="168" t="str">
        <f>IF(K764&lt;&gt;"",VLOOKUP(K764,'Catálogo SAP'!A:F,5,FALSE),"")</f>
        <v/>
      </c>
      <c r="O764" s="160"/>
      <c r="P764" s="70" t="str">
        <f t="shared" si="254"/>
        <v>-</v>
      </c>
      <c r="Q764" s="163" t="str">
        <f t="shared" si="258"/>
        <v>-</v>
      </c>
      <c r="R764" s="44" t="str">
        <f>IF(J764&lt;&gt;"",VLOOKUP(J764,'RESUMO DR'!$B$4:$E$253,4,FALSE),"-")</f>
        <v>-</v>
      </c>
      <c r="S764" s="58" t="str">
        <f>IF(J764&lt;&gt;"",VLOOKUP(J764,'RESUMO DR'!$B$4:$E$253,3,FALSE),"-")</f>
        <v>-</v>
      </c>
      <c r="T764" s="129"/>
      <c r="U764" s="129"/>
      <c r="V764" s="129"/>
      <c r="W764" s="128"/>
      <c r="X764" s="127"/>
      <c r="Y764" s="127"/>
      <c r="Z764" s="4"/>
    </row>
    <row r="765" spans="1:26" ht="18" customHeight="1">
      <c r="A765" s="5">
        <v>1854</v>
      </c>
      <c r="B765" s="21">
        <v>45670</v>
      </c>
      <c r="C765" s="21" t="s">
        <v>131</v>
      </c>
      <c r="D765" s="74" t="str">
        <f t="shared" si="259"/>
        <v>seg</v>
      </c>
      <c r="E765" s="169">
        <f>IF(K765&lt;&gt;"",VLOOKUP(K765,'Catálogo SAP'!$A$1:$F$245,2,FALSE),"-")</f>
        <v>520</v>
      </c>
      <c r="F765" s="225">
        <v>10662</v>
      </c>
      <c r="G765" s="225">
        <v>10670</v>
      </c>
      <c r="H765" s="226"/>
      <c r="I765" s="230">
        <v>195</v>
      </c>
      <c r="J765" s="162" t="str">
        <f t="shared" si="257"/>
        <v>PORTO FRANCO</v>
      </c>
      <c r="K765" s="16">
        <v>520</v>
      </c>
      <c r="L765" s="167" t="str">
        <f>IF(K765&lt;&gt;"",VLOOKUP(K765,'Catálogo SAP'!A:F,3,FALSE),"")</f>
        <v>S.VP-01469</v>
      </c>
      <c r="M765" s="162" t="str">
        <f>IF(K765&lt;&gt;"",VLOOKUP(K765,'Catálogo SAP'!A:F,4,FALSE),"")</f>
        <v>Hora Produtiva Escavadeira Hidraulica</v>
      </c>
      <c r="N765" s="168" t="str">
        <f>IF(K765&lt;&gt;"",VLOOKUP(K765,'Catálogo SAP'!A:F,5,FALSE),"")</f>
        <v>H</v>
      </c>
      <c r="O765" s="160">
        <v>8</v>
      </c>
      <c r="P765" s="70">
        <f t="shared" si="254"/>
        <v>8</v>
      </c>
      <c r="Q765" s="163" t="e">
        <f t="shared" si="258"/>
        <v>#VALUE!</v>
      </c>
      <c r="R765" s="44" t="str">
        <f>IF(J765&lt;&gt;"",VLOOKUP(J765,'RESUMO DR'!$B$4:$E$253,4,FALSE),"-")</f>
        <v>T-01</v>
      </c>
      <c r="S765" s="58" t="str">
        <f>IF(J765&lt;&gt;"",VLOOKUP(J765,'RESUMO DR'!$B$4:$E$253,3,FALSE),"-")</f>
        <v>IMPERATRIZ</v>
      </c>
      <c r="T765" s="129"/>
      <c r="U765" s="129"/>
      <c r="V765" s="129"/>
      <c r="W765" s="128"/>
      <c r="X765" s="127"/>
      <c r="Y765" s="127"/>
      <c r="Z765" s="4"/>
    </row>
    <row r="766" spans="1:26" ht="18" customHeight="1">
      <c r="A766" s="5">
        <v>1854</v>
      </c>
      <c r="B766" s="21">
        <v>45670</v>
      </c>
      <c r="C766" s="21" t="s">
        <v>131</v>
      </c>
      <c r="D766" s="74" t="str">
        <f t="shared" si="259"/>
        <v>seg</v>
      </c>
      <c r="E766" s="169">
        <f>IF(K766&lt;&gt;"",VLOOKUP(K766,'Catálogo SAP'!$A$1:$F$245,2,FALSE),"-")</f>
        <v>530</v>
      </c>
      <c r="F766" s="225">
        <v>10670</v>
      </c>
      <c r="G766" s="225">
        <v>10670</v>
      </c>
      <c r="H766" s="226"/>
      <c r="I766" s="230">
        <v>195</v>
      </c>
      <c r="J766" s="162" t="str">
        <f t="shared" si="257"/>
        <v>PORTO FRANCO</v>
      </c>
      <c r="K766" s="16">
        <v>530</v>
      </c>
      <c r="L766" s="167" t="str">
        <f>IF(K766&lt;&gt;"",VLOOKUP(K766,'Catálogo SAP'!A:F,3,FALSE),"")</f>
        <v>S.VP-01470</v>
      </c>
      <c r="M766" s="162" t="str">
        <f>IF(K766&lt;&gt;"",VLOOKUP(K766,'Catálogo SAP'!A:F,4,FALSE),"")</f>
        <v>Hora Improdutiva Escavadeira Hidraulica</v>
      </c>
      <c r="N766" s="168" t="str">
        <f>IF(K766&lt;&gt;"",VLOOKUP(K766,'Catálogo SAP'!A:F,5,FALSE),"")</f>
        <v>H</v>
      </c>
      <c r="O766" s="160">
        <v>1</v>
      </c>
      <c r="P766" s="70">
        <f t="shared" si="254"/>
        <v>0</v>
      </c>
      <c r="Q766" s="163" t="e">
        <f t="shared" si="258"/>
        <v>#VALUE!</v>
      </c>
      <c r="R766" s="44" t="str">
        <f>IF(J766&lt;&gt;"",VLOOKUP(J766,'RESUMO DR'!$B$4:$E$253,4,FALSE),"-")</f>
        <v>T-01</v>
      </c>
      <c r="S766" s="58" t="str">
        <f>IF(J766&lt;&gt;"",VLOOKUP(J766,'RESUMO DR'!$B$4:$E$253,3,FALSE),"-")</f>
        <v>IMPERATRIZ</v>
      </c>
      <c r="T766" s="129"/>
      <c r="U766" s="129"/>
      <c r="V766" s="129"/>
      <c r="W766" s="128"/>
      <c r="X766" s="127"/>
      <c r="Y766" s="127"/>
      <c r="Z766" s="4"/>
    </row>
    <row r="767" spans="1:26" ht="18" customHeight="1">
      <c r="A767" s="5">
        <v>1860</v>
      </c>
      <c r="B767" s="21">
        <v>45670</v>
      </c>
      <c r="C767" s="21" t="s">
        <v>311</v>
      </c>
      <c r="D767" s="74" t="str">
        <f t="shared" si="259"/>
        <v>seg</v>
      </c>
      <c r="E767" s="169">
        <f>IF(K767&lt;&gt;"",VLOOKUP(K767,'Catálogo SAP'!$A$1:$F$245,2,FALSE),"-")</f>
        <v>120</v>
      </c>
      <c r="F767" s="225">
        <v>1216</v>
      </c>
      <c r="G767" s="225">
        <v>1225</v>
      </c>
      <c r="H767" s="226"/>
      <c r="I767" s="230">
        <v>216</v>
      </c>
      <c r="J767" s="162" t="str">
        <f t="shared" si="257"/>
        <v>AGUIARNÓPOLIS</v>
      </c>
      <c r="K767" s="16">
        <v>120</v>
      </c>
      <c r="L767" s="167" t="str">
        <f>IF(K767&lt;&gt;"",VLOOKUP(K767,'Catálogo SAP'!A:F,3,FALSE),"")</f>
        <v>S.VP-01437</v>
      </c>
      <c r="M767" s="162" t="str">
        <f>IF(K767&lt;&gt;"",VLOOKUP(K767,'Catálogo SAP'!A:F,4,FALSE),"")</f>
        <v>Hr Produtiva Retroescavadeira C/Operador</v>
      </c>
      <c r="N767" s="168" t="str">
        <f>IF(K767&lt;&gt;"",VLOOKUP(K767,'Catálogo SAP'!A:F,5,FALSE),"")</f>
        <v>H</v>
      </c>
      <c r="O767" s="160">
        <v>9</v>
      </c>
      <c r="P767" s="70">
        <f t="shared" si="254"/>
        <v>9</v>
      </c>
      <c r="Q767" s="163" t="e">
        <f t="shared" si="258"/>
        <v>#VALUE!</v>
      </c>
      <c r="R767" s="44" t="str">
        <f>IF(J767&lt;&gt;"",VLOOKUP(J767,'RESUMO DR'!$B$4:$E$253,4,FALSE),"-")</f>
        <v>T-02</v>
      </c>
      <c r="S767" s="58" t="str">
        <f>IF(J767&lt;&gt;"",VLOOKUP(J767,'RESUMO DR'!$B$4:$E$253,3,FALSE),"-")</f>
        <v>ARAGUAINA</v>
      </c>
      <c r="T767" s="129"/>
      <c r="U767" s="129"/>
      <c r="V767" s="129"/>
      <c r="W767" s="128"/>
      <c r="X767" s="127"/>
      <c r="Y767" s="127"/>
      <c r="Z767" s="4"/>
    </row>
    <row r="768" spans="1:26" ht="18" customHeight="1">
      <c r="A768" s="5"/>
      <c r="B768" s="21">
        <v>45670</v>
      </c>
      <c r="C768" s="21" t="s">
        <v>311</v>
      </c>
      <c r="D768" s="74" t="str">
        <f t="shared" si="259"/>
        <v>seg</v>
      </c>
      <c r="E768" s="169" t="str">
        <f>IF(K768&lt;&gt;"",VLOOKUP(K768,'Catálogo SAP'!$A$1:$F$245,2,FALSE),"-")</f>
        <v>-</v>
      </c>
      <c r="F768" s="225"/>
      <c r="G768" s="225"/>
      <c r="H768" s="226"/>
      <c r="I768" s="230"/>
      <c r="J768" s="162" t="str">
        <f t="shared" si="257"/>
        <v/>
      </c>
      <c r="K768" s="16"/>
      <c r="L768" s="167" t="str">
        <f>IF(K768&lt;&gt;"",VLOOKUP(K768,'Catálogo SAP'!A:F,3,FALSE),"")</f>
        <v/>
      </c>
      <c r="M768" s="162" t="str">
        <f>IF(K768&lt;&gt;"",VLOOKUP(K768,'Catálogo SAP'!A:F,4,FALSE),"")</f>
        <v/>
      </c>
      <c r="N768" s="168" t="str">
        <f>IF(K768&lt;&gt;"",VLOOKUP(K768,'Catálogo SAP'!A:F,5,FALSE),"")</f>
        <v/>
      </c>
      <c r="O768" s="160"/>
      <c r="P768" s="70" t="str">
        <f t="shared" si="254"/>
        <v>-</v>
      </c>
      <c r="Q768" s="163" t="str">
        <f t="shared" si="258"/>
        <v>-</v>
      </c>
      <c r="R768" s="44" t="str">
        <f>IF(J768&lt;&gt;"",VLOOKUP(J768,'RESUMO DR'!$B$4:$E$253,4,FALSE),"-")</f>
        <v>-</v>
      </c>
      <c r="S768" s="58" t="str">
        <f>IF(J768&lt;&gt;"",VLOOKUP(J768,'RESUMO DR'!$B$4:$E$253,3,FALSE),"-")</f>
        <v>-</v>
      </c>
      <c r="T768" s="129"/>
      <c r="U768" s="129"/>
      <c r="V768" s="129"/>
      <c r="W768" s="128"/>
      <c r="X768" s="127"/>
      <c r="Y768" s="127"/>
      <c r="Z768" s="4"/>
    </row>
    <row r="769" spans="1:27" ht="18" customHeight="1">
      <c r="A769" s="5">
        <v>1860</v>
      </c>
      <c r="B769" s="21">
        <v>45670</v>
      </c>
      <c r="C769" s="21" t="s">
        <v>305</v>
      </c>
      <c r="D769" s="74" t="str">
        <f t="shared" si="259"/>
        <v>seg</v>
      </c>
      <c r="E769" s="169">
        <f>IF(K769&lt;&gt;"",VLOOKUP(K769,'Catálogo SAP'!$A$1:$F$245,2,FALSE),"-")</f>
        <v>280</v>
      </c>
      <c r="F769" s="225">
        <v>256</v>
      </c>
      <c r="G769" s="225">
        <v>260</v>
      </c>
      <c r="H769" s="226"/>
      <c r="I769" s="230">
        <v>216</v>
      </c>
      <c r="J769" s="162" t="str">
        <f t="shared" si="257"/>
        <v>AGUIARNÓPOLIS</v>
      </c>
      <c r="K769" s="16">
        <v>280</v>
      </c>
      <c r="L769" s="167" t="str">
        <f>IF(K769&lt;&gt;"",VLOOKUP(K769,'Catálogo SAP'!A:F,3,FALSE),"")</f>
        <v>S.VP-01453</v>
      </c>
      <c r="M769" s="162" t="str">
        <f>IF(K769&lt;&gt;"",VLOOKUP(K769,'Catálogo SAP'!A:F,4,FALSE),"")</f>
        <v>Hora Produtiva Motoniveladora C/Operador</v>
      </c>
      <c r="N769" s="168" t="str">
        <f>IF(K769&lt;&gt;"",VLOOKUP(K769,'Catálogo SAP'!A:F,5,FALSE),"")</f>
        <v>H</v>
      </c>
      <c r="O769" s="160">
        <v>4</v>
      </c>
      <c r="P769" s="70">
        <f t="shared" si="254"/>
        <v>4</v>
      </c>
      <c r="Q769" s="163" t="e">
        <f t="shared" si="258"/>
        <v>#VALUE!</v>
      </c>
      <c r="R769" s="44" t="str">
        <f>IF(J769&lt;&gt;"",VLOOKUP(J769,'RESUMO DR'!$B$4:$E$253,4,FALSE),"-")</f>
        <v>T-02</v>
      </c>
      <c r="S769" s="58" t="str">
        <f>IF(J769&lt;&gt;"",VLOOKUP(J769,'RESUMO DR'!$B$4:$E$253,3,FALSE),"-")</f>
        <v>ARAGUAINA</v>
      </c>
      <c r="T769" s="129"/>
      <c r="U769" s="129"/>
      <c r="V769" s="129"/>
      <c r="W769" s="128"/>
      <c r="X769" s="127"/>
      <c r="Y769" s="127"/>
      <c r="Z769" s="4"/>
    </row>
    <row r="770" spans="1:27" ht="18" customHeight="1">
      <c r="A770" s="5">
        <v>1860</v>
      </c>
      <c r="B770" s="21">
        <v>45670</v>
      </c>
      <c r="C770" s="21" t="s">
        <v>305</v>
      </c>
      <c r="D770" s="74" t="str">
        <f t="shared" si="259"/>
        <v>seg</v>
      </c>
      <c r="E770" s="169">
        <f>IF(K770&lt;&gt;"",VLOOKUP(K770,'Catálogo SAP'!$A$1:$F$245,2,FALSE),"-")</f>
        <v>290</v>
      </c>
      <c r="F770" s="225">
        <v>260</v>
      </c>
      <c r="G770" s="225">
        <v>260</v>
      </c>
      <c r="H770" s="226"/>
      <c r="I770" s="230">
        <v>216</v>
      </c>
      <c r="J770" s="162" t="str">
        <f t="shared" si="257"/>
        <v>AGUIARNÓPOLIS</v>
      </c>
      <c r="K770" s="16">
        <v>290</v>
      </c>
      <c r="L770" s="167" t="str">
        <f>IF(K770&lt;&gt;"",VLOOKUP(K770,'Catálogo SAP'!A:F,3,FALSE),"")</f>
        <v>S.VP-01454</v>
      </c>
      <c r="M770" s="162" t="str">
        <f>IF(K770&lt;&gt;"",VLOOKUP(K770,'Catálogo SAP'!A:F,4,FALSE),"")</f>
        <v>Hora Improdutiva Motoniveladora C/Operador</v>
      </c>
      <c r="N770" s="168" t="str">
        <f>IF(K770&lt;&gt;"",VLOOKUP(K770,'Catálogo SAP'!A:F,5,FALSE),"")</f>
        <v>H</v>
      </c>
      <c r="O770" s="160">
        <v>5</v>
      </c>
      <c r="P770" s="70">
        <f t="shared" si="254"/>
        <v>0</v>
      </c>
      <c r="Q770" s="163" t="e">
        <f t="shared" si="258"/>
        <v>#VALUE!</v>
      </c>
      <c r="R770" s="44" t="str">
        <f>IF(J770&lt;&gt;"",VLOOKUP(J770,'RESUMO DR'!$B$4:$E$253,4,FALSE),"-")</f>
        <v>T-02</v>
      </c>
      <c r="S770" s="58" t="str">
        <f>IF(J770&lt;&gt;"",VLOOKUP(J770,'RESUMO DR'!$B$4:$E$253,3,FALSE),"-")</f>
        <v>ARAGUAINA</v>
      </c>
      <c r="T770" s="129"/>
      <c r="U770" s="129"/>
      <c r="V770" s="129"/>
      <c r="W770" s="128"/>
      <c r="X770" s="127"/>
      <c r="Y770" s="127"/>
      <c r="Z770" s="4"/>
    </row>
    <row r="771" spans="1:27" ht="18" customHeight="1">
      <c r="A771" s="5">
        <v>1864</v>
      </c>
      <c r="B771" s="21">
        <v>45670</v>
      </c>
      <c r="C771" s="21" t="s">
        <v>300</v>
      </c>
      <c r="D771" s="74" t="str">
        <f t="shared" si="259"/>
        <v>seg</v>
      </c>
      <c r="E771" s="169">
        <f>IF(K771&lt;&gt;"",VLOOKUP(K771,'Catálogo SAP'!$A$1:$F$245,2,FALSE),"-")</f>
        <v>160</v>
      </c>
      <c r="F771" s="16">
        <v>151</v>
      </c>
      <c r="G771" s="225">
        <v>153</v>
      </c>
      <c r="H771" s="22"/>
      <c r="I771" s="133">
        <v>563</v>
      </c>
      <c r="J771" s="162" t="str">
        <f t="shared" si="257"/>
        <v>Tupirama</v>
      </c>
      <c r="K771" s="16">
        <v>160</v>
      </c>
      <c r="L771" s="167" t="str">
        <f>IF(K771&lt;&gt;"",VLOOKUP(K771,'Catálogo SAP'!A:F,3,FALSE),"")</f>
        <v>S.VP-01441</v>
      </c>
      <c r="M771" s="162" t="str">
        <f>IF(K771&lt;&gt;"",VLOOKUP(K771,'Catálogo SAP'!A:F,4,FALSE),"")</f>
        <v>Hora Produtiva Pa Carregadeira C/Operador</v>
      </c>
      <c r="N771" s="168" t="str">
        <f>IF(K771&lt;&gt;"",VLOOKUP(K771,'Catálogo SAP'!A:F,5,FALSE),"")</f>
        <v>H</v>
      </c>
      <c r="O771" s="160">
        <v>2</v>
      </c>
      <c r="P771" s="70">
        <f t="shared" si="254"/>
        <v>2</v>
      </c>
      <c r="Q771" s="163" t="e">
        <f t="shared" si="258"/>
        <v>#VALUE!</v>
      </c>
      <c r="R771" s="44" t="str">
        <f>IF(J771&lt;&gt;"",VLOOKUP(J771,'RESUMO DR'!$B$4:$E$253,4,FALSE),"-")</f>
        <v>T-03</v>
      </c>
      <c r="S771" s="58" t="str">
        <f>IF(J771&lt;&gt;"",VLOOKUP(J771,'RESUMO DR'!$B$4:$E$253,3,FALSE),"-")</f>
        <v>PALMAS</v>
      </c>
      <c r="T771" s="129"/>
      <c r="U771" s="129"/>
      <c r="V771" s="129"/>
      <c r="W771" s="128"/>
      <c r="X771" s="127"/>
      <c r="Y771" s="127"/>
      <c r="Z771" s="4"/>
    </row>
    <row r="772" spans="1:27" ht="18" customHeight="1">
      <c r="A772" s="5">
        <v>1864</v>
      </c>
      <c r="B772" s="21">
        <v>45670</v>
      </c>
      <c r="C772" s="21" t="s">
        <v>300</v>
      </c>
      <c r="D772" s="74" t="str">
        <f t="shared" si="259"/>
        <v>seg</v>
      </c>
      <c r="E772" s="169">
        <f>IF(K772&lt;&gt;"",VLOOKUP(K772,'Catálogo SAP'!$A$1:$F$245,2,FALSE),"-")</f>
        <v>170</v>
      </c>
      <c r="F772" s="225">
        <v>153</v>
      </c>
      <c r="G772" s="225">
        <v>153</v>
      </c>
      <c r="H772" s="226"/>
      <c r="I772" s="230">
        <v>563</v>
      </c>
      <c r="J772" s="162" t="str">
        <f t="shared" si="257"/>
        <v>Tupirama</v>
      </c>
      <c r="K772" s="16">
        <v>170</v>
      </c>
      <c r="L772" s="167" t="str">
        <f>IF(K772&lt;&gt;"",VLOOKUP(K772,'Catálogo SAP'!A:F,3,FALSE),"")</f>
        <v>S.VP-01442</v>
      </c>
      <c r="M772" s="162" t="str">
        <f>IF(K772&lt;&gt;"",VLOOKUP(K772,'Catálogo SAP'!A:F,4,FALSE),"")</f>
        <v>Hora Improdutiva Pa Carregadeira C/Operador</v>
      </c>
      <c r="N772" s="168" t="str">
        <f>IF(K772&lt;&gt;"",VLOOKUP(K772,'Catálogo SAP'!A:F,5,FALSE),"")</f>
        <v>H</v>
      </c>
      <c r="O772" s="160">
        <v>7</v>
      </c>
      <c r="P772" s="70">
        <f t="shared" si="254"/>
        <v>0</v>
      </c>
      <c r="Q772" s="163" t="e">
        <f t="shared" si="258"/>
        <v>#VALUE!</v>
      </c>
      <c r="R772" s="44" t="str">
        <f>IF(J772&lt;&gt;"",VLOOKUP(J772,'RESUMO DR'!$B$4:$E$253,4,FALSE),"-")</f>
        <v>T-03</v>
      </c>
      <c r="S772" s="58" t="str">
        <f>IF(J772&lt;&gt;"",VLOOKUP(J772,'RESUMO DR'!$B$4:$E$253,3,FALSE),"-")</f>
        <v>PALMAS</v>
      </c>
      <c r="T772" s="129"/>
      <c r="U772" s="129"/>
      <c r="V772" s="129"/>
      <c r="W772" s="128"/>
      <c r="X772" s="127"/>
      <c r="Y772" s="127"/>
      <c r="Z772" s="4"/>
    </row>
    <row r="773" spans="1:27" ht="18" customHeight="1">
      <c r="A773" s="5">
        <v>1858</v>
      </c>
      <c r="B773" s="21">
        <v>45670</v>
      </c>
      <c r="C773" s="21" t="s">
        <v>134</v>
      </c>
      <c r="D773" s="74" t="str">
        <f t="shared" si="259"/>
        <v>seg</v>
      </c>
      <c r="E773" s="169">
        <f>IF(K773&lt;&gt;"",VLOOKUP(K773,'Catálogo SAP'!$A$1:$F$245,2,FALSE),"-")</f>
        <v>480</v>
      </c>
      <c r="F773" s="16">
        <v>3426</v>
      </c>
      <c r="G773" s="225">
        <v>3431</v>
      </c>
      <c r="H773" s="22"/>
      <c r="I773" s="133">
        <v>19</v>
      </c>
      <c r="J773" s="162" t="str">
        <f t="shared" si="257"/>
        <v>S.F. BREJÃO</v>
      </c>
      <c r="K773" s="16">
        <v>480</v>
      </c>
      <c r="L773" s="167" t="str">
        <f>IF(K773&lt;&gt;"",VLOOKUP(K773,'Catálogo SAP'!A:F,3,FALSE),"")</f>
        <v>S.VP-01465</v>
      </c>
      <c r="M773" s="162" t="str">
        <f>IF(K773&lt;&gt;"",VLOOKUP(K773,'Catálogo SAP'!A:F,4,FALSE),"")</f>
        <v>Hora Produtiva Miniescavadeira Hidraulica C/ Operador</v>
      </c>
      <c r="N773" s="168" t="str">
        <f>IF(K773&lt;&gt;"",VLOOKUP(K773,'Catálogo SAP'!A:F,5,FALSE),"")</f>
        <v>H</v>
      </c>
      <c r="O773" s="160">
        <v>5</v>
      </c>
      <c r="P773" s="70">
        <f t="shared" si="254"/>
        <v>5</v>
      </c>
      <c r="Q773" s="163" t="e">
        <f t="shared" si="258"/>
        <v>#VALUE!</v>
      </c>
      <c r="R773" s="44" t="str">
        <f>IF(J773&lt;&gt;"",VLOOKUP(J773,'RESUMO DR'!$B$4:$E$253,4,FALSE),"-")</f>
        <v>T-01</v>
      </c>
      <c r="S773" s="58" t="str">
        <f>IF(J773&lt;&gt;"",VLOOKUP(J773,'RESUMO DR'!$B$4:$E$253,3,FALSE),"-")</f>
        <v>IMPERATRIZ</v>
      </c>
      <c r="T773" s="129"/>
      <c r="U773" s="129"/>
      <c r="V773" s="129"/>
      <c r="W773" s="128"/>
      <c r="X773" s="127"/>
      <c r="Y773" s="127"/>
      <c r="Z773" s="4"/>
    </row>
    <row r="774" spans="1:27" ht="18" customHeight="1">
      <c r="A774" s="5">
        <v>1858</v>
      </c>
      <c r="B774" s="21">
        <v>45670</v>
      </c>
      <c r="C774" s="21" t="s">
        <v>134</v>
      </c>
      <c r="D774" s="74" t="str">
        <f t="shared" si="259"/>
        <v>seg</v>
      </c>
      <c r="E774" s="169">
        <f>IF(K774&lt;&gt;"",VLOOKUP(K774,'Catálogo SAP'!$A$1:$F$245,2,FALSE),"-")</f>
        <v>490</v>
      </c>
      <c r="F774" s="225">
        <v>3431</v>
      </c>
      <c r="G774" s="225">
        <v>3431</v>
      </c>
      <c r="H774" s="226"/>
      <c r="I774" s="230">
        <v>19</v>
      </c>
      <c r="J774" s="162" t="str">
        <f t="shared" si="257"/>
        <v>S.F. BREJÃO</v>
      </c>
      <c r="K774" s="16">
        <v>490</v>
      </c>
      <c r="L774" s="167" t="str">
        <f>IF(K774&lt;&gt;"",VLOOKUP(K774,'Catálogo SAP'!A:F,3,FALSE),"")</f>
        <v>S.VP-01466</v>
      </c>
      <c r="M774" s="162" t="str">
        <f>IF(K774&lt;&gt;"",VLOOKUP(K774,'Catálogo SAP'!A:F,4,FALSE),"")</f>
        <v>Hora Improdutiva Miniescavadeira Hidraulica C/ Operador</v>
      </c>
      <c r="N774" s="168" t="str">
        <f>IF(K774&lt;&gt;"",VLOOKUP(K774,'Catálogo SAP'!A:F,5,FALSE),"")</f>
        <v>H</v>
      </c>
      <c r="O774" s="160">
        <v>4</v>
      </c>
      <c r="P774" s="70">
        <f t="shared" ref="P774:P837" si="266">IF(G774="","-",G774-F774)</f>
        <v>0</v>
      </c>
      <c r="Q774" s="163" t="e">
        <f t="shared" si="258"/>
        <v>#VALUE!</v>
      </c>
      <c r="R774" s="44" t="str">
        <f>IF(J774&lt;&gt;"",VLOOKUP(J774,'RESUMO DR'!$B$4:$E$253,4,FALSE),"-")</f>
        <v>T-01</v>
      </c>
      <c r="S774" s="58" t="str">
        <f>IF(J774&lt;&gt;"",VLOOKUP(J774,'RESUMO DR'!$B$4:$E$253,3,FALSE),"-")</f>
        <v>IMPERATRIZ</v>
      </c>
      <c r="T774" s="129"/>
      <c r="U774" s="129"/>
      <c r="V774" s="129"/>
      <c r="W774" s="128"/>
      <c r="X774" s="127"/>
      <c r="Y774" s="127"/>
      <c r="Z774" s="4"/>
    </row>
    <row r="775" spans="1:27" ht="18" customHeight="1">
      <c r="A775" s="5">
        <v>1856</v>
      </c>
      <c r="B775" s="21">
        <v>45670</v>
      </c>
      <c r="C775" s="21" t="s">
        <v>315</v>
      </c>
      <c r="D775" s="74" t="str">
        <f t="shared" si="259"/>
        <v>seg</v>
      </c>
      <c r="E775" s="169">
        <f>IF(K775&lt;&gt;"",VLOOKUP(K775,'Catálogo SAP'!$A$1:$F$245,2,FALSE),"-")</f>
        <v>170</v>
      </c>
      <c r="F775" s="225">
        <v>1425</v>
      </c>
      <c r="G775" s="225">
        <v>1425</v>
      </c>
      <c r="H775" s="226"/>
      <c r="I775" s="230">
        <v>59</v>
      </c>
      <c r="J775" s="162" t="str">
        <f t="shared" si="257"/>
        <v>JOÃO LISBOA</v>
      </c>
      <c r="K775" s="16">
        <v>170</v>
      </c>
      <c r="L775" s="167" t="str">
        <f>IF(K775&lt;&gt;"",VLOOKUP(K775,'Catálogo SAP'!A:F,3,FALSE),"")</f>
        <v>S.VP-01442</v>
      </c>
      <c r="M775" s="162" t="str">
        <f>IF(K775&lt;&gt;"",VLOOKUP(K775,'Catálogo SAP'!A:F,4,FALSE),"")</f>
        <v>Hora Improdutiva Pa Carregadeira C/Operador</v>
      </c>
      <c r="N775" s="168" t="str">
        <f>IF(K775&lt;&gt;"",VLOOKUP(K775,'Catálogo SAP'!A:F,5,FALSE),"")</f>
        <v>H</v>
      </c>
      <c r="O775" s="160">
        <v>9</v>
      </c>
      <c r="P775" s="70">
        <f t="shared" si="266"/>
        <v>0</v>
      </c>
      <c r="Q775" s="163" t="e">
        <f t="shared" si="258"/>
        <v>#VALUE!</v>
      </c>
      <c r="R775" s="44" t="str">
        <f>IF(J775&lt;&gt;"",VLOOKUP(J775,'RESUMO DR'!$B$4:$E$253,4,FALSE),"-")</f>
        <v>T-01</v>
      </c>
      <c r="S775" s="58" t="str">
        <f>IF(J775&lt;&gt;"",VLOOKUP(J775,'RESUMO DR'!$B$4:$E$253,3,FALSE),"-")</f>
        <v>IMPERATRIZ</v>
      </c>
      <c r="T775" s="129"/>
      <c r="U775" s="129"/>
      <c r="V775" s="129"/>
      <c r="W775" s="128"/>
      <c r="X775" s="127"/>
      <c r="Y775" s="127"/>
      <c r="Z775" s="4"/>
    </row>
    <row r="776" spans="1:27" ht="18" customHeight="1">
      <c r="A776" s="5">
        <v>1859</v>
      </c>
      <c r="B776" s="21">
        <v>45670</v>
      </c>
      <c r="C776" s="21" t="s">
        <v>306</v>
      </c>
      <c r="D776" s="74" t="str">
        <f t="shared" si="259"/>
        <v>seg</v>
      </c>
      <c r="E776" s="169">
        <f>IF(K776&lt;&gt;"",VLOOKUP(K776,'Catálogo SAP'!$A$1:$F$245,2,FALSE),"-")</f>
        <v>280</v>
      </c>
      <c r="F776" s="16">
        <v>346</v>
      </c>
      <c r="G776" s="16">
        <v>355</v>
      </c>
      <c r="H776" s="22"/>
      <c r="I776" s="133">
        <v>438</v>
      </c>
      <c r="J776" s="162" t="str">
        <f t="shared" si="257"/>
        <v>Palmeirante</v>
      </c>
      <c r="K776" s="16">
        <v>280</v>
      </c>
      <c r="L776" s="167" t="str">
        <f>IF(K776&lt;&gt;"",VLOOKUP(K776,'Catálogo SAP'!A:F,3,FALSE),"")</f>
        <v>S.VP-01453</v>
      </c>
      <c r="M776" s="162" t="str">
        <f>IF(K776&lt;&gt;"",VLOOKUP(K776,'Catálogo SAP'!A:F,4,FALSE),"")</f>
        <v>Hora Produtiva Motoniveladora C/Operador</v>
      </c>
      <c r="N776" s="168" t="str">
        <f>IF(K776&lt;&gt;"",VLOOKUP(K776,'Catálogo SAP'!A:F,5,FALSE),"")</f>
        <v>H</v>
      </c>
      <c r="O776" s="160">
        <v>9</v>
      </c>
      <c r="P776" s="70">
        <f t="shared" si="266"/>
        <v>9</v>
      </c>
      <c r="Q776" s="163" t="e">
        <f t="shared" si="258"/>
        <v>#VALUE!</v>
      </c>
      <c r="R776" s="44" t="str">
        <f>IF(J776&lt;&gt;"",VLOOKUP(J776,'RESUMO DR'!$B$4:$E$253,4,FALSE),"-")</f>
        <v>T-02</v>
      </c>
      <c r="S776" s="58" t="str">
        <f>IF(J776&lt;&gt;"",VLOOKUP(J776,'RESUMO DR'!$B$4:$E$253,3,FALSE),"-")</f>
        <v>ARAGUAINA</v>
      </c>
      <c r="T776" s="129"/>
      <c r="U776" s="129"/>
      <c r="V776" s="129"/>
      <c r="W776" s="128"/>
      <c r="X776" s="127"/>
      <c r="Y776" s="127"/>
      <c r="Z776" s="4"/>
    </row>
    <row r="777" spans="1:27" ht="18" customHeight="1">
      <c r="A777" s="5"/>
      <c r="B777" s="21">
        <v>45670</v>
      </c>
      <c r="C777" s="21" t="s">
        <v>306</v>
      </c>
      <c r="D777" s="74" t="str">
        <f t="shared" si="259"/>
        <v>seg</v>
      </c>
      <c r="E777" s="169" t="str">
        <f>IF(K777&lt;&gt;"",VLOOKUP(K777,'Catálogo SAP'!$A$1:$F$245,2,FALSE),"-")</f>
        <v>-</v>
      </c>
      <c r="F777" s="225"/>
      <c r="G777" s="225"/>
      <c r="H777" s="226"/>
      <c r="I777" s="230"/>
      <c r="J777" s="162" t="str">
        <f t="shared" si="257"/>
        <v/>
      </c>
      <c r="K777" s="16"/>
      <c r="L777" s="167" t="str">
        <f>IF(K777&lt;&gt;"",VLOOKUP(K777,'Catálogo SAP'!A:F,3,FALSE),"")</f>
        <v/>
      </c>
      <c r="M777" s="162" t="str">
        <f>IF(K777&lt;&gt;"",VLOOKUP(K777,'Catálogo SAP'!A:F,4,FALSE),"")</f>
        <v/>
      </c>
      <c r="N777" s="168" t="str">
        <f>IF(K777&lt;&gt;"",VLOOKUP(K777,'Catálogo SAP'!A:F,5,FALSE),"")</f>
        <v/>
      </c>
      <c r="O777" s="160"/>
      <c r="P777" s="70" t="str">
        <f t="shared" si="266"/>
        <v>-</v>
      </c>
      <c r="Q777" s="163" t="str">
        <f t="shared" si="258"/>
        <v>-</v>
      </c>
      <c r="R777" s="44" t="str">
        <f>IF(J777&lt;&gt;"",VLOOKUP(J777,'RESUMO DR'!$B$4:$E$253,4,FALSE),"-")</f>
        <v>-</v>
      </c>
      <c r="S777" s="58" t="str">
        <f>IF(J777&lt;&gt;"",VLOOKUP(J777,'RESUMO DR'!$B$4:$E$253,3,FALSE),"-")</f>
        <v>-</v>
      </c>
      <c r="T777" s="129"/>
      <c r="U777" s="129"/>
      <c r="V777" s="129"/>
      <c r="W777" s="128"/>
      <c r="X777" s="127"/>
      <c r="Y777" s="127"/>
      <c r="Z777" s="4"/>
    </row>
    <row r="778" spans="1:27" ht="18" customHeight="1">
      <c r="A778" s="5">
        <v>1865</v>
      </c>
      <c r="B778" s="21">
        <v>45670</v>
      </c>
      <c r="C778" s="21" t="s">
        <v>310</v>
      </c>
      <c r="D778" s="74" t="str">
        <f t="shared" si="259"/>
        <v>seg</v>
      </c>
      <c r="E778" s="169">
        <f>IF(K778&lt;&gt;"",VLOOKUP(K778,'Catálogo SAP'!$A$1:$F$245,2,FALSE),"-")</f>
        <v>120</v>
      </c>
      <c r="F778" s="16">
        <v>169</v>
      </c>
      <c r="G778" s="225">
        <v>172</v>
      </c>
      <c r="H778" s="22"/>
      <c r="I778" s="133">
        <v>475</v>
      </c>
      <c r="J778" s="162" t="str">
        <f t="shared" si="257"/>
        <v>Tupiratins</v>
      </c>
      <c r="K778" s="16">
        <v>120</v>
      </c>
      <c r="L778" s="167" t="str">
        <f>IF(K778&lt;&gt;"",VLOOKUP(K778,'Catálogo SAP'!A:F,3,FALSE),"")</f>
        <v>S.VP-01437</v>
      </c>
      <c r="M778" s="162" t="str">
        <f>IF(K778&lt;&gt;"",VLOOKUP(K778,'Catálogo SAP'!A:F,4,FALSE),"")</f>
        <v>Hr Produtiva Retroescavadeira C/Operador</v>
      </c>
      <c r="N778" s="168" t="str">
        <f>IF(K778&lt;&gt;"",VLOOKUP(K778,'Catálogo SAP'!A:F,5,FALSE),"")</f>
        <v>H</v>
      </c>
      <c r="O778" s="160">
        <v>3</v>
      </c>
      <c r="P778" s="70">
        <f t="shared" si="266"/>
        <v>3</v>
      </c>
      <c r="Q778" s="163" t="e">
        <f t="shared" si="258"/>
        <v>#VALUE!</v>
      </c>
      <c r="R778" s="44" t="str">
        <f>IF(J778&lt;&gt;"",VLOOKUP(J778,'RESUMO DR'!$B$4:$E$253,4,FALSE),"-")</f>
        <v>T-03</v>
      </c>
      <c r="S778" s="58" t="str">
        <f>IF(J778&lt;&gt;"",VLOOKUP(J778,'RESUMO DR'!$B$4:$E$253,3,FALSE),"-")</f>
        <v>PALMAS</v>
      </c>
      <c r="T778" s="129"/>
      <c r="U778" s="129"/>
      <c r="V778" s="129"/>
      <c r="W778" s="128"/>
      <c r="X778" s="127"/>
      <c r="Y778" s="127"/>
      <c r="Z778" s="4"/>
    </row>
    <row r="779" spans="1:27" ht="18" customHeight="1">
      <c r="A779" s="5">
        <v>1865</v>
      </c>
      <c r="B779" s="21">
        <v>45670</v>
      </c>
      <c r="C779" s="21" t="s">
        <v>310</v>
      </c>
      <c r="D779" s="74" t="str">
        <f t="shared" si="259"/>
        <v>seg</v>
      </c>
      <c r="E779" s="169">
        <f>IF(K779&lt;&gt;"",VLOOKUP(K779,'Catálogo SAP'!$A$1:$F$245,2,FALSE),"-")</f>
        <v>130</v>
      </c>
      <c r="F779" s="225">
        <v>172</v>
      </c>
      <c r="G779" s="225">
        <v>172</v>
      </c>
      <c r="H779" s="226"/>
      <c r="I779" s="230">
        <v>475</v>
      </c>
      <c r="J779" s="162" t="str">
        <f t="shared" si="257"/>
        <v>Tupiratins</v>
      </c>
      <c r="K779" s="16">
        <v>130</v>
      </c>
      <c r="L779" s="167" t="str">
        <f>IF(K779&lt;&gt;"",VLOOKUP(K779,'Catálogo SAP'!A:F,3,FALSE),"")</f>
        <v>S.VP-01438</v>
      </c>
      <c r="M779" s="162" t="str">
        <f>IF(K779&lt;&gt;"",VLOOKUP(K779,'Catálogo SAP'!A:F,4,FALSE),"")</f>
        <v>Hr Improdutiva Retroescavadeira C/Operador</v>
      </c>
      <c r="N779" s="168" t="str">
        <f>IF(K779&lt;&gt;"",VLOOKUP(K779,'Catálogo SAP'!A:F,5,FALSE),"")</f>
        <v>H</v>
      </c>
      <c r="O779" s="160">
        <v>6</v>
      </c>
      <c r="P779" s="70">
        <f t="shared" si="266"/>
        <v>0</v>
      </c>
      <c r="Q779" s="163" t="e">
        <f t="shared" si="258"/>
        <v>#VALUE!</v>
      </c>
      <c r="R779" s="44" t="str">
        <f>IF(J779&lt;&gt;"",VLOOKUP(J779,'RESUMO DR'!$B$4:$E$253,4,FALSE),"-")</f>
        <v>T-03</v>
      </c>
      <c r="S779" s="58" t="str">
        <f>IF(J779&lt;&gt;"",VLOOKUP(J779,'RESUMO DR'!$B$4:$E$253,3,FALSE),"-")</f>
        <v>PALMAS</v>
      </c>
      <c r="T779" s="129"/>
      <c r="U779" s="129"/>
      <c r="V779" s="129"/>
      <c r="W779" s="128"/>
      <c r="X779" s="127"/>
      <c r="Y779" s="127"/>
      <c r="Z779" s="4"/>
    </row>
    <row r="780" spans="1:27" ht="18" customHeight="1">
      <c r="A780" s="5"/>
      <c r="B780" s="21">
        <v>45670</v>
      </c>
      <c r="C780" s="21" t="s">
        <v>123</v>
      </c>
      <c r="D780" s="74" t="str">
        <f t="shared" si="259"/>
        <v>seg</v>
      </c>
      <c r="E780" s="169" t="str">
        <f>IF(K780&lt;&gt;"",VLOOKUP(K780,'Catálogo SAP'!$A$1:$F$245,2,FALSE),"-")</f>
        <v>-</v>
      </c>
      <c r="F780" s="16"/>
      <c r="G780" s="16"/>
      <c r="H780" s="22"/>
      <c r="I780" s="133"/>
      <c r="J780" s="162" t="str">
        <f t="shared" si="257"/>
        <v/>
      </c>
      <c r="K780" s="16"/>
      <c r="L780" s="167" t="str">
        <f>IF(K780&lt;&gt;"",VLOOKUP(K780,'Catálogo SAP'!A:F,3,FALSE),"")</f>
        <v/>
      </c>
      <c r="M780" s="162" t="str">
        <f>IF(K780&lt;&gt;"",VLOOKUP(K780,'Catálogo SAP'!A:F,4,FALSE),"")</f>
        <v/>
      </c>
      <c r="N780" s="168" t="str">
        <f>IF(K780&lt;&gt;"",VLOOKUP(K780,'Catálogo SAP'!A:F,5,FALSE),"")</f>
        <v/>
      </c>
      <c r="O780" s="160"/>
      <c r="P780" s="70" t="str">
        <f t="shared" si="266"/>
        <v>-</v>
      </c>
      <c r="Q780" s="163" t="str">
        <f t="shared" si="258"/>
        <v>-</v>
      </c>
      <c r="R780" s="44" t="str">
        <f>IF(J780&lt;&gt;"",VLOOKUP(J780,'RESUMO DR'!$B$4:$E$253,4,FALSE),"-")</f>
        <v>-</v>
      </c>
      <c r="S780" s="58" t="str">
        <f>IF(J780&lt;&gt;"",VLOOKUP(J780,'RESUMO DR'!$B$4:$E$253,3,FALSE),"-")</f>
        <v>-</v>
      </c>
      <c r="T780" s="129"/>
      <c r="U780" s="129"/>
      <c r="V780" s="129"/>
      <c r="W780" s="128"/>
      <c r="X780" s="127"/>
      <c r="Y780" s="127"/>
      <c r="Z780" s="4"/>
    </row>
    <row r="781" spans="1:27" ht="18" customHeight="1">
      <c r="A781" s="5">
        <v>1854</v>
      </c>
      <c r="B781" s="21">
        <v>45670</v>
      </c>
      <c r="C781" s="21" t="s">
        <v>314</v>
      </c>
      <c r="D781" s="74" t="str">
        <f t="shared" si="259"/>
        <v>seg</v>
      </c>
      <c r="E781" s="169">
        <f>IF(K781&lt;&gt;"",VLOOKUP(K781,'Catálogo SAP'!$A$1:$F$245,2,FALSE),"-")</f>
        <v>200</v>
      </c>
      <c r="F781" s="16">
        <v>67750</v>
      </c>
      <c r="G781" s="16">
        <v>67981</v>
      </c>
      <c r="H781" s="22"/>
      <c r="I781" s="133">
        <v>187</v>
      </c>
      <c r="J781" s="162" t="str">
        <f t="shared" si="257"/>
        <v>PORTO FRANCO</v>
      </c>
      <c r="K781" s="16">
        <v>200</v>
      </c>
      <c r="L781" s="167" t="str">
        <f>IF(K781&lt;&gt;"",VLOOKUP(K781,'Catálogo SAP'!A:F,3,FALSE),"")</f>
        <v>S.VP-01445</v>
      </c>
      <c r="M781" s="162" t="str">
        <f>IF(K781&lt;&gt;"",VLOOKUP(K781,'Catálogo SAP'!A:F,4,FALSE),"")</f>
        <v>Km Rodado Caminhão Basculante - C/Motorista</v>
      </c>
      <c r="N781" s="168" t="str">
        <f>IF(K781&lt;&gt;"",VLOOKUP(K781,'Catálogo SAP'!A:F,5,FALSE),"")</f>
        <v>KM</v>
      </c>
      <c r="O781" s="160">
        <v>231</v>
      </c>
      <c r="P781" s="70">
        <f t="shared" si="266"/>
        <v>231</v>
      </c>
      <c r="Q781" s="163" t="e">
        <f t="shared" si="258"/>
        <v>#VALUE!</v>
      </c>
      <c r="R781" s="44" t="str">
        <f>IF(J781&lt;&gt;"",VLOOKUP(J781,'RESUMO DR'!$B$4:$E$253,4,FALSE),"-")</f>
        <v>T-01</v>
      </c>
      <c r="S781" s="58" t="str">
        <f>IF(J781&lt;&gt;"",VLOOKUP(J781,'RESUMO DR'!$B$4:$E$253,3,FALSE),"-")</f>
        <v>IMPERATRIZ</v>
      </c>
      <c r="T781" s="129"/>
      <c r="U781" s="129"/>
      <c r="V781" s="129"/>
      <c r="W781" s="128"/>
      <c r="X781" s="127"/>
      <c r="Y781" s="127"/>
      <c r="Z781" s="4"/>
      <c r="AA781" s="207">
        <f>1-7</f>
        <v>-6</v>
      </c>
    </row>
    <row r="782" spans="1:27" ht="18" customHeight="1">
      <c r="A782" s="5"/>
      <c r="B782" s="21">
        <v>45670</v>
      </c>
      <c r="C782" s="21" t="s">
        <v>151</v>
      </c>
      <c r="D782" s="74" t="str">
        <f t="shared" si="259"/>
        <v>seg</v>
      </c>
      <c r="E782" s="169" t="str">
        <f>IF(K782&lt;&gt;"",VLOOKUP(K782,'Catálogo SAP'!$A$1:$F$245,2,FALSE),"-")</f>
        <v>-</v>
      </c>
      <c r="F782" s="16"/>
      <c r="G782" s="16"/>
      <c r="H782" s="22"/>
      <c r="I782" s="133"/>
      <c r="J782" s="162" t="str">
        <f t="shared" si="257"/>
        <v/>
      </c>
      <c r="K782" s="16"/>
      <c r="L782" s="167" t="str">
        <f>IF(K782&lt;&gt;"",VLOOKUP(K782,'Catálogo SAP'!A:F,3,FALSE),"")</f>
        <v/>
      </c>
      <c r="M782" s="162" t="str">
        <f>IF(K782&lt;&gt;"",VLOOKUP(K782,'Catálogo SAP'!A:F,4,FALSE),"")</f>
        <v/>
      </c>
      <c r="N782" s="168" t="str">
        <f>IF(K782&lt;&gt;"",VLOOKUP(K782,'Catálogo SAP'!A:F,5,FALSE),"")</f>
        <v/>
      </c>
      <c r="O782" s="160"/>
      <c r="P782" s="70" t="str">
        <f t="shared" si="266"/>
        <v>-</v>
      </c>
      <c r="Q782" s="163" t="str">
        <f t="shared" si="258"/>
        <v>-</v>
      </c>
      <c r="R782" s="44" t="str">
        <f>IF(J782&lt;&gt;"",VLOOKUP(J782,'RESUMO DR'!$B$4:$E$253,4,FALSE),"-")</f>
        <v>-</v>
      </c>
      <c r="S782" s="58" t="str">
        <f>IF(J782&lt;&gt;"",VLOOKUP(J782,'RESUMO DR'!$B$4:$E$253,3,FALSE),"-")</f>
        <v>-</v>
      </c>
      <c r="T782" s="129"/>
      <c r="U782" s="129"/>
      <c r="V782" s="129"/>
      <c r="W782" s="128"/>
      <c r="X782" s="127"/>
      <c r="Y782" s="127"/>
      <c r="Z782" s="4"/>
    </row>
    <row r="783" spans="1:27" ht="13.8">
      <c r="A783" s="5"/>
      <c r="B783" s="21">
        <v>45670</v>
      </c>
      <c r="C783" s="21" t="s">
        <v>152</v>
      </c>
      <c r="D783" s="74" t="str">
        <f t="shared" si="259"/>
        <v>seg</v>
      </c>
      <c r="E783" s="169" t="str">
        <f>IF(K783&lt;&gt;"",VLOOKUP(K783,'Catálogo SAP'!$A$1:$F$245,2,FALSE),"-")</f>
        <v>-</v>
      </c>
      <c r="F783" s="16"/>
      <c r="G783" s="16"/>
      <c r="H783" s="22"/>
      <c r="I783" s="133"/>
      <c r="J783" s="162" t="str">
        <f t="shared" si="257"/>
        <v/>
      </c>
      <c r="K783" s="16"/>
      <c r="L783" s="167" t="str">
        <f>IF(K783&lt;&gt;"",VLOOKUP(K783,'Catálogo SAP'!A:F,3,FALSE),"")</f>
        <v/>
      </c>
      <c r="M783" s="162" t="str">
        <f>IF(K783&lt;&gt;"",VLOOKUP(K783,'Catálogo SAP'!A:F,4,FALSE),"")</f>
        <v/>
      </c>
      <c r="N783" s="168" t="str">
        <f>IF(K783&lt;&gt;"",VLOOKUP(K783,'Catálogo SAP'!A:F,5,FALSE),"")</f>
        <v/>
      </c>
      <c r="O783" s="160"/>
      <c r="P783" s="70" t="str">
        <f t="shared" si="266"/>
        <v>-</v>
      </c>
      <c r="Q783" s="163" t="str">
        <f t="shared" si="258"/>
        <v>-</v>
      </c>
      <c r="R783" s="44" t="str">
        <f>IF(J783&lt;&gt;"",VLOOKUP(J783,'RESUMO DR'!$B$4:$E$253,4,FALSE),"-")</f>
        <v>-</v>
      </c>
      <c r="S783" s="58" t="str">
        <f>IF(J783&lt;&gt;"",VLOOKUP(J783,'RESUMO DR'!$B$4:$E$253,3,FALSE),"-")</f>
        <v>-</v>
      </c>
      <c r="T783" s="129"/>
      <c r="U783" s="129"/>
      <c r="V783" s="129"/>
      <c r="W783" s="128"/>
      <c r="X783" s="127"/>
      <c r="Y783" s="127"/>
      <c r="Z783" s="4"/>
    </row>
    <row r="784" spans="1:27" ht="13.8">
      <c r="A784" s="5"/>
      <c r="B784" s="21">
        <v>45670</v>
      </c>
      <c r="C784" s="21" t="s">
        <v>152</v>
      </c>
      <c r="D784" s="74" t="str">
        <f t="shared" si="259"/>
        <v>seg</v>
      </c>
      <c r="E784" s="169" t="str">
        <f>IF(K784&lt;&gt;"",VLOOKUP(K784,'Catálogo SAP'!$A$1:$F$245,2,FALSE),"-")</f>
        <v>-</v>
      </c>
      <c r="F784" s="225"/>
      <c r="G784" s="225"/>
      <c r="H784" s="226"/>
      <c r="I784" s="230"/>
      <c r="J784" s="162" t="str">
        <f t="shared" si="257"/>
        <v/>
      </c>
      <c r="K784" s="16"/>
      <c r="L784" s="167" t="str">
        <f>IF(K784&lt;&gt;"",VLOOKUP(K784,'Catálogo SAP'!A:F,3,FALSE),"")</f>
        <v/>
      </c>
      <c r="M784" s="162" t="str">
        <f>IF(K784&lt;&gt;"",VLOOKUP(K784,'Catálogo SAP'!A:F,4,FALSE),"")</f>
        <v/>
      </c>
      <c r="N784" s="168" t="str">
        <f>IF(K784&lt;&gt;"",VLOOKUP(K784,'Catálogo SAP'!A:F,5,FALSE),"")</f>
        <v/>
      </c>
      <c r="O784" s="160"/>
      <c r="P784" s="70" t="str">
        <f t="shared" si="266"/>
        <v>-</v>
      </c>
      <c r="Q784" s="163" t="str">
        <f t="shared" si="258"/>
        <v>-</v>
      </c>
      <c r="R784" s="44" t="str">
        <f>IF(J784&lt;&gt;"",VLOOKUP(J784,'RESUMO DR'!$B$4:$E$253,4,FALSE),"-")</f>
        <v>-</v>
      </c>
      <c r="S784" s="58" t="str">
        <f>IF(J784&lt;&gt;"",VLOOKUP(J784,'RESUMO DR'!$B$4:$E$253,3,FALSE),"-")</f>
        <v>-</v>
      </c>
      <c r="T784" s="129"/>
      <c r="U784" s="129"/>
      <c r="V784" s="129"/>
      <c r="W784" s="128"/>
      <c r="X784" s="127"/>
      <c r="Y784" s="127"/>
      <c r="Z784" s="4"/>
    </row>
    <row r="785" spans="1:27" ht="13.8">
      <c r="A785" s="5"/>
      <c r="B785" s="21"/>
      <c r="C785" s="21"/>
      <c r="D785" s="74" t="str">
        <f t="shared" si="259"/>
        <v>-</v>
      </c>
      <c r="E785" s="169" t="str">
        <f>IF(K785&lt;&gt;"",VLOOKUP(K785,'Catálogo SAP'!$A$1:$F$245,2,FALSE),"-")</f>
        <v>-</v>
      </c>
      <c r="F785" s="16"/>
      <c r="G785" s="16"/>
      <c r="H785" s="22"/>
      <c r="I785" s="133"/>
      <c r="J785" s="162" t="str">
        <f t="shared" si="257"/>
        <v/>
      </c>
      <c r="K785" s="16"/>
      <c r="L785" s="167" t="str">
        <f>IF(K785&lt;&gt;"",VLOOKUP(K785,'Catálogo SAP'!A:F,3,FALSE),"")</f>
        <v/>
      </c>
      <c r="M785" s="162" t="str">
        <f>IF(K785&lt;&gt;"",VLOOKUP(K785,'Catálogo SAP'!A:F,4,FALSE),"")</f>
        <v/>
      </c>
      <c r="N785" s="168" t="str">
        <f>IF(K785&lt;&gt;"",VLOOKUP(K785,'Catálogo SAP'!A:F,5,FALSE),"")</f>
        <v/>
      </c>
      <c r="O785" s="160"/>
      <c r="P785" s="70" t="str">
        <f t="shared" si="266"/>
        <v>-</v>
      </c>
      <c r="Q785" s="163" t="str">
        <f t="shared" si="258"/>
        <v>-</v>
      </c>
      <c r="R785" s="44" t="str">
        <f>IF(J785&lt;&gt;"",VLOOKUP(J785,'RESUMO DR'!$B$4:$E$253,4,FALSE),"-")</f>
        <v>-</v>
      </c>
      <c r="S785" s="58" t="str">
        <f>IF(J785&lt;&gt;"",VLOOKUP(J785,'RESUMO DR'!$B$4:$E$253,3,FALSE),"-")</f>
        <v>-</v>
      </c>
      <c r="T785" s="129"/>
      <c r="U785" s="129"/>
      <c r="V785" s="129"/>
      <c r="W785" s="128"/>
      <c r="X785" s="127"/>
      <c r="Y785" s="127"/>
      <c r="Z785" s="4"/>
    </row>
    <row r="786" spans="1:27" ht="13.8">
      <c r="A786" s="5"/>
      <c r="B786" s="21"/>
      <c r="C786" s="21"/>
      <c r="D786" s="74" t="str">
        <f t="shared" si="259"/>
        <v>-</v>
      </c>
      <c r="E786" s="169" t="str">
        <f>IF(K786&lt;&gt;"",VLOOKUP(K786,'Catálogo SAP'!$A$1:$F$245,2,FALSE),"-")</f>
        <v>-</v>
      </c>
      <c r="F786" s="16"/>
      <c r="G786" s="16"/>
      <c r="H786" s="22"/>
      <c r="I786" s="133"/>
      <c r="J786" s="162" t="str">
        <f t="shared" si="257"/>
        <v/>
      </c>
      <c r="K786" s="16"/>
      <c r="L786" s="167" t="str">
        <f>IF(K786&lt;&gt;"",VLOOKUP(K786,'Catálogo SAP'!A:F,3,FALSE),"")</f>
        <v/>
      </c>
      <c r="M786" s="162" t="str">
        <f>IF(K786&lt;&gt;"",VLOOKUP(K786,'Catálogo SAP'!A:F,4,FALSE),"")</f>
        <v/>
      </c>
      <c r="N786" s="168" t="str">
        <f>IF(K786&lt;&gt;"",VLOOKUP(K786,'Catálogo SAP'!A:F,5,FALSE),"")</f>
        <v/>
      </c>
      <c r="O786" s="160"/>
      <c r="P786" s="70" t="str">
        <f t="shared" si="266"/>
        <v>-</v>
      </c>
      <c r="Q786" s="163" t="str">
        <f t="shared" si="258"/>
        <v>-</v>
      </c>
      <c r="R786" s="44" t="str">
        <f>IF(J786&lt;&gt;"",VLOOKUP(J786,'RESUMO DR'!$B$4:$E$253,4,FALSE),"-")</f>
        <v>-</v>
      </c>
      <c r="S786" s="58" t="str">
        <f>IF(J786&lt;&gt;"",VLOOKUP(J786,'RESUMO DR'!$B$4:$E$253,3,FALSE),"-")</f>
        <v>-</v>
      </c>
      <c r="T786" s="129"/>
      <c r="U786" s="129"/>
      <c r="V786" s="129"/>
      <c r="W786" s="128"/>
      <c r="X786" s="127"/>
      <c r="Y786" s="127"/>
      <c r="Z786" s="4"/>
    </row>
    <row r="787" spans="1:27" ht="13.8">
      <c r="A787" s="5">
        <v>1575</v>
      </c>
      <c r="B787" s="21">
        <v>45671</v>
      </c>
      <c r="C787" s="21" t="s">
        <v>121</v>
      </c>
      <c r="D787" s="74" t="str">
        <f t="shared" si="259"/>
        <v>ter</v>
      </c>
      <c r="E787" s="169">
        <f>IF(K787&lt;&gt;"",VLOOKUP(K787,'Catálogo SAP'!$A$1:$F$245,2,FALSE),"-")</f>
        <v>120</v>
      </c>
      <c r="F787" s="16">
        <v>8756</v>
      </c>
      <c r="G787" s="225">
        <v>8760</v>
      </c>
      <c r="H787" s="22"/>
      <c r="I787" s="133">
        <v>300</v>
      </c>
      <c r="J787" s="162" t="str">
        <f t="shared" si="257"/>
        <v>SAO LUIS</v>
      </c>
      <c r="K787" s="16">
        <v>120</v>
      </c>
      <c r="L787" s="167" t="str">
        <f>IF(K787&lt;&gt;"",VLOOKUP(K787,'Catálogo SAP'!A:F,3,FALSE),"")</f>
        <v>S.VP-01437</v>
      </c>
      <c r="M787" s="162" t="str">
        <f>IF(K787&lt;&gt;"",VLOOKUP(K787,'Catálogo SAP'!A:F,4,FALSE),"")</f>
        <v>Hr Produtiva Retroescavadeira C/Operador</v>
      </c>
      <c r="N787" s="168" t="str">
        <f>IF(K787&lt;&gt;"",VLOOKUP(K787,'Catálogo SAP'!A:F,5,FALSE),"")</f>
        <v>H</v>
      </c>
      <c r="O787" s="160">
        <v>4</v>
      </c>
      <c r="P787" s="70">
        <f t="shared" si="266"/>
        <v>4</v>
      </c>
      <c r="Q787" s="163" t="e">
        <f t="shared" si="258"/>
        <v>#VALUE!</v>
      </c>
      <c r="R787" s="44" t="str">
        <f>IF(J787&lt;&gt;"",VLOOKUP(J787,'RESUMO DR'!$B$4:$E$253,4,FALSE),"-")</f>
        <v>T-02</v>
      </c>
      <c r="S787" s="58" t="str">
        <f>IF(J787&lt;&gt;"",VLOOKUP(J787,'RESUMO DR'!$B$4:$E$253,3,FALSE),"-")</f>
        <v>ARAGUAINA</v>
      </c>
      <c r="T787" s="129"/>
      <c r="U787" s="129"/>
      <c r="V787" s="129"/>
      <c r="W787" s="128"/>
      <c r="X787" s="127"/>
      <c r="Y787" s="127"/>
      <c r="Z787" s="4"/>
    </row>
    <row r="788" spans="1:27" ht="18" customHeight="1">
      <c r="A788" s="5">
        <v>1575</v>
      </c>
      <c r="B788" s="21">
        <v>45671</v>
      </c>
      <c r="C788" s="21" t="s">
        <v>121</v>
      </c>
      <c r="D788" s="74" t="str">
        <f t="shared" si="259"/>
        <v>ter</v>
      </c>
      <c r="E788" s="169">
        <f>IF(K788&lt;&gt;"",VLOOKUP(K788,'Catálogo SAP'!$A$1:$F$245,2,FALSE),"-")</f>
        <v>130</v>
      </c>
      <c r="F788" s="225">
        <v>8760</v>
      </c>
      <c r="G788" s="225">
        <v>8760</v>
      </c>
      <c r="H788" s="226"/>
      <c r="I788" s="230">
        <v>300</v>
      </c>
      <c r="J788" s="162" t="str">
        <f t="shared" si="257"/>
        <v>SAO LUIS</v>
      </c>
      <c r="K788" s="16">
        <v>130</v>
      </c>
      <c r="L788" s="167" t="str">
        <f>IF(K788&lt;&gt;"",VLOOKUP(K788,'Catálogo SAP'!A:F,3,FALSE),"")</f>
        <v>S.VP-01438</v>
      </c>
      <c r="M788" s="162" t="str">
        <f>IF(K788&lt;&gt;"",VLOOKUP(K788,'Catálogo SAP'!A:F,4,FALSE),"")</f>
        <v>Hr Improdutiva Retroescavadeira C/Operador</v>
      </c>
      <c r="N788" s="168" t="str">
        <f>IF(K788&lt;&gt;"",VLOOKUP(K788,'Catálogo SAP'!A:F,5,FALSE),"")</f>
        <v>H</v>
      </c>
      <c r="O788" s="160">
        <v>5</v>
      </c>
      <c r="P788" s="70">
        <f t="shared" si="266"/>
        <v>0</v>
      </c>
      <c r="Q788" s="163" t="e">
        <f t="shared" si="258"/>
        <v>#VALUE!</v>
      </c>
      <c r="R788" s="44" t="str">
        <f>IF(J788&lt;&gt;"",VLOOKUP(J788,'RESUMO DR'!$B$4:$E$253,4,FALSE),"-")</f>
        <v>T-02</v>
      </c>
      <c r="S788" s="58" t="str">
        <f>IF(J788&lt;&gt;"",VLOOKUP(J788,'RESUMO DR'!$B$4:$E$253,3,FALSE),"-")</f>
        <v>ARAGUAINA</v>
      </c>
      <c r="T788" s="129"/>
      <c r="U788" s="129"/>
      <c r="V788" s="129"/>
      <c r="W788" s="128"/>
      <c r="X788" s="127"/>
      <c r="Y788" s="127"/>
      <c r="Z788" s="4"/>
    </row>
    <row r="789" spans="1:27" ht="18" customHeight="1">
      <c r="A789" s="5">
        <v>1873</v>
      </c>
      <c r="B789" s="21">
        <v>45671</v>
      </c>
      <c r="C789" s="21" t="s">
        <v>122</v>
      </c>
      <c r="D789" s="74" t="str">
        <f t="shared" si="259"/>
        <v>ter</v>
      </c>
      <c r="E789" s="169">
        <f>IF(K789&lt;&gt;"",VLOOKUP(K789,'Catálogo SAP'!$A$1:$F$245,2,FALSE),"-")</f>
        <v>120</v>
      </c>
      <c r="F789" s="225">
        <v>3922</v>
      </c>
      <c r="G789" s="225">
        <v>3929</v>
      </c>
      <c r="H789" s="226"/>
      <c r="I789" s="230">
        <v>318</v>
      </c>
      <c r="J789" s="162" t="str">
        <f t="shared" si="257"/>
        <v>BABAÇULÂNDIA</v>
      </c>
      <c r="K789" s="16">
        <v>120</v>
      </c>
      <c r="L789" s="167" t="str">
        <f>IF(K789&lt;&gt;"",VLOOKUP(K789,'Catálogo SAP'!A:F,3,FALSE),"")</f>
        <v>S.VP-01437</v>
      </c>
      <c r="M789" s="162" t="str">
        <f>IF(K789&lt;&gt;"",VLOOKUP(K789,'Catálogo SAP'!A:F,4,FALSE),"")</f>
        <v>Hr Produtiva Retroescavadeira C/Operador</v>
      </c>
      <c r="N789" s="168" t="str">
        <f>IF(K789&lt;&gt;"",VLOOKUP(K789,'Catálogo SAP'!A:F,5,FALSE),"")</f>
        <v>H</v>
      </c>
      <c r="O789" s="160">
        <v>7</v>
      </c>
      <c r="P789" s="70">
        <f t="shared" si="266"/>
        <v>7</v>
      </c>
      <c r="Q789" s="163" t="e">
        <f t="shared" si="258"/>
        <v>#VALUE!</v>
      </c>
      <c r="R789" s="44" t="str">
        <f>IF(J789&lt;&gt;"",VLOOKUP(J789,'RESUMO DR'!$B$4:$E$253,4,FALSE),"-")</f>
        <v>T-02</v>
      </c>
      <c r="S789" s="58" t="str">
        <f>IF(J789&lt;&gt;"",VLOOKUP(J789,'RESUMO DR'!$B$4:$E$253,3,FALSE),"-")</f>
        <v>ARAGUAINA</v>
      </c>
      <c r="T789" s="129"/>
      <c r="U789" s="129"/>
      <c r="V789" s="129"/>
      <c r="W789" s="128"/>
      <c r="X789" s="127"/>
      <c r="Y789" s="127"/>
      <c r="Z789" s="4"/>
    </row>
    <row r="790" spans="1:27" ht="18" customHeight="1">
      <c r="A790" s="5">
        <v>1869</v>
      </c>
      <c r="B790" s="21">
        <v>45671</v>
      </c>
      <c r="C790" s="21" t="s">
        <v>123</v>
      </c>
      <c r="D790" s="74" t="str">
        <f t="shared" si="259"/>
        <v>ter</v>
      </c>
      <c r="E790" s="169">
        <f>IF(K790&lt;&gt;"",VLOOKUP(K790,'Catálogo SAP'!$A$1:$F$245,2,FALSE),"-")</f>
        <v>120</v>
      </c>
      <c r="F790" s="16">
        <v>5917</v>
      </c>
      <c r="G790" s="16">
        <v>5922</v>
      </c>
      <c r="H790" s="22"/>
      <c r="I790" s="133">
        <v>438</v>
      </c>
      <c r="J790" s="162" t="str">
        <f t="shared" si="257"/>
        <v>Palmeirante</v>
      </c>
      <c r="K790" s="16">
        <v>120</v>
      </c>
      <c r="L790" s="167" t="str">
        <f>IF(K790&lt;&gt;"",VLOOKUP(K790,'Catálogo SAP'!A:F,3,FALSE),"")</f>
        <v>S.VP-01437</v>
      </c>
      <c r="M790" s="162" t="str">
        <f>IF(K790&lt;&gt;"",VLOOKUP(K790,'Catálogo SAP'!A:F,4,FALSE),"")</f>
        <v>Hr Produtiva Retroescavadeira C/Operador</v>
      </c>
      <c r="N790" s="168" t="str">
        <f>IF(K790&lt;&gt;"",VLOOKUP(K790,'Catálogo SAP'!A:F,5,FALSE),"")</f>
        <v>H</v>
      </c>
      <c r="O790" s="160">
        <v>5</v>
      </c>
      <c r="P790" s="70">
        <f t="shared" si="266"/>
        <v>5</v>
      </c>
      <c r="Q790" s="163" t="e">
        <f t="shared" si="258"/>
        <v>#VALUE!</v>
      </c>
      <c r="R790" s="44" t="str">
        <f>IF(J790&lt;&gt;"",VLOOKUP(J790,'RESUMO DR'!$B$4:$E$253,4,FALSE),"-")</f>
        <v>T-02</v>
      </c>
      <c r="S790" s="58" t="str">
        <f>IF(J790&lt;&gt;"",VLOOKUP(J790,'RESUMO DR'!$B$4:$E$253,3,FALSE),"-")</f>
        <v>ARAGUAINA</v>
      </c>
      <c r="T790" s="129"/>
      <c r="U790" s="129"/>
      <c r="V790" s="129"/>
      <c r="W790" s="128"/>
      <c r="X790" s="127"/>
      <c r="Y790" s="127"/>
      <c r="Z790" s="4"/>
    </row>
    <row r="791" spans="1:27" ht="18" customHeight="1">
      <c r="A791" s="5"/>
      <c r="B791" s="21">
        <v>45671</v>
      </c>
      <c r="C791" s="21" t="s">
        <v>124</v>
      </c>
      <c r="D791" s="74" t="str">
        <f t="shared" si="259"/>
        <v>ter</v>
      </c>
      <c r="E791" s="169" t="str">
        <f>IF(K791&lt;&gt;"",VLOOKUP(K791,'Catálogo SAP'!$A$1:$F$245,2,FALSE),"-")</f>
        <v>-</v>
      </c>
      <c r="F791" s="225"/>
      <c r="G791" s="225"/>
      <c r="H791" s="226"/>
      <c r="I791" s="230"/>
      <c r="J791" s="162" t="str">
        <f t="shared" si="257"/>
        <v/>
      </c>
      <c r="K791" s="16"/>
      <c r="L791" s="167" t="str">
        <f>IF(K791&lt;&gt;"",VLOOKUP(K791,'Catálogo SAP'!A:F,3,FALSE),"")</f>
        <v/>
      </c>
      <c r="M791" s="162" t="str">
        <f>IF(K791&lt;&gt;"",VLOOKUP(K791,'Catálogo SAP'!A:F,4,FALSE),"")</f>
        <v/>
      </c>
      <c r="N791" s="168" t="str">
        <f>IF(K791&lt;&gt;"",VLOOKUP(K791,'Catálogo SAP'!A:F,5,FALSE),"")</f>
        <v/>
      </c>
      <c r="O791" s="160"/>
      <c r="P791" s="70" t="str">
        <f t="shared" si="266"/>
        <v>-</v>
      </c>
      <c r="Q791" s="163" t="str">
        <f t="shared" si="258"/>
        <v>-</v>
      </c>
      <c r="R791" s="44" t="str">
        <f>IF(J791&lt;&gt;"",VLOOKUP(J791,'RESUMO DR'!$B$4:$E$253,4,FALSE),"-")</f>
        <v>-</v>
      </c>
      <c r="S791" s="58" t="str">
        <f>IF(J791&lt;&gt;"",VLOOKUP(J791,'RESUMO DR'!$B$4:$E$253,3,FALSE),"-")</f>
        <v>-</v>
      </c>
      <c r="T791" s="129"/>
      <c r="U791" s="129"/>
      <c r="V791" s="129"/>
      <c r="W791" s="128"/>
      <c r="X791" s="127"/>
      <c r="Y791" s="127"/>
      <c r="Z791" s="4"/>
    </row>
    <row r="792" spans="1:27" ht="18" customHeight="1">
      <c r="A792" s="5"/>
      <c r="B792" s="21">
        <v>45671</v>
      </c>
      <c r="C792" s="21" t="s">
        <v>124</v>
      </c>
      <c r="D792" s="74" t="str">
        <f t="shared" si="259"/>
        <v>ter</v>
      </c>
      <c r="E792" s="169" t="str">
        <f>IF(K792&lt;&gt;"",VLOOKUP(K792,'Catálogo SAP'!$A$1:$F$245,2,FALSE),"-")</f>
        <v>-</v>
      </c>
      <c r="F792" s="16"/>
      <c r="G792" s="16"/>
      <c r="H792" s="22"/>
      <c r="I792" s="133"/>
      <c r="J792" s="162" t="str">
        <f t="shared" si="257"/>
        <v/>
      </c>
      <c r="K792" s="16"/>
      <c r="L792" s="167" t="str">
        <f>IF(K792&lt;&gt;"",VLOOKUP(K792,'Catálogo SAP'!A:F,3,FALSE),"")</f>
        <v/>
      </c>
      <c r="M792" s="162" t="str">
        <f>IF(K792&lt;&gt;"",VLOOKUP(K792,'Catálogo SAP'!A:F,4,FALSE),"")</f>
        <v/>
      </c>
      <c r="N792" s="168" t="str">
        <f>IF(K792&lt;&gt;"",VLOOKUP(K792,'Catálogo SAP'!A:F,5,FALSE),"")</f>
        <v/>
      </c>
      <c r="O792" s="160"/>
      <c r="P792" s="70" t="str">
        <f t="shared" si="266"/>
        <v>-</v>
      </c>
      <c r="Q792" s="163" t="str">
        <f t="shared" si="258"/>
        <v>-</v>
      </c>
      <c r="R792" s="44" t="str">
        <f>IF(J792&lt;&gt;"",VLOOKUP(J792,'RESUMO DR'!$B$4:$E$253,4,FALSE),"-")</f>
        <v>-</v>
      </c>
      <c r="S792" s="58" t="str">
        <f>IF(J792&lt;&gt;"",VLOOKUP(J792,'RESUMO DR'!$B$4:$E$253,3,FALSE),"-")</f>
        <v>-</v>
      </c>
      <c r="T792" s="129"/>
      <c r="U792" s="129"/>
      <c r="V792" s="129"/>
      <c r="W792" s="128"/>
      <c r="X792" s="127"/>
      <c r="Y792" s="127"/>
      <c r="Z792" s="4"/>
      <c r="AA792" s="38"/>
    </row>
    <row r="793" spans="1:27" ht="18" customHeight="1">
      <c r="A793" s="5">
        <v>1874</v>
      </c>
      <c r="B793" s="21">
        <v>45671</v>
      </c>
      <c r="C793" s="21" t="s">
        <v>307</v>
      </c>
      <c r="D793" s="74" t="str">
        <f t="shared" si="259"/>
        <v>ter</v>
      </c>
      <c r="E793" s="169">
        <f>IF(K793&lt;&gt;"",VLOOKUP(K793,'Catálogo SAP'!$A$1:$F$245,2,FALSE),"-")</f>
        <v>200</v>
      </c>
      <c r="F793" s="225">
        <v>68603</v>
      </c>
      <c r="G793" s="225">
        <v>68955</v>
      </c>
      <c r="H793" s="226"/>
      <c r="I793" s="230">
        <v>187</v>
      </c>
      <c r="J793" s="162" t="str">
        <f t="shared" si="257"/>
        <v>PORTO FRANCO</v>
      </c>
      <c r="K793" s="16">
        <v>200</v>
      </c>
      <c r="L793" s="167" t="str">
        <f>IF(K793&lt;&gt;"",VLOOKUP(K793,'Catálogo SAP'!A:F,3,FALSE),"")</f>
        <v>S.VP-01445</v>
      </c>
      <c r="M793" s="162" t="str">
        <f>IF(K793&lt;&gt;"",VLOOKUP(K793,'Catálogo SAP'!A:F,4,FALSE),"")</f>
        <v>Km Rodado Caminhão Basculante - C/Motorista</v>
      </c>
      <c r="N793" s="168" t="str">
        <f>IF(K793&lt;&gt;"",VLOOKUP(K793,'Catálogo SAP'!A:F,5,FALSE),"")</f>
        <v>KM</v>
      </c>
      <c r="O793" s="160">
        <v>352</v>
      </c>
      <c r="P793" s="70">
        <f t="shared" si="266"/>
        <v>352</v>
      </c>
      <c r="Q793" s="163" t="e">
        <f t="shared" si="258"/>
        <v>#VALUE!</v>
      </c>
      <c r="R793" s="44" t="str">
        <f>IF(J793&lt;&gt;"",VLOOKUP(J793,'RESUMO DR'!$B$4:$E$253,4,FALSE),"-")</f>
        <v>T-01</v>
      </c>
      <c r="S793" s="58" t="str">
        <f>IF(J793&lt;&gt;"",VLOOKUP(J793,'RESUMO DR'!$B$4:$E$253,3,FALSE),"-")</f>
        <v>IMPERATRIZ</v>
      </c>
      <c r="T793" s="129"/>
      <c r="U793" s="129"/>
      <c r="V793" s="129"/>
      <c r="W793" s="128"/>
      <c r="X793" s="127"/>
      <c r="Y793" s="127"/>
      <c r="Z793" s="4"/>
    </row>
    <row r="794" spans="1:27" ht="13.8">
      <c r="A794" s="5">
        <v>1874</v>
      </c>
      <c r="B794" s="21">
        <v>45671</v>
      </c>
      <c r="C794" s="21" t="s">
        <v>308</v>
      </c>
      <c r="D794" s="74" t="str">
        <f t="shared" si="259"/>
        <v>ter</v>
      </c>
      <c r="E794" s="169">
        <f>IF(K794&lt;&gt;"",VLOOKUP(K794,'Catálogo SAP'!$A$1:$F$245,2,FALSE),"-")</f>
        <v>200</v>
      </c>
      <c r="F794" s="225">
        <v>68037</v>
      </c>
      <c r="G794" s="225">
        <v>68245</v>
      </c>
      <c r="H794" s="226"/>
      <c r="I794" s="230">
        <v>187</v>
      </c>
      <c r="J794" s="162" t="str">
        <f t="shared" si="257"/>
        <v>PORTO FRANCO</v>
      </c>
      <c r="K794" s="16">
        <v>200</v>
      </c>
      <c r="L794" s="167" t="str">
        <f>IF(K794&lt;&gt;"",VLOOKUP(K794,'Catálogo SAP'!A:F,3,FALSE),"")</f>
        <v>S.VP-01445</v>
      </c>
      <c r="M794" s="162" t="str">
        <f>IF(K794&lt;&gt;"",VLOOKUP(K794,'Catálogo SAP'!A:F,4,FALSE),"")</f>
        <v>Km Rodado Caminhão Basculante - C/Motorista</v>
      </c>
      <c r="N794" s="168" t="str">
        <f>IF(K794&lt;&gt;"",VLOOKUP(K794,'Catálogo SAP'!A:F,5,FALSE),"")</f>
        <v>KM</v>
      </c>
      <c r="O794" s="160">
        <v>208</v>
      </c>
      <c r="P794" s="70">
        <f t="shared" si="266"/>
        <v>208</v>
      </c>
      <c r="Q794" s="163" t="e">
        <f t="shared" si="258"/>
        <v>#VALUE!</v>
      </c>
      <c r="R794" s="44" t="str">
        <f>IF(J794&lt;&gt;"",VLOOKUP(J794,'RESUMO DR'!$B$4:$E$253,4,FALSE),"-")</f>
        <v>T-01</v>
      </c>
      <c r="S794" s="58" t="str">
        <f>IF(J794&lt;&gt;"",VLOOKUP(J794,'RESUMO DR'!$B$4:$E$253,3,FALSE),"-")</f>
        <v>IMPERATRIZ</v>
      </c>
      <c r="T794" s="129"/>
      <c r="U794" s="129"/>
      <c r="V794" s="129"/>
      <c r="W794" s="128"/>
      <c r="X794" s="127"/>
      <c r="Y794" s="127"/>
      <c r="Z794" s="4"/>
    </row>
    <row r="795" spans="1:27" ht="13.8">
      <c r="A795" s="5">
        <v>1870</v>
      </c>
      <c r="B795" s="21">
        <v>45671</v>
      </c>
      <c r="C795" s="21" t="s">
        <v>127</v>
      </c>
      <c r="D795" s="74" t="str">
        <f t="shared" si="259"/>
        <v>ter</v>
      </c>
      <c r="E795" s="169">
        <f>IF(K795&lt;&gt;"",VLOOKUP(K795,'Catálogo SAP'!$A$1:$F$245,2,FALSE),"-")</f>
        <v>210</v>
      </c>
      <c r="F795" s="225">
        <v>50550</v>
      </c>
      <c r="G795" s="225">
        <v>50550</v>
      </c>
      <c r="H795" s="226"/>
      <c r="I795" s="230">
        <v>216</v>
      </c>
      <c r="J795" s="162" t="str">
        <f t="shared" si="257"/>
        <v>AGUIARNÓPOLIS</v>
      </c>
      <c r="K795" s="16">
        <v>210</v>
      </c>
      <c r="L795" s="167" t="str">
        <f>IF(K795&lt;&gt;"",VLOOKUP(K795,'Catálogo SAP'!A:F,3,FALSE),"")</f>
        <v>S.VP-01446</v>
      </c>
      <c r="M795" s="162" t="str">
        <f>IF(K795&lt;&gt;"",VLOOKUP(K795,'Catálogo SAP'!A:F,4,FALSE),"")</f>
        <v>Hora Improdutiva Basculante - C/Motorista</v>
      </c>
      <c r="N795" s="168" t="str">
        <f>IF(K795&lt;&gt;"",VLOOKUP(K795,'Catálogo SAP'!A:F,5,FALSE),"")</f>
        <v>H</v>
      </c>
      <c r="O795" s="160">
        <v>9</v>
      </c>
      <c r="P795" s="70">
        <f t="shared" si="266"/>
        <v>0</v>
      </c>
      <c r="Q795" s="163" t="e">
        <f t="shared" si="258"/>
        <v>#VALUE!</v>
      </c>
      <c r="R795" s="44" t="str">
        <f>IF(J795&lt;&gt;"",VLOOKUP(J795,'RESUMO DR'!$B$4:$E$253,4,FALSE),"-")</f>
        <v>T-02</v>
      </c>
      <c r="S795" s="58" t="str">
        <f>IF(J795&lt;&gt;"",VLOOKUP(J795,'RESUMO DR'!$B$4:$E$253,3,FALSE),"-")</f>
        <v>ARAGUAINA</v>
      </c>
      <c r="T795" s="129"/>
      <c r="U795" s="129"/>
      <c r="V795" s="129"/>
      <c r="W795" s="128"/>
      <c r="X795" s="127"/>
      <c r="Y795" s="127"/>
      <c r="Z795" s="4"/>
    </row>
    <row r="796" spans="1:27" ht="13.8">
      <c r="A796" s="5">
        <v>1874</v>
      </c>
      <c r="B796" s="21">
        <v>45671</v>
      </c>
      <c r="C796" s="21" t="s">
        <v>313</v>
      </c>
      <c r="D796" s="74" t="str">
        <f t="shared" si="259"/>
        <v>ter</v>
      </c>
      <c r="E796" s="169">
        <f>IF(K796&lt;&gt;"",VLOOKUP(K796,'Catálogo SAP'!$A$1:$F$245,2,FALSE),"-")</f>
        <v>200</v>
      </c>
      <c r="F796" s="225">
        <v>63870</v>
      </c>
      <c r="G796" s="225">
        <v>64098</v>
      </c>
      <c r="H796" s="226"/>
      <c r="I796" s="230">
        <v>187</v>
      </c>
      <c r="J796" s="162" t="str">
        <f t="shared" si="257"/>
        <v>PORTO FRANCO</v>
      </c>
      <c r="K796" s="16">
        <v>200</v>
      </c>
      <c r="L796" s="167" t="str">
        <f>IF(K796&lt;&gt;"",VLOOKUP(K796,'Catálogo SAP'!A:F,3,FALSE),"")</f>
        <v>S.VP-01445</v>
      </c>
      <c r="M796" s="162" t="str">
        <f>IF(K796&lt;&gt;"",VLOOKUP(K796,'Catálogo SAP'!A:F,4,FALSE),"")</f>
        <v>Km Rodado Caminhão Basculante - C/Motorista</v>
      </c>
      <c r="N796" s="168" t="str">
        <f>IF(K796&lt;&gt;"",VLOOKUP(K796,'Catálogo SAP'!A:F,5,FALSE),"")</f>
        <v>KM</v>
      </c>
      <c r="O796" s="160">
        <v>228</v>
      </c>
      <c r="P796" s="70">
        <f t="shared" si="266"/>
        <v>228</v>
      </c>
      <c r="Q796" s="163" t="e">
        <f t="shared" si="258"/>
        <v>#VALUE!</v>
      </c>
      <c r="R796" s="44" t="str">
        <f>IF(J796&lt;&gt;"",VLOOKUP(J796,'RESUMO DR'!$B$4:$E$253,4,FALSE),"-")</f>
        <v>T-01</v>
      </c>
      <c r="S796" s="58" t="str">
        <f>IF(J796&lt;&gt;"",VLOOKUP(J796,'RESUMO DR'!$B$4:$E$253,3,FALSE),"-")</f>
        <v>IMPERATRIZ</v>
      </c>
      <c r="T796" s="129"/>
      <c r="U796" s="129"/>
      <c r="V796" s="129"/>
      <c r="W796" s="128"/>
      <c r="X796" s="127"/>
      <c r="Y796" s="127"/>
      <c r="Z796" s="4"/>
      <c r="AA796" s="209"/>
    </row>
    <row r="797" spans="1:27" ht="13.8">
      <c r="A797" s="5">
        <v>1871</v>
      </c>
      <c r="B797" s="21">
        <v>45671</v>
      </c>
      <c r="C797" s="21" t="s">
        <v>312</v>
      </c>
      <c r="D797" s="74" t="str">
        <f t="shared" si="259"/>
        <v>ter</v>
      </c>
      <c r="E797" s="169">
        <f>IF(K797&lt;&gt;"",VLOOKUP(K797,'Catálogo SAP'!$A$1:$F$245,2,FALSE),"-")</f>
        <v>200</v>
      </c>
      <c r="F797" s="16">
        <v>76339</v>
      </c>
      <c r="G797" s="16">
        <v>76840</v>
      </c>
      <c r="H797" s="22"/>
      <c r="I797" s="133">
        <v>320</v>
      </c>
      <c r="J797" s="162" t="str">
        <f t="shared" si="257"/>
        <v>BABAÇULÂNDIA</v>
      </c>
      <c r="K797" s="16">
        <v>200</v>
      </c>
      <c r="L797" s="167" t="str">
        <f>IF(K797&lt;&gt;"",VLOOKUP(K797,'Catálogo SAP'!A:F,3,FALSE),"")</f>
        <v>S.VP-01445</v>
      </c>
      <c r="M797" s="162" t="str">
        <f>IF(K797&lt;&gt;"",VLOOKUP(K797,'Catálogo SAP'!A:F,4,FALSE),"")</f>
        <v>Km Rodado Caminhão Basculante - C/Motorista</v>
      </c>
      <c r="N797" s="168" t="str">
        <f>IF(K797&lt;&gt;"",VLOOKUP(K797,'Catálogo SAP'!A:F,5,FALSE),"")</f>
        <v>KM</v>
      </c>
      <c r="O797" s="160">
        <v>501</v>
      </c>
      <c r="P797" s="70">
        <f t="shared" si="266"/>
        <v>501</v>
      </c>
      <c r="Q797" s="163" t="e">
        <f t="shared" si="258"/>
        <v>#VALUE!</v>
      </c>
      <c r="R797" s="44" t="str">
        <f>IF(J797&lt;&gt;"",VLOOKUP(J797,'RESUMO DR'!$B$4:$E$253,4,FALSE),"-")</f>
        <v>T-02</v>
      </c>
      <c r="S797" s="58" t="str">
        <f>IF(J797&lt;&gt;"",VLOOKUP(J797,'RESUMO DR'!$B$4:$E$253,3,FALSE),"-")</f>
        <v>ARAGUAINA</v>
      </c>
      <c r="T797" s="129"/>
      <c r="U797" s="129"/>
      <c r="V797" s="129"/>
      <c r="W797" s="128"/>
      <c r="X797" s="127"/>
      <c r="Y797" s="127"/>
      <c r="Z797" s="208"/>
    </row>
    <row r="798" spans="1:27" ht="13.8">
      <c r="A798" s="5">
        <v>1869</v>
      </c>
      <c r="B798" s="21">
        <v>45671</v>
      </c>
      <c r="C798" s="21" t="s">
        <v>129</v>
      </c>
      <c r="D798" s="74" t="str">
        <f t="shared" si="259"/>
        <v>ter</v>
      </c>
      <c r="E798" s="169">
        <f>IF(K798&lt;&gt;"",VLOOKUP(K798,'Catálogo SAP'!$A$1:$F$245,2,FALSE),"-")</f>
        <v>210</v>
      </c>
      <c r="F798" s="16">
        <v>81372</v>
      </c>
      <c r="G798" s="16">
        <v>81372</v>
      </c>
      <c r="H798" s="22"/>
      <c r="I798" s="133">
        <v>438</v>
      </c>
      <c r="J798" s="162" t="str">
        <f t="shared" si="257"/>
        <v>Palmeirante</v>
      </c>
      <c r="K798" s="16">
        <v>210</v>
      </c>
      <c r="L798" s="167" t="str">
        <f>IF(K798&lt;&gt;"",VLOOKUP(K798,'Catálogo SAP'!A:F,3,FALSE),"")</f>
        <v>S.VP-01446</v>
      </c>
      <c r="M798" s="162" t="str">
        <f>IF(K798&lt;&gt;"",VLOOKUP(K798,'Catálogo SAP'!A:F,4,FALSE),"")</f>
        <v>Hora Improdutiva Basculante - C/Motorista</v>
      </c>
      <c r="N798" s="168" t="str">
        <f>IF(K798&lt;&gt;"",VLOOKUP(K798,'Catálogo SAP'!A:F,5,FALSE),"")</f>
        <v>H</v>
      </c>
      <c r="O798" s="160">
        <v>9</v>
      </c>
      <c r="P798" s="70">
        <f t="shared" si="266"/>
        <v>0</v>
      </c>
      <c r="Q798" s="163" t="e">
        <f t="shared" si="258"/>
        <v>#VALUE!</v>
      </c>
      <c r="R798" s="44" t="str">
        <f>IF(J798&lt;&gt;"",VLOOKUP(J798,'RESUMO DR'!$B$4:$E$253,4,FALSE),"-")</f>
        <v>T-02</v>
      </c>
      <c r="S798" s="58" t="str">
        <f>IF(J798&lt;&gt;"",VLOOKUP(J798,'RESUMO DR'!$B$4:$E$253,3,FALSE),"-")</f>
        <v>ARAGUAINA</v>
      </c>
      <c r="T798" s="129"/>
      <c r="U798" s="129"/>
      <c r="V798" s="129"/>
      <c r="W798" s="128"/>
      <c r="X798" s="127"/>
      <c r="Y798" s="127"/>
      <c r="Z798" s="4"/>
    </row>
    <row r="799" spans="1:27" ht="13.8">
      <c r="A799" s="5">
        <v>1874</v>
      </c>
      <c r="B799" s="21">
        <v>45671</v>
      </c>
      <c r="C799" s="21" t="s">
        <v>298</v>
      </c>
      <c r="D799" s="74" t="str">
        <f t="shared" ref="D799:D801" si="267">IF(B799="","-",TEXT(B799,"ddd"))</f>
        <v>ter</v>
      </c>
      <c r="E799" s="169">
        <f>IF(K799&lt;&gt;"",VLOOKUP(K799,'Catálogo SAP'!$A$1:$F$245,2,FALSE),"-")</f>
        <v>160</v>
      </c>
      <c r="F799" s="225">
        <v>582</v>
      </c>
      <c r="G799" s="225">
        <v>591</v>
      </c>
      <c r="H799" s="226"/>
      <c r="I799" s="230">
        <v>187</v>
      </c>
      <c r="J799" s="162" t="str">
        <f t="shared" si="257"/>
        <v>PORTO FRANCO</v>
      </c>
      <c r="K799" s="16">
        <v>160</v>
      </c>
      <c r="L799" s="167" t="str">
        <f>IF(K799&lt;&gt;"",VLOOKUP(K799,'Catálogo SAP'!A:F,3,FALSE),"")</f>
        <v>S.VP-01441</v>
      </c>
      <c r="M799" s="162" t="str">
        <f>IF(K799&lt;&gt;"",VLOOKUP(K799,'Catálogo SAP'!A:F,4,FALSE),"")</f>
        <v>Hora Produtiva Pa Carregadeira C/Operador</v>
      </c>
      <c r="N799" s="168" t="str">
        <f>IF(K799&lt;&gt;"",VLOOKUP(K799,'Catálogo SAP'!A:F,5,FALSE),"")</f>
        <v>H</v>
      </c>
      <c r="O799" s="160">
        <v>9</v>
      </c>
      <c r="P799" s="70">
        <f t="shared" si="266"/>
        <v>9</v>
      </c>
      <c r="Q799" s="163" t="e">
        <f t="shared" si="258"/>
        <v>#VALUE!</v>
      </c>
      <c r="R799" s="44" t="str">
        <f>IF(J799&lt;&gt;"",VLOOKUP(J799,'RESUMO DR'!$B$4:$E$253,4,FALSE),"-")</f>
        <v>T-01</v>
      </c>
      <c r="S799" s="58" t="str">
        <f>IF(J799&lt;&gt;"",VLOOKUP(J799,'RESUMO DR'!$B$4:$E$253,3,FALSE),"-")</f>
        <v>IMPERATRIZ</v>
      </c>
      <c r="T799" s="129"/>
      <c r="U799" s="129"/>
      <c r="V799" s="129"/>
      <c r="W799" s="128"/>
      <c r="X799" s="127"/>
      <c r="Y799" s="127"/>
      <c r="Z799" s="4"/>
      <c r="AA799" s="170"/>
    </row>
    <row r="800" spans="1:27" ht="13.8">
      <c r="A800" s="5"/>
      <c r="B800" s="21">
        <v>45671</v>
      </c>
      <c r="C800" s="21" t="s">
        <v>298</v>
      </c>
      <c r="D800" s="74" t="str">
        <f t="shared" si="267"/>
        <v>ter</v>
      </c>
      <c r="E800" s="169" t="str">
        <f>IF(K800&lt;&gt;"",VLOOKUP(K800,'Catálogo SAP'!$A$1:$F$245,2,FALSE),"-")</f>
        <v>-</v>
      </c>
      <c r="F800" s="16"/>
      <c r="G800" s="16"/>
      <c r="H800" s="22"/>
      <c r="I800" s="133"/>
      <c r="J800" s="162" t="str">
        <f t="shared" si="257"/>
        <v/>
      </c>
      <c r="K800" s="16"/>
      <c r="L800" s="167" t="str">
        <f>IF(K800&lt;&gt;"",VLOOKUP(K800,'Catálogo SAP'!A:F,3,FALSE),"")</f>
        <v/>
      </c>
      <c r="M800" s="162" t="str">
        <f>IF(K800&lt;&gt;"",VLOOKUP(K800,'Catálogo SAP'!A:F,4,FALSE),"")</f>
        <v/>
      </c>
      <c r="N800" s="168" t="str">
        <f>IF(K800&lt;&gt;"",VLOOKUP(K800,'Catálogo SAP'!A:F,5,FALSE),"")</f>
        <v/>
      </c>
      <c r="O800" s="160"/>
      <c r="P800" s="70" t="str">
        <f t="shared" si="266"/>
        <v>-</v>
      </c>
      <c r="Q800" s="163" t="str">
        <f t="shared" si="258"/>
        <v>-</v>
      </c>
      <c r="R800" s="44" t="str">
        <f>IF(J800&lt;&gt;"",VLOOKUP(J800,'RESUMO DR'!$B$4:$E$253,4,FALSE),"-")</f>
        <v>-</v>
      </c>
      <c r="S800" s="58" t="str">
        <f>IF(J800&lt;&gt;"",VLOOKUP(J800,'RESUMO DR'!$B$4:$E$253,3,FALSE),"-")</f>
        <v>-</v>
      </c>
      <c r="T800" s="129"/>
      <c r="U800" s="129"/>
      <c r="V800" s="129"/>
      <c r="W800" s="128"/>
      <c r="X800" s="127"/>
      <c r="Y800" s="127"/>
      <c r="Z800" s="4"/>
      <c r="AA800" s="170"/>
    </row>
    <row r="801" spans="1:26" ht="13.8">
      <c r="A801" s="5">
        <v>1874</v>
      </c>
      <c r="B801" s="21">
        <v>45671</v>
      </c>
      <c r="C801" s="21" t="s">
        <v>131</v>
      </c>
      <c r="D801" s="74" t="str">
        <f t="shared" si="267"/>
        <v>ter</v>
      </c>
      <c r="E801" s="169">
        <f>IF(K801&lt;&gt;"",VLOOKUP(K801,'Catálogo SAP'!$A$1:$F$245,2,FALSE),"-")</f>
        <v>520</v>
      </c>
      <c r="F801" s="225">
        <v>10670</v>
      </c>
      <c r="G801" s="225">
        <v>10678</v>
      </c>
      <c r="H801" s="226"/>
      <c r="I801" s="230">
        <v>195</v>
      </c>
      <c r="J801" s="162" t="str">
        <f t="shared" si="257"/>
        <v>PORTO FRANCO</v>
      </c>
      <c r="K801" s="16">
        <v>520</v>
      </c>
      <c r="L801" s="167" t="str">
        <f>IF(K801&lt;&gt;"",VLOOKUP(K801,'Catálogo SAP'!A:F,3,FALSE),"")</f>
        <v>S.VP-01469</v>
      </c>
      <c r="M801" s="162" t="str">
        <f>IF(K801&lt;&gt;"",VLOOKUP(K801,'Catálogo SAP'!A:F,4,FALSE),"")</f>
        <v>Hora Produtiva Escavadeira Hidraulica</v>
      </c>
      <c r="N801" s="168" t="str">
        <f>IF(K801&lt;&gt;"",VLOOKUP(K801,'Catálogo SAP'!A:F,5,FALSE),"")</f>
        <v>H</v>
      </c>
      <c r="O801" s="160">
        <v>8</v>
      </c>
      <c r="P801" s="70">
        <f t="shared" si="266"/>
        <v>8</v>
      </c>
      <c r="Q801" s="163" t="e">
        <f t="shared" si="258"/>
        <v>#VALUE!</v>
      </c>
      <c r="R801" s="44" t="str">
        <f>IF(J801&lt;&gt;"",VLOOKUP(J801,'RESUMO DR'!$B$4:$E$253,4,FALSE),"-")</f>
        <v>T-01</v>
      </c>
      <c r="S801" s="58" t="str">
        <f>IF(J801&lt;&gt;"",VLOOKUP(J801,'RESUMO DR'!$B$4:$E$253,3,FALSE),"-")</f>
        <v>IMPERATRIZ</v>
      </c>
      <c r="T801" s="129"/>
      <c r="U801" s="129"/>
      <c r="V801" s="129"/>
      <c r="W801" s="128"/>
      <c r="X801" s="127"/>
      <c r="Y801" s="127"/>
      <c r="Z801" s="4"/>
    </row>
    <row r="802" spans="1:26" ht="13.8">
      <c r="A802" s="5">
        <v>1874</v>
      </c>
      <c r="B802" s="21">
        <v>45671</v>
      </c>
      <c r="C802" s="21" t="s">
        <v>131</v>
      </c>
      <c r="D802" s="74" t="str">
        <f t="shared" ref="D802:D864" si="268">IF(B802="","-",TEXT(B802,"ddd"))</f>
        <v>ter</v>
      </c>
      <c r="E802" s="169">
        <f>IF(K802&lt;&gt;"",VLOOKUP(K802,'Catálogo SAP'!$A$1:$F$245,2,FALSE),"-")</f>
        <v>530</v>
      </c>
      <c r="F802" s="225">
        <v>10678</v>
      </c>
      <c r="G802" s="225">
        <v>10678</v>
      </c>
      <c r="H802" s="226"/>
      <c r="I802" s="230">
        <v>195</v>
      </c>
      <c r="J802" s="162" t="str">
        <f t="shared" si="257"/>
        <v>PORTO FRANCO</v>
      </c>
      <c r="K802" s="16">
        <v>530</v>
      </c>
      <c r="L802" s="167" t="str">
        <f>IF(K802&lt;&gt;"",VLOOKUP(K802,'Catálogo SAP'!A:F,3,FALSE),"")</f>
        <v>S.VP-01470</v>
      </c>
      <c r="M802" s="162" t="str">
        <f>IF(K802&lt;&gt;"",VLOOKUP(K802,'Catálogo SAP'!A:F,4,FALSE),"")</f>
        <v>Hora Improdutiva Escavadeira Hidraulica</v>
      </c>
      <c r="N802" s="168" t="str">
        <f>IF(K802&lt;&gt;"",VLOOKUP(K802,'Catálogo SAP'!A:F,5,FALSE),"")</f>
        <v>H</v>
      </c>
      <c r="O802" s="160">
        <v>1</v>
      </c>
      <c r="P802" s="70">
        <f t="shared" si="266"/>
        <v>0</v>
      </c>
      <c r="Q802" s="163" t="e">
        <f t="shared" si="258"/>
        <v>#VALUE!</v>
      </c>
      <c r="R802" s="44" t="str">
        <f>IF(J802&lt;&gt;"",VLOOKUP(J802,'RESUMO DR'!$B$4:$E$253,4,FALSE),"-")</f>
        <v>T-01</v>
      </c>
      <c r="S802" s="58" t="str">
        <f>IF(J802&lt;&gt;"",VLOOKUP(J802,'RESUMO DR'!$B$4:$E$253,3,FALSE),"-")</f>
        <v>IMPERATRIZ</v>
      </c>
      <c r="T802" s="129"/>
      <c r="U802" s="129"/>
      <c r="V802" s="129"/>
      <c r="W802" s="128"/>
      <c r="X802" s="127"/>
      <c r="Y802" s="127"/>
      <c r="Z802" s="4"/>
    </row>
    <row r="803" spans="1:26" ht="13.8">
      <c r="A803" s="5">
        <v>1870</v>
      </c>
      <c r="B803" s="21">
        <v>45671</v>
      </c>
      <c r="C803" s="21" t="s">
        <v>311</v>
      </c>
      <c r="D803" s="74" t="str">
        <f t="shared" si="268"/>
        <v>ter</v>
      </c>
      <c r="E803" s="169">
        <f>IF(K803&lt;&gt;"",VLOOKUP(K803,'Catálogo SAP'!$A$1:$F$245,2,FALSE),"-")</f>
        <v>130</v>
      </c>
      <c r="F803" s="225">
        <v>1225</v>
      </c>
      <c r="G803" s="225">
        <v>1225</v>
      </c>
      <c r="H803" s="226"/>
      <c r="I803" s="230">
        <v>216</v>
      </c>
      <c r="J803" s="162" t="str">
        <f t="shared" si="257"/>
        <v>AGUIARNÓPOLIS</v>
      </c>
      <c r="K803" s="16">
        <v>130</v>
      </c>
      <c r="L803" s="167" t="str">
        <f>IF(K803&lt;&gt;"",VLOOKUP(K803,'Catálogo SAP'!A:F,3,FALSE),"")</f>
        <v>S.VP-01438</v>
      </c>
      <c r="M803" s="162" t="str">
        <f>IF(K803&lt;&gt;"",VLOOKUP(K803,'Catálogo SAP'!A:F,4,FALSE),"")</f>
        <v>Hr Improdutiva Retroescavadeira C/Operador</v>
      </c>
      <c r="N803" s="168" t="str">
        <f>IF(K803&lt;&gt;"",VLOOKUP(K803,'Catálogo SAP'!A:F,5,FALSE),"")</f>
        <v>H</v>
      </c>
      <c r="O803" s="160">
        <v>9</v>
      </c>
      <c r="P803" s="70">
        <f t="shared" si="266"/>
        <v>0</v>
      </c>
      <c r="Q803" s="163" t="e">
        <f t="shared" si="258"/>
        <v>#VALUE!</v>
      </c>
      <c r="R803" s="44" t="str">
        <f>IF(J803&lt;&gt;"",VLOOKUP(J803,'RESUMO DR'!$B$4:$E$253,4,FALSE),"-")</f>
        <v>T-02</v>
      </c>
      <c r="S803" s="58" t="str">
        <f>IF(J803&lt;&gt;"",VLOOKUP(J803,'RESUMO DR'!$B$4:$E$253,3,FALSE),"-")</f>
        <v>ARAGUAINA</v>
      </c>
      <c r="T803" s="129"/>
      <c r="U803" s="129"/>
      <c r="V803" s="129"/>
      <c r="W803" s="128"/>
      <c r="X803" s="127"/>
      <c r="Y803" s="127"/>
      <c r="Z803" s="4"/>
    </row>
    <row r="804" spans="1:26" ht="13.8">
      <c r="A804" s="5"/>
      <c r="B804" s="21">
        <v>45671</v>
      </c>
      <c r="C804" s="21" t="s">
        <v>311</v>
      </c>
      <c r="D804" s="74" t="str">
        <f t="shared" si="268"/>
        <v>ter</v>
      </c>
      <c r="E804" s="169" t="str">
        <f>IF(K804&lt;&gt;"",VLOOKUP(K804,'Catálogo SAP'!$A$1:$F$245,2,FALSE),"-")</f>
        <v>-</v>
      </c>
      <c r="F804" s="225"/>
      <c r="G804" s="225"/>
      <c r="H804" s="226"/>
      <c r="I804" s="230"/>
      <c r="J804" s="162" t="str">
        <f t="shared" si="257"/>
        <v/>
      </c>
      <c r="K804" s="16"/>
      <c r="L804" s="167" t="str">
        <f>IF(K804&lt;&gt;"",VLOOKUP(K804,'Catálogo SAP'!A:F,3,FALSE),"")</f>
        <v/>
      </c>
      <c r="M804" s="162" t="str">
        <f>IF(K804&lt;&gt;"",VLOOKUP(K804,'Catálogo SAP'!A:F,4,FALSE),"")</f>
        <v/>
      </c>
      <c r="N804" s="168" t="str">
        <f>IF(K804&lt;&gt;"",VLOOKUP(K804,'Catálogo SAP'!A:F,5,FALSE),"")</f>
        <v/>
      </c>
      <c r="O804" s="160"/>
      <c r="P804" s="70" t="str">
        <f t="shared" si="266"/>
        <v>-</v>
      </c>
      <c r="Q804" s="163" t="str">
        <f t="shared" si="258"/>
        <v>-</v>
      </c>
      <c r="R804" s="44" t="str">
        <f>IF(J804&lt;&gt;"",VLOOKUP(J804,'RESUMO DR'!$B$4:$E$253,4,FALSE),"-")</f>
        <v>-</v>
      </c>
      <c r="S804" s="58" t="str">
        <f>IF(J804&lt;&gt;"",VLOOKUP(J804,'RESUMO DR'!$B$4:$E$253,3,FALSE),"-")</f>
        <v>-</v>
      </c>
      <c r="T804" s="129"/>
      <c r="U804" s="129"/>
      <c r="V804" s="129"/>
      <c r="W804" s="128"/>
      <c r="X804" s="127"/>
      <c r="Y804" s="127"/>
      <c r="Z804" s="4"/>
    </row>
    <row r="805" spans="1:26" ht="13.8">
      <c r="A805" s="5">
        <v>1870</v>
      </c>
      <c r="B805" s="21">
        <v>45671</v>
      </c>
      <c r="C805" s="21" t="s">
        <v>305</v>
      </c>
      <c r="D805" s="74" t="str">
        <f t="shared" si="268"/>
        <v>ter</v>
      </c>
      <c r="E805" s="169">
        <f>IF(K805&lt;&gt;"",VLOOKUP(K805,'Catálogo SAP'!$A$1:$F$245,2,FALSE),"-")</f>
        <v>290</v>
      </c>
      <c r="F805" s="16">
        <v>260</v>
      </c>
      <c r="G805" s="16">
        <v>260</v>
      </c>
      <c r="H805" s="22"/>
      <c r="I805" s="133">
        <v>216</v>
      </c>
      <c r="J805" s="162" t="str">
        <f t="shared" si="257"/>
        <v>AGUIARNÓPOLIS</v>
      </c>
      <c r="K805" s="16">
        <v>290</v>
      </c>
      <c r="L805" s="167" t="str">
        <f>IF(K805&lt;&gt;"",VLOOKUP(K805,'Catálogo SAP'!A:F,3,FALSE),"")</f>
        <v>S.VP-01454</v>
      </c>
      <c r="M805" s="162" t="str">
        <f>IF(K805&lt;&gt;"",VLOOKUP(K805,'Catálogo SAP'!A:F,4,FALSE),"")</f>
        <v>Hora Improdutiva Motoniveladora C/Operador</v>
      </c>
      <c r="N805" s="168" t="str">
        <f>IF(K805&lt;&gt;"",VLOOKUP(K805,'Catálogo SAP'!A:F,5,FALSE),"")</f>
        <v>H</v>
      </c>
      <c r="O805" s="160">
        <v>9</v>
      </c>
      <c r="P805" s="70">
        <f t="shared" si="266"/>
        <v>0</v>
      </c>
      <c r="Q805" s="163" t="e">
        <f t="shared" si="258"/>
        <v>#VALUE!</v>
      </c>
      <c r="R805" s="44" t="str">
        <f>IF(J805&lt;&gt;"",VLOOKUP(J805,'RESUMO DR'!$B$4:$E$253,4,FALSE),"-")</f>
        <v>T-02</v>
      </c>
      <c r="S805" s="58" t="str">
        <f>IF(J805&lt;&gt;"",VLOOKUP(J805,'RESUMO DR'!$B$4:$E$253,3,FALSE),"-")</f>
        <v>ARAGUAINA</v>
      </c>
      <c r="T805" s="129"/>
      <c r="U805" s="129"/>
      <c r="V805" s="129"/>
      <c r="W805" s="128"/>
      <c r="X805" s="127"/>
      <c r="Y805" s="127"/>
      <c r="Z805" s="4"/>
    </row>
    <row r="806" spans="1:26" ht="13.8">
      <c r="A806" s="5"/>
      <c r="B806" s="21">
        <v>45671</v>
      </c>
      <c r="C806" s="21" t="s">
        <v>305</v>
      </c>
      <c r="D806" s="74" t="str">
        <f t="shared" si="268"/>
        <v>ter</v>
      </c>
      <c r="E806" s="169" t="str">
        <f>IF(K806&lt;&gt;"",VLOOKUP(K806,'Catálogo SAP'!$A$1:$F$245,2,FALSE),"-")</f>
        <v>-</v>
      </c>
      <c r="F806" s="225"/>
      <c r="G806" s="225"/>
      <c r="H806" s="226"/>
      <c r="I806" s="230"/>
      <c r="J806" s="162" t="str">
        <f t="shared" si="257"/>
        <v/>
      </c>
      <c r="K806" s="16"/>
      <c r="L806" s="167" t="str">
        <f>IF(K806&lt;&gt;"",VLOOKUP(K806,'Catálogo SAP'!A:F,3,FALSE),"")</f>
        <v/>
      </c>
      <c r="M806" s="162" t="str">
        <f>IF(K806&lt;&gt;"",VLOOKUP(K806,'Catálogo SAP'!A:F,4,FALSE),"")</f>
        <v/>
      </c>
      <c r="N806" s="168" t="str">
        <f>IF(K806&lt;&gt;"",VLOOKUP(K806,'Catálogo SAP'!A:F,5,FALSE),"")</f>
        <v/>
      </c>
      <c r="O806" s="160"/>
      <c r="P806" s="70" t="str">
        <f t="shared" si="266"/>
        <v>-</v>
      </c>
      <c r="Q806" s="163" t="str">
        <f t="shared" si="258"/>
        <v>-</v>
      </c>
      <c r="R806" s="44" t="str">
        <f>IF(J806&lt;&gt;"",VLOOKUP(J806,'RESUMO DR'!$B$4:$E$253,4,FALSE),"-")</f>
        <v>-</v>
      </c>
      <c r="S806" s="58" t="str">
        <f>IF(J806&lt;&gt;"",VLOOKUP(J806,'RESUMO DR'!$B$4:$E$253,3,FALSE),"-")</f>
        <v>-</v>
      </c>
      <c r="T806" s="129"/>
      <c r="U806" s="129"/>
      <c r="V806" s="129"/>
      <c r="W806" s="128"/>
      <c r="X806" s="127"/>
      <c r="Y806" s="127"/>
      <c r="Z806" s="4"/>
    </row>
    <row r="807" spans="1:26" ht="13.8">
      <c r="A807" s="5">
        <v>1867</v>
      </c>
      <c r="B807" s="21">
        <v>45671</v>
      </c>
      <c r="C807" s="21" t="s">
        <v>300</v>
      </c>
      <c r="D807" s="74" t="str">
        <f t="shared" si="268"/>
        <v>ter</v>
      </c>
      <c r="E807" s="169">
        <f>IF(K807&lt;&gt;"",VLOOKUP(K807,'Catálogo SAP'!$A$1:$F$245,2,FALSE),"-")</f>
        <v>170</v>
      </c>
      <c r="F807" s="16">
        <v>153</v>
      </c>
      <c r="G807" s="16">
        <v>153</v>
      </c>
      <c r="H807" s="22"/>
      <c r="I807" s="133">
        <v>563</v>
      </c>
      <c r="J807" s="162" t="str">
        <f t="shared" si="257"/>
        <v>Tupirama</v>
      </c>
      <c r="K807" s="16">
        <v>170</v>
      </c>
      <c r="L807" s="167" t="str">
        <f>IF(K807&lt;&gt;"",VLOOKUP(K807,'Catálogo SAP'!A:F,3,FALSE),"")</f>
        <v>S.VP-01442</v>
      </c>
      <c r="M807" s="162" t="str">
        <f>IF(K807&lt;&gt;"",VLOOKUP(K807,'Catálogo SAP'!A:F,4,FALSE),"")</f>
        <v>Hora Improdutiva Pa Carregadeira C/Operador</v>
      </c>
      <c r="N807" s="168" t="str">
        <f>IF(K807&lt;&gt;"",VLOOKUP(K807,'Catálogo SAP'!A:F,5,FALSE),"")</f>
        <v>H</v>
      </c>
      <c r="O807" s="160">
        <v>9</v>
      </c>
      <c r="P807" s="70">
        <f t="shared" si="266"/>
        <v>0</v>
      </c>
      <c r="Q807" s="163" t="e">
        <f t="shared" si="258"/>
        <v>#VALUE!</v>
      </c>
      <c r="R807" s="44" t="str">
        <f>IF(J807&lt;&gt;"",VLOOKUP(J807,'RESUMO DR'!$B$4:$E$253,4,FALSE),"-")</f>
        <v>T-03</v>
      </c>
      <c r="S807" s="58" t="str">
        <f>IF(J807&lt;&gt;"",VLOOKUP(J807,'RESUMO DR'!$B$4:$E$253,3,FALSE),"-")</f>
        <v>PALMAS</v>
      </c>
      <c r="T807" s="129"/>
      <c r="U807" s="129"/>
      <c r="V807" s="129"/>
      <c r="W807" s="128"/>
      <c r="X807" s="127"/>
      <c r="Y807" s="127"/>
      <c r="Z807" s="4"/>
    </row>
    <row r="808" spans="1:26" ht="13.8">
      <c r="A808" s="5"/>
      <c r="B808" s="21">
        <v>45671</v>
      </c>
      <c r="C808" s="21" t="s">
        <v>300</v>
      </c>
      <c r="D808" s="74" t="str">
        <f t="shared" si="268"/>
        <v>ter</v>
      </c>
      <c r="E808" s="169" t="str">
        <f>IF(K808&lt;&gt;"",VLOOKUP(K808,'Catálogo SAP'!$A$1:$F$245,2,FALSE),"-")</f>
        <v>-</v>
      </c>
      <c r="F808" s="225"/>
      <c r="G808" s="225"/>
      <c r="H808" s="226"/>
      <c r="I808" s="230"/>
      <c r="J808" s="162" t="str">
        <f t="shared" si="257"/>
        <v/>
      </c>
      <c r="K808" s="16"/>
      <c r="L808" s="167" t="str">
        <f>IF(K808&lt;&gt;"",VLOOKUP(K808,'Catálogo SAP'!A:F,3,FALSE),"")</f>
        <v/>
      </c>
      <c r="M808" s="162" t="str">
        <f>IF(K808&lt;&gt;"",VLOOKUP(K808,'Catálogo SAP'!A:F,4,FALSE),"")</f>
        <v/>
      </c>
      <c r="N808" s="168" t="str">
        <f>IF(K808&lt;&gt;"",VLOOKUP(K808,'Catálogo SAP'!A:F,5,FALSE),"")</f>
        <v/>
      </c>
      <c r="O808" s="160"/>
      <c r="P808" s="70" t="str">
        <f t="shared" si="266"/>
        <v>-</v>
      </c>
      <c r="Q808" s="163" t="str">
        <f t="shared" si="258"/>
        <v>-</v>
      </c>
      <c r="R808" s="44" t="str">
        <f>IF(J808&lt;&gt;"",VLOOKUP(J808,'RESUMO DR'!$B$4:$E$253,4,FALSE),"-")</f>
        <v>-</v>
      </c>
      <c r="S808" s="58" t="str">
        <f>IF(J808&lt;&gt;"",VLOOKUP(J808,'RESUMO DR'!$B$4:$E$253,3,FALSE),"-")</f>
        <v>-</v>
      </c>
      <c r="T808" s="129"/>
      <c r="U808" s="129"/>
      <c r="V808" s="129"/>
      <c r="W808" s="128"/>
      <c r="X808" s="127"/>
      <c r="Y808" s="127"/>
      <c r="Z808" s="4"/>
    </row>
    <row r="809" spans="1:26" ht="13.8">
      <c r="A809" s="5">
        <v>1876</v>
      </c>
      <c r="B809" s="21">
        <v>45671</v>
      </c>
      <c r="C809" s="21" t="s">
        <v>134</v>
      </c>
      <c r="D809" s="74" t="str">
        <f t="shared" si="268"/>
        <v>ter</v>
      </c>
      <c r="E809" s="169">
        <f>IF(K809&lt;&gt;"",VLOOKUP(K809,'Catálogo SAP'!$A$1:$F$245,2,FALSE),"-")</f>
        <v>480</v>
      </c>
      <c r="F809" s="225">
        <v>3431</v>
      </c>
      <c r="G809" s="225">
        <v>3437</v>
      </c>
      <c r="H809" s="226"/>
      <c r="I809" s="230">
        <v>91</v>
      </c>
      <c r="J809" s="162" t="str">
        <f t="shared" si="257"/>
        <v>IMPERATRIZ</v>
      </c>
      <c r="K809" s="16">
        <v>480</v>
      </c>
      <c r="L809" s="167" t="str">
        <f>IF(K809&lt;&gt;"",VLOOKUP(K809,'Catálogo SAP'!A:F,3,FALSE),"")</f>
        <v>S.VP-01465</v>
      </c>
      <c r="M809" s="162" t="str">
        <f>IF(K809&lt;&gt;"",VLOOKUP(K809,'Catálogo SAP'!A:F,4,FALSE),"")</f>
        <v>Hora Produtiva Miniescavadeira Hidraulica C/ Operador</v>
      </c>
      <c r="N809" s="168" t="str">
        <f>IF(K809&lt;&gt;"",VLOOKUP(K809,'Catálogo SAP'!A:F,5,FALSE),"")</f>
        <v>H</v>
      </c>
      <c r="O809" s="160">
        <v>6</v>
      </c>
      <c r="P809" s="70">
        <f t="shared" si="266"/>
        <v>6</v>
      </c>
      <c r="Q809" s="163" t="e">
        <f t="shared" si="258"/>
        <v>#VALUE!</v>
      </c>
      <c r="R809" s="44" t="str">
        <f>IF(J809&lt;&gt;"",VLOOKUP(J809,'RESUMO DR'!$B$4:$E$253,4,FALSE),"-")</f>
        <v>T-01</v>
      </c>
      <c r="S809" s="58" t="str">
        <f>IF(J809&lt;&gt;"",VLOOKUP(J809,'RESUMO DR'!$B$4:$E$253,3,FALSE),"-")</f>
        <v>IMPERATRIZ</v>
      </c>
      <c r="T809" s="129"/>
      <c r="U809" s="129"/>
      <c r="V809" s="129"/>
      <c r="W809" s="128"/>
      <c r="X809" s="127"/>
      <c r="Y809" s="127"/>
      <c r="Z809" s="4"/>
    </row>
    <row r="810" spans="1:26" ht="13.8">
      <c r="A810" s="5">
        <v>1876</v>
      </c>
      <c r="B810" s="21">
        <v>45671</v>
      </c>
      <c r="C810" s="21" t="s">
        <v>134</v>
      </c>
      <c r="D810" s="74" t="str">
        <f t="shared" si="268"/>
        <v>ter</v>
      </c>
      <c r="E810" s="169">
        <f>IF(K810&lt;&gt;"",VLOOKUP(K810,'Catálogo SAP'!$A$1:$F$245,2,FALSE),"-")</f>
        <v>490</v>
      </c>
      <c r="F810" s="225">
        <v>3437</v>
      </c>
      <c r="G810" s="225">
        <v>3437</v>
      </c>
      <c r="H810" s="226"/>
      <c r="I810" s="230">
        <v>91</v>
      </c>
      <c r="J810" s="162" t="str">
        <f t="shared" si="257"/>
        <v>IMPERATRIZ</v>
      </c>
      <c r="K810" s="16">
        <v>490</v>
      </c>
      <c r="L810" s="167" t="str">
        <f>IF(K810&lt;&gt;"",VLOOKUP(K810,'Catálogo SAP'!A:F,3,FALSE),"")</f>
        <v>S.VP-01466</v>
      </c>
      <c r="M810" s="162" t="str">
        <f>IF(K810&lt;&gt;"",VLOOKUP(K810,'Catálogo SAP'!A:F,4,FALSE),"")</f>
        <v>Hora Improdutiva Miniescavadeira Hidraulica C/ Operador</v>
      </c>
      <c r="N810" s="168" t="str">
        <f>IF(K810&lt;&gt;"",VLOOKUP(K810,'Catálogo SAP'!A:F,5,FALSE),"")</f>
        <v>H</v>
      </c>
      <c r="O810" s="160">
        <v>3</v>
      </c>
      <c r="P810" s="70">
        <f t="shared" si="266"/>
        <v>0</v>
      </c>
      <c r="Q810" s="163" t="e">
        <f t="shared" si="258"/>
        <v>#VALUE!</v>
      </c>
      <c r="R810" s="44" t="str">
        <f>IF(J810&lt;&gt;"",VLOOKUP(J810,'RESUMO DR'!$B$4:$E$253,4,FALSE),"-")</f>
        <v>T-01</v>
      </c>
      <c r="S810" s="58" t="str">
        <f>IF(J810&lt;&gt;"",VLOOKUP(J810,'RESUMO DR'!$B$4:$E$253,3,FALSE),"-")</f>
        <v>IMPERATRIZ</v>
      </c>
      <c r="T810" s="129"/>
      <c r="U810" s="129"/>
      <c r="V810" s="129"/>
      <c r="W810" s="128"/>
      <c r="X810" s="127"/>
      <c r="Y810" s="127"/>
      <c r="Z810" s="4"/>
    </row>
    <row r="811" spans="1:26" ht="13.8">
      <c r="A811" s="5">
        <v>1877</v>
      </c>
      <c r="B811" s="21">
        <v>45671</v>
      </c>
      <c r="C811" s="21" t="s">
        <v>315</v>
      </c>
      <c r="D811" s="74" t="str">
        <f t="shared" si="268"/>
        <v>ter</v>
      </c>
      <c r="E811" s="169">
        <f>IF(K811&lt;&gt;"",VLOOKUP(K811,'Catálogo SAP'!$A$1:$F$245,2,FALSE),"-")</f>
        <v>170</v>
      </c>
      <c r="F811" s="16">
        <v>1425</v>
      </c>
      <c r="G811" s="16">
        <v>1425</v>
      </c>
      <c r="H811" s="22"/>
      <c r="I811" s="133">
        <v>59</v>
      </c>
      <c r="J811" s="162" t="str">
        <f t="shared" si="257"/>
        <v>JOÃO LISBOA</v>
      </c>
      <c r="K811" s="16">
        <v>170</v>
      </c>
      <c r="L811" s="167" t="str">
        <f>IF(K811&lt;&gt;"",VLOOKUP(K811,'Catálogo SAP'!A:F,3,FALSE),"")</f>
        <v>S.VP-01442</v>
      </c>
      <c r="M811" s="162" t="str">
        <f>IF(K811&lt;&gt;"",VLOOKUP(K811,'Catálogo SAP'!A:F,4,FALSE),"")</f>
        <v>Hora Improdutiva Pa Carregadeira C/Operador</v>
      </c>
      <c r="N811" s="168" t="str">
        <f>IF(K811&lt;&gt;"",VLOOKUP(K811,'Catálogo SAP'!A:F,5,FALSE),"")</f>
        <v>H</v>
      </c>
      <c r="O811" s="160">
        <v>9</v>
      </c>
      <c r="P811" s="70">
        <f t="shared" si="266"/>
        <v>0</v>
      </c>
      <c r="Q811" s="163" t="e">
        <f t="shared" si="258"/>
        <v>#VALUE!</v>
      </c>
      <c r="R811" s="44" t="str">
        <f>IF(J811&lt;&gt;"",VLOOKUP(J811,'RESUMO DR'!$B$4:$E$253,4,FALSE),"-")</f>
        <v>T-01</v>
      </c>
      <c r="S811" s="58" t="str">
        <f>IF(J811&lt;&gt;"",VLOOKUP(J811,'RESUMO DR'!$B$4:$E$253,3,FALSE),"-")</f>
        <v>IMPERATRIZ</v>
      </c>
      <c r="T811" s="129"/>
      <c r="U811" s="129"/>
      <c r="V811" s="129"/>
      <c r="W811" s="128"/>
      <c r="X811" s="127"/>
      <c r="Y811" s="127"/>
      <c r="Z811" s="4"/>
    </row>
    <row r="812" spans="1:26" ht="13.8">
      <c r="A812" s="5">
        <v>1869</v>
      </c>
      <c r="B812" s="21">
        <v>45671</v>
      </c>
      <c r="C812" s="21" t="s">
        <v>306</v>
      </c>
      <c r="D812" s="74" t="str">
        <f t="shared" si="268"/>
        <v>ter</v>
      </c>
      <c r="E812" s="169">
        <f>IF(K812&lt;&gt;"",VLOOKUP(K812,'Catálogo SAP'!$A$1:$F$245,2,FALSE),"-")</f>
        <v>290</v>
      </c>
      <c r="F812" s="225">
        <v>355</v>
      </c>
      <c r="G812" s="225">
        <v>355</v>
      </c>
      <c r="H812" s="226"/>
      <c r="I812" s="230">
        <v>438</v>
      </c>
      <c r="J812" s="162" t="str">
        <f t="shared" si="257"/>
        <v>Palmeirante</v>
      </c>
      <c r="K812" s="16">
        <v>290</v>
      </c>
      <c r="L812" s="167" t="str">
        <f>IF(K812&lt;&gt;"",VLOOKUP(K812,'Catálogo SAP'!A:F,3,FALSE),"")</f>
        <v>S.VP-01454</v>
      </c>
      <c r="M812" s="162" t="str">
        <f>IF(K812&lt;&gt;"",VLOOKUP(K812,'Catálogo SAP'!A:F,4,FALSE),"")</f>
        <v>Hora Improdutiva Motoniveladora C/Operador</v>
      </c>
      <c r="N812" s="168" t="str">
        <f>IF(K812&lt;&gt;"",VLOOKUP(K812,'Catálogo SAP'!A:F,5,FALSE),"")</f>
        <v>H</v>
      </c>
      <c r="O812" s="160">
        <v>9</v>
      </c>
      <c r="P812" s="70">
        <f t="shared" si="266"/>
        <v>0</v>
      </c>
      <c r="Q812" s="163" t="e">
        <f t="shared" si="258"/>
        <v>#VALUE!</v>
      </c>
      <c r="R812" s="44" t="str">
        <f>IF(J812&lt;&gt;"",VLOOKUP(J812,'RESUMO DR'!$B$4:$E$253,4,FALSE),"-")</f>
        <v>T-02</v>
      </c>
      <c r="S812" s="58" t="str">
        <f>IF(J812&lt;&gt;"",VLOOKUP(J812,'RESUMO DR'!$B$4:$E$253,3,FALSE),"-")</f>
        <v>ARAGUAINA</v>
      </c>
      <c r="T812" s="129"/>
      <c r="U812" s="129"/>
      <c r="V812" s="129"/>
      <c r="W812" s="128"/>
      <c r="X812" s="127"/>
      <c r="Y812" s="127"/>
      <c r="Z812" s="4"/>
    </row>
    <row r="813" spans="1:26" ht="13.8">
      <c r="A813" s="5"/>
      <c r="B813" s="21">
        <v>45671</v>
      </c>
      <c r="C813" s="21" t="s">
        <v>306</v>
      </c>
      <c r="D813" s="74" t="str">
        <f t="shared" si="268"/>
        <v>ter</v>
      </c>
      <c r="E813" s="169" t="str">
        <f>IF(K813&lt;&gt;"",VLOOKUP(K813,'Catálogo SAP'!$A$1:$F$245,2,FALSE),"-")</f>
        <v>-</v>
      </c>
      <c r="F813" s="225"/>
      <c r="G813" s="16"/>
      <c r="H813" s="226"/>
      <c r="I813" s="230"/>
      <c r="J813" s="162" t="str">
        <f t="shared" si="257"/>
        <v/>
      </c>
      <c r="K813" s="16"/>
      <c r="L813" s="167" t="str">
        <f>IF(K813&lt;&gt;"",VLOOKUP(K813,'Catálogo SAP'!A:F,3,FALSE),"")</f>
        <v/>
      </c>
      <c r="M813" s="162" t="str">
        <f>IF(K813&lt;&gt;"",VLOOKUP(K813,'Catálogo SAP'!A:F,4,FALSE),"")</f>
        <v/>
      </c>
      <c r="N813" s="168" t="str">
        <f>IF(K813&lt;&gt;"",VLOOKUP(K813,'Catálogo SAP'!A:F,5,FALSE),"")</f>
        <v/>
      </c>
      <c r="O813" s="160"/>
      <c r="P813" s="70" t="str">
        <f t="shared" si="266"/>
        <v>-</v>
      </c>
      <c r="Q813" s="163" t="str">
        <f t="shared" si="258"/>
        <v>-</v>
      </c>
      <c r="R813" s="44" t="str">
        <f>IF(J813&lt;&gt;"",VLOOKUP(J813,'RESUMO DR'!$B$4:$E$253,4,FALSE),"-")</f>
        <v>-</v>
      </c>
      <c r="S813" s="58" t="str">
        <f>IF(J813&lt;&gt;"",VLOOKUP(J813,'RESUMO DR'!$B$4:$E$253,3,FALSE),"-")</f>
        <v>-</v>
      </c>
      <c r="T813" s="129"/>
      <c r="U813" s="129"/>
      <c r="V813" s="129"/>
      <c r="W813" s="128"/>
      <c r="X813" s="127"/>
      <c r="Y813" s="127"/>
      <c r="Z813" s="4"/>
    </row>
    <row r="814" spans="1:26" ht="13.8">
      <c r="A814" s="5">
        <v>1866</v>
      </c>
      <c r="B814" s="21">
        <v>45671</v>
      </c>
      <c r="C814" s="21" t="s">
        <v>310</v>
      </c>
      <c r="D814" s="74" t="str">
        <f t="shared" si="268"/>
        <v>ter</v>
      </c>
      <c r="E814" s="169">
        <f>IF(K814&lt;&gt;"",VLOOKUP(K814,'Catálogo SAP'!$A$1:$F$245,2,FALSE),"-")</f>
        <v>120</v>
      </c>
      <c r="F814" s="16">
        <v>172</v>
      </c>
      <c r="G814" s="16">
        <v>179</v>
      </c>
      <c r="H814" s="22"/>
      <c r="I814" s="133">
        <v>475</v>
      </c>
      <c r="J814" s="162" t="str">
        <f t="shared" si="257"/>
        <v>Tupiratins</v>
      </c>
      <c r="K814" s="16">
        <v>120</v>
      </c>
      <c r="L814" s="167" t="str">
        <f>IF(K814&lt;&gt;"",VLOOKUP(K814,'Catálogo SAP'!A:F,3,FALSE),"")</f>
        <v>S.VP-01437</v>
      </c>
      <c r="M814" s="162" t="str">
        <f>IF(K814&lt;&gt;"",VLOOKUP(K814,'Catálogo SAP'!A:F,4,FALSE),"")</f>
        <v>Hr Produtiva Retroescavadeira C/Operador</v>
      </c>
      <c r="N814" s="168" t="str">
        <f>IF(K814&lt;&gt;"",VLOOKUP(K814,'Catálogo SAP'!A:F,5,FALSE),"")</f>
        <v>H</v>
      </c>
      <c r="O814" s="160">
        <v>7</v>
      </c>
      <c r="P814" s="70">
        <f t="shared" si="266"/>
        <v>7</v>
      </c>
      <c r="Q814" s="163" t="e">
        <f t="shared" si="258"/>
        <v>#VALUE!</v>
      </c>
      <c r="R814" s="44" t="str">
        <f>IF(J814&lt;&gt;"",VLOOKUP(J814,'RESUMO DR'!$B$4:$E$253,4,FALSE),"-")</f>
        <v>T-03</v>
      </c>
      <c r="S814" s="58" t="str">
        <f>IF(J814&lt;&gt;"",VLOOKUP(J814,'RESUMO DR'!$B$4:$E$253,3,FALSE),"-")</f>
        <v>PALMAS</v>
      </c>
      <c r="T814" s="129"/>
      <c r="U814" s="129"/>
      <c r="V814" s="129"/>
      <c r="W814" s="128"/>
      <c r="X814" s="127"/>
      <c r="Y814" s="127"/>
      <c r="Z814" s="4"/>
    </row>
    <row r="815" spans="1:26" ht="13.8">
      <c r="A815" s="5">
        <v>1866</v>
      </c>
      <c r="B815" s="21">
        <v>45671</v>
      </c>
      <c r="C815" s="21" t="s">
        <v>310</v>
      </c>
      <c r="D815" s="74" t="str">
        <f t="shared" si="268"/>
        <v>ter</v>
      </c>
      <c r="E815" s="169">
        <f>IF(K815&lt;&gt;"",VLOOKUP(K815,'Catálogo SAP'!$A$1:$F$245,2,FALSE),"-")</f>
        <v>130</v>
      </c>
      <c r="F815" s="16">
        <v>179</v>
      </c>
      <c r="G815" s="16">
        <v>179</v>
      </c>
      <c r="H815" s="22"/>
      <c r="I815" s="133">
        <v>475</v>
      </c>
      <c r="J815" s="162" t="str">
        <f t="shared" si="257"/>
        <v>Tupiratins</v>
      </c>
      <c r="K815" s="16">
        <v>130</v>
      </c>
      <c r="L815" s="167" t="str">
        <f>IF(K815&lt;&gt;"",VLOOKUP(K815,'Catálogo SAP'!A:F,3,FALSE),"")</f>
        <v>S.VP-01438</v>
      </c>
      <c r="M815" s="162" t="str">
        <f>IF(K815&lt;&gt;"",VLOOKUP(K815,'Catálogo SAP'!A:F,4,FALSE),"")</f>
        <v>Hr Improdutiva Retroescavadeira C/Operador</v>
      </c>
      <c r="N815" s="168" t="str">
        <f>IF(K815&lt;&gt;"",VLOOKUP(K815,'Catálogo SAP'!A:F,5,FALSE),"")</f>
        <v>H</v>
      </c>
      <c r="O815" s="160">
        <v>2</v>
      </c>
      <c r="P815" s="70">
        <f t="shared" si="266"/>
        <v>0</v>
      </c>
      <c r="Q815" s="163" t="e">
        <f t="shared" si="258"/>
        <v>#VALUE!</v>
      </c>
      <c r="R815" s="44" t="str">
        <f>IF(J815&lt;&gt;"",VLOOKUP(J815,'RESUMO DR'!$B$4:$E$253,4,FALSE),"-")</f>
        <v>T-03</v>
      </c>
      <c r="S815" s="58" t="str">
        <f>IF(J815&lt;&gt;"",VLOOKUP(J815,'RESUMO DR'!$B$4:$E$253,3,FALSE),"-")</f>
        <v>PALMAS</v>
      </c>
      <c r="T815" s="129"/>
      <c r="U815" s="129"/>
      <c r="V815" s="129"/>
      <c r="W815" s="128"/>
      <c r="X815" s="127"/>
      <c r="Y815" s="127"/>
      <c r="Z815" s="4"/>
    </row>
    <row r="816" spans="1:26" ht="18" customHeight="1">
      <c r="A816" s="5"/>
      <c r="B816" s="21">
        <v>45671</v>
      </c>
      <c r="C816" s="21" t="s">
        <v>123</v>
      </c>
      <c r="D816" s="74" t="str">
        <f t="shared" si="268"/>
        <v>ter</v>
      </c>
      <c r="E816" s="169" t="str">
        <f>IF(K816&lt;&gt;"",VLOOKUP(K816,'Catálogo SAP'!$A$1:$F$245,2,FALSE),"-")</f>
        <v>-</v>
      </c>
      <c r="F816" s="225"/>
      <c r="G816" s="225"/>
      <c r="H816" s="226"/>
      <c r="I816" s="230"/>
      <c r="J816" s="162" t="str">
        <f t="shared" si="257"/>
        <v/>
      </c>
      <c r="K816" s="16"/>
      <c r="L816" s="167" t="str">
        <f>IF(K816&lt;&gt;"",VLOOKUP(K816,'Catálogo SAP'!A:F,3,FALSE),"")</f>
        <v/>
      </c>
      <c r="M816" s="162" t="str">
        <f>IF(K816&lt;&gt;"",VLOOKUP(K816,'Catálogo SAP'!A:F,4,FALSE),"")</f>
        <v/>
      </c>
      <c r="N816" s="168" t="str">
        <f>IF(K816&lt;&gt;"",VLOOKUP(K816,'Catálogo SAP'!A:F,5,FALSE),"")</f>
        <v/>
      </c>
      <c r="O816" s="160"/>
      <c r="P816" s="70" t="str">
        <f t="shared" si="266"/>
        <v>-</v>
      </c>
      <c r="Q816" s="163" t="str">
        <f t="shared" si="258"/>
        <v>-</v>
      </c>
      <c r="R816" s="44" t="str">
        <f>IF(J816&lt;&gt;"",VLOOKUP(J816,'RESUMO DR'!$B$4:$E$253,4,FALSE),"-")</f>
        <v>-</v>
      </c>
      <c r="S816" s="58" t="str">
        <f>IF(J816&lt;&gt;"",VLOOKUP(J816,'RESUMO DR'!$B$4:$E$253,3,FALSE),"-")</f>
        <v>-</v>
      </c>
      <c r="T816" s="129"/>
      <c r="U816" s="129"/>
      <c r="V816" s="129"/>
      <c r="W816" s="128"/>
      <c r="X816" s="127"/>
      <c r="Y816" s="127"/>
      <c r="Z816" s="4"/>
    </row>
    <row r="817" spans="1:26" ht="18" customHeight="1">
      <c r="A817" s="5">
        <v>1874</v>
      </c>
      <c r="B817" s="21">
        <v>45671</v>
      </c>
      <c r="C817" s="21" t="s">
        <v>314</v>
      </c>
      <c r="D817" s="74" t="str">
        <f t="shared" si="268"/>
        <v>ter</v>
      </c>
      <c r="E817" s="169">
        <f>IF(K817&lt;&gt;"",VLOOKUP(K817,'Catálogo SAP'!$A$1:$F$245,2,FALSE),"-")</f>
        <v>200</v>
      </c>
      <c r="F817" s="225">
        <v>67981</v>
      </c>
      <c r="G817" s="225">
        <v>68211</v>
      </c>
      <c r="H817" s="226"/>
      <c r="I817" s="230">
        <v>187</v>
      </c>
      <c r="J817" s="162" t="str">
        <f t="shared" si="257"/>
        <v>PORTO FRANCO</v>
      </c>
      <c r="K817" s="16">
        <v>200</v>
      </c>
      <c r="L817" s="167" t="str">
        <f>IF(K817&lt;&gt;"",VLOOKUP(K817,'Catálogo SAP'!A:F,3,FALSE),"")</f>
        <v>S.VP-01445</v>
      </c>
      <c r="M817" s="162" t="str">
        <f>IF(K817&lt;&gt;"",VLOOKUP(K817,'Catálogo SAP'!A:F,4,FALSE),"")</f>
        <v>Km Rodado Caminhão Basculante - C/Motorista</v>
      </c>
      <c r="N817" s="168" t="str">
        <f>IF(K817&lt;&gt;"",VLOOKUP(K817,'Catálogo SAP'!A:F,5,FALSE),"")</f>
        <v>KM</v>
      </c>
      <c r="O817" s="160">
        <v>230</v>
      </c>
      <c r="P817" s="70">
        <f t="shared" si="266"/>
        <v>230</v>
      </c>
      <c r="Q817" s="163" t="e">
        <f t="shared" si="258"/>
        <v>#VALUE!</v>
      </c>
      <c r="R817" s="44" t="str">
        <f>IF(J817&lt;&gt;"",VLOOKUP(J817,'RESUMO DR'!$B$4:$E$253,4,FALSE),"-")</f>
        <v>T-01</v>
      </c>
      <c r="S817" s="58" t="str">
        <f>IF(J817&lt;&gt;"",VLOOKUP(J817,'RESUMO DR'!$B$4:$E$253,3,FALSE),"-")</f>
        <v>IMPERATRIZ</v>
      </c>
      <c r="T817" s="129"/>
      <c r="U817" s="129"/>
      <c r="V817" s="129"/>
      <c r="W817" s="128"/>
      <c r="X817" s="127"/>
      <c r="Y817" s="127"/>
      <c r="Z817" s="4"/>
    </row>
    <row r="818" spans="1:26" ht="18" customHeight="1">
      <c r="A818" s="5"/>
      <c r="B818" s="21">
        <v>45671</v>
      </c>
      <c r="C818" s="21" t="s">
        <v>151</v>
      </c>
      <c r="D818" s="74" t="str">
        <f t="shared" si="268"/>
        <v>ter</v>
      </c>
      <c r="E818" s="169" t="str">
        <f>IF(K818&lt;&gt;"",VLOOKUP(K818,'Catálogo SAP'!$A$1:$F$245,2,FALSE),"-")</f>
        <v>-</v>
      </c>
      <c r="F818" s="16"/>
      <c r="G818" s="225"/>
      <c r="H818" s="22"/>
      <c r="I818" s="133"/>
      <c r="J818" s="162" t="str">
        <f t="shared" si="257"/>
        <v/>
      </c>
      <c r="K818" s="16"/>
      <c r="L818" s="167" t="str">
        <f>IF(K818&lt;&gt;"",VLOOKUP(K818,'Catálogo SAP'!A:F,3,FALSE),"")</f>
        <v/>
      </c>
      <c r="M818" s="162" t="str">
        <f>IF(K818&lt;&gt;"",VLOOKUP(K818,'Catálogo SAP'!A:F,4,FALSE),"")</f>
        <v/>
      </c>
      <c r="N818" s="168" t="str">
        <f>IF(K818&lt;&gt;"",VLOOKUP(K818,'Catálogo SAP'!A:F,5,FALSE),"")</f>
        <v/>
      </c>
      <c r="O818" s="160"/>
      <c r="P818" s="70" t="str">
        <f t="shared" si="266"/>
        <v>-</v>
      </c>
      <c r="Q818" s="163" t="str">
        <f t="shared" ref="Q818:Q820" si="269">IF(K818="","-",N818*O818)</f>
        <v>-</v>
      </c>
      <c r="R818" s="44" t="str">
        <f>IF(J818&lt;&gt;"",VLOOKUP(J818,'RESUMO DR'!$B$4:$E$253,4,FALSE),"-")</f>
        <v>-</v>
      </c>
      <c r="S818" s="58" t="str">
        <f>IF(J818&lt;&gt;"",VLOOKUP(J818,'RESUMO DR'!$B$4:$E$253,3,FALSE),"-")</f>
        <v>-</v>
      </c>
      <c r="T818" s="129"/>
      <c r="U818" s="129"/>
      <c r="V818" s="129"/>
      <c r="W818" s="128"/>
      <c r="X818" s="127"/>
      <c r="Y818" s="127"/>
      <c r="Z818" s="4"/>
    </row>
    <row r="819" spans="1:26" ht="18" customHeight="1">
      <c r="A819" s="5"/>
      <c r="B819" s="21">
        <v>45671</v>
      </c>
      <c r="C819" s="21" t="s">
        <v>152</v>
      </c>
      <c r="D819" s="74" t="str">
        <f t="shared" ref="D819" si="270">IF(B819="","-",TEXT(B819,"ddd"))</f>
        <v>ter</v>
      </c>
      <c r="E819" s="169" t="str">
        <f>IF(K819&lt;&gt;"",VLOOKUP(K819,'Catálogo SAP'!$A$1:$F$245,2,FALSE),"-")</f>
        <v>-</v>
      </c>
      <c r="F819" s="225"/>
      <c r="G819" s="225"/>
      <c r="H819" s="226"/>
      <c r="I819" s="227"/>
      <c r="J819" s="162" t="str">
        <f t="shared" si="257"/>
        <v/>
      </c>
      <c r="K819" s="225"/>
      <c r="L819" s="167" t="str">
        <f>IF(K819&lt;&gt;"",VLOOKUP(K819,'Catálogo SAP'!A:F,3,FALSE),"")</f>
        <v/>
      </c>
      <c r="M819" s="162" t="str">
        <f>IF(K819&lt;&gt;"",VLOOKUP(K819,'Catálogo SAP'!A:F,4,FALSE),"")</f>
        <v/>
      </c>
      <c r="N819" s="168" t="str">
        <f>IF(K819&lt;&gt;"",VLOOKUP(K819,'Catálogo SAP'!A:F,5,FALSE),"")</f>
        <v/>
      </c>
      <c r="O819" s="231"/>
      <c r="P819" s="70" t="str">
        <f t="shared" si="266"/>
        <v>-</v>
      </c>
      <c r="Q819" s="163" t="str">
        <f t="shared" si="269"/>
        <v>-</v>
      </c>
      <c r="R819" s="44" t="str">
        <f>IF(J819&lt;&gt;"",VLOOKUP(J819,'RESUMO DR'!$B$4:$E$253,4,FALSE),"-")</f>
        <v>-</v>
      </c>
      <c r="S819" s="58" t="str">
        <f>IF(J819&lt;&gt;"",VLOOKUP(J819,'RESUMO DR'!$B$4:$E$253,3,FALSE),"-")</f>
        <v>-</v>
      </c>
      <c r="T819" s="129"/>
      <c r="U819" s="129"/>
      <c r="V819" s="129"/>
      <c r="W819" s="128"/>
      <c r="X819" s="127"/>
      <c r="Y819" s="127"/>
      <c r="Z819" s="4"/>
    </row>
    <row r="820" spans="1:26" ht="18" customHeight="1">
      <c r="A820" s="5"/>
      <c r="B820" s="21">
        <v>45671</v>
      </c>
      <c r="C820" s="21" t="s">
        <v>152</v>
      </c>
      <c r="D820" s="74" t="str">
        <f t="shared" si="268"/>
        <v>ter</v>
      </c>
      <c r="E820" s="169" t="str">
        <f>IF(K820&lt;&gt;"",VLOOKUP(K820,'Catálogo SAP'!$A$1:$F$245,2,FALSE),"-")</f>
        <v>-</v>
      </c>
      <c r="F820" s="225"/>
      <c r="G820" s="225"/>
      <c r="H820" s="226"/>
      <c r="I820" s="230"/>
      <c r="J820" s="162" t="str">
        <f t="shared" si="257"/>
        <v/>
      </c>
      <c r="K820" s="16"/>
      <c r="L820" s="167" t="str">
        <f>IF(K820&lt;&gt;"",VLOOKUP(K820,'Catálogo SAP'!A:F,3,FALSE),"")</f>
        <v/>
      </c>
      <c r="M820" s="162" t="str">
        <f>IF(K820&lt;&gt;"",VLOOKUP(K820,'Catálogo SAP'!A:F,4,FALSE),"")</f>
        <v/>
      </c>
      <c r="N820" s="168" t="str">
        <f>IF(K820&lt;&gt;"",VLOOKUP(K820,'Catálogo SAP'!A:F,5,FALSE),"")</f>
        <v/>
      </c>
      <c r="O820" s="160"/>
      <c r="P820" s="70" t="str">
        <f t="shared" si="266"/>
        <v>-</v>
      </c>
      <c r="Q820" s="163" t="str">
        <f t="shared" si="269"/>
        <v>-</v>
      </c>
      <c r="R820" s="44" t="str">
        <f>IF(J820&lt;&gt;"",VLOOKUP(J820,'RESUMO DR'!$B$4:$E$253,4,FALSE),"-")</f>
        <v>-</v>
      </c>
      <c r="S820" s="58" t="str">
        <f>IF(J820&lt;&gt;"",VLOOKUP(J820,'RESUMO DR'!$B$4:$E$253,3,FALSE),"-")</f>
        <v>-</v>
      </c>
      <c r="T820" s="129"/>
      <c r="U820" s="129"/>
      <c r="V820" s="129"/>
      <c r="W820" s="128"/>
      <c r="X820" s="127"/>
      <c r="Y820" s="127"/>
      <c r="Z820" s="4"/>
    </row>
    <row r="821" spans="1:26" ht="18" customHeight="1">
      <c r="A821" s="5"/>
      <c r="B821" s="21"/>
      <c r="C821" s="21"/>
      <c r="D821" s="74" t="str">
        <f t="shared" si="268"/>
        <v>-</v>
      </c>
      <c r="E821" s="169" t="str">
        <f>IF(K821&lt;&gt;"",VLOOKUP(K821,'Catálogo SAP'!$A$1:$F$245,2,FALSE),"-")</f>
        <v>-</v>
      </c>
      <c r="F821" s="16"/>
      <c r="G821" s="16"/>
      <c r="H821" s="22"/>
      <c r="I821" s="133"/>
      <c r="J821" s="162" t="str">
        <f t="shared" si="257"/>
        <v/>
      </c>
      <c r="K821" s="16"/>
      <c r="L821" s="167" t="str">
        <f>IF(K821&lt;&gt;"",VLOOKUP(K821,'Catálogo SAP'!A:F,3,FALSE),"")</f>
        <v/>
      </c>
      <c r="M821" s="162" t="str">
        <f>IF(K821&lt;&gt;"",VLOOKUP(K821,'Catálogo SAP'!A:F,4,FALSE),"")</f>
        <v/>
      </c>
      <c r="N821" s="168" t="str">
        <f>IF(K821&lt;&gt;"",VLOOKUP(K821,'Catálogo SAP'!A:F,5,FALSE),"")</f>
        <v/>
      </c>
      <c r="O821" s="160"/>
      <c r="P821" s="70" t="str">
        <f t="shared" si="266"/>
        <v>-</v>
      </c>
      <c r="Q821" s="163" t="str">
        <f t="shared" ref="Q821:Q885" si="271">IF(K821="","-",N821*O821)</f>
        <v>-</v>
      </c>
      <c r="R821" s="44" t="str">
        <f>IF(J821&lt;&gt;"",VLOOKUP(J821,'RESUMO DR'!$B$4:$E$253,4,FALSE),"-")</f>
        <v>-</v>
      </c>
      <c r="S821" s="58" t="str">
        <f>IF(J821&lt;&gt;"",VLOOKUP(J821,'RESUMO DR'!$B$4:$E$253,3,FALSE),"-")</f>
        <v>-</v>
      </c>
      <c r="T821" s="129"/>
      <c r="U821" s="129"/>
      <c r="V821" s="129"/>
      <c r="W821" s="128"/>
      <c r="X821" s="127"/>
      <c r="Y821" s="127"/>
      <c r="Z821" s="4"/>
    </row>
    <row r="822" spans="1:26" ht="18" customHeight="1">
      <c r="A822" s="5"/>
      <c r="B822" s="21"/>
      <c r="C822" s="21"/>
      <c r="D822" s="74" t="str">
        <f t="shared" si="268"/>
        <v>-</v>
      </c>
      <c r="E822" s="169" t="str">
        <f>IF(K822&lt;&gt;"",VLOOKUP(K822,'Catálogo SAP'!$A$1:$F$245,2,FALSE),"-")</f>
        <v>-</v>
      </c>
      <c r="F822" s="16"/>
      <c r="G822" s="16"/>
      <c r="H822" s="22"/>
      <c r="I822" s="133"/>
      <c r="J822" s="162" t="str">
        <f t="shared" si="257"/>
        <v/>
      </c>
      <c r="K822" s="16"/>
      <c r="L822" s="167" t="str">
        <f>IF(K822&lt;&gt;"",VLOOKUP(K822,'Catálogo SAP'!A:F,3,FALSE),"")</f>
        <v/>
      </c>
      <c r="M822" s="162" t="str">
        <f>IF(K822&lt;&gt;"",VLOOKUP(K822,'Catálogo SAP'!A:F,4,FALSE),"")</f>
        <v/>
      </c>
      <c r="N822" s="168" t="str">
        <f>IF(K822&lt;&gt;"",VLOOKUP(K822,'Catálogo SAP'!A:F,5,FALSE),"")</f>
        <v/>
      </c>
      <c r="O822" s="160"/>
      <c r="P822" s="70" t="str">
        <f t="shared" si="266"/>
        <v>-</v>
      </c>
      <c r="Q822" s="163" t="str">
        <f t="shared" si="271"/>
        <v>-</v>
      </c>
      <c r="R822" s="44" t="str">
        <f>IF(J822&lt;&gt;"",VLOOKUP(J822,'RESUMO DR'!$B$4:$E$253,4,FALSE),"-")</f>
        <v>-</v>
      </c>
      <c r="S822" s="58" t="str">
        <f>IF(J822&lt;&gt;"",VLOOKUP(J822,'RESUMO DR'!$B$4:$E$253,3,FALSE),"-")</f>
        <v>-</v>
      </c>
      <c r="T822" s="129"/>
      <c r="U822" s="129"/>
      <c r="V822" s="129"/>
      <c r="W822" s="128"/>
      <c r="X822" s="127"/>
      <c r="Y822" s="127"/>
      <c r="Z822" s="4"/>
    </row>
    <row r="823" spans="1:26" ht="18" customHeight="1">
      <c r="A823" s="5">
        <v>1576</v>
      </c>
      <c r="B823" s="21">
        <v>45672</v>
      </c>
      <c r="C823" s="21" t="s">
        <v>121</v>
      </c>
      <c r="D823" s="74" t="str">
        <f t="shared" si="268"/>
        <v>qua</v>
      </c>
      <c r="E823" s="169">
        <f>IF(K823&lt;&gt;"",VLOOKUP(K823,'Catálogo SAP'!$A$1:$F$245,2,FALSE),"-")</f>
        <v>120</v>
      </c>
      <c r="F823" s="16">
        <v>8760</v>
      </c>
      <c r="G823" s="16">
        <v>8764</v>
      </c>
      <c r="H823" s="22"/>
      <c r="I823" s="133">
        <v>300</v>
      </c>
      <c r="J823" s="162" t="str">
        <f t="shared" si="257"/>
        <v>SAO LUIS</v>
      </c>
      <c r="K823" s="16">
        <v>120</v>
      </c>
      <c r="L823" s="167" t="str">
        <f>IF(K823&lt;&gt;"",VLOOKUP(K823,'Catálogo SAP'!A:F,3,FALSE),"")</f>
        <v>S.VP-01437</v>
      </c>
      <c r="M823" s="162" t="str">
        <f>IF(K823&lt;&gt;"",VLOOKUP(K823,'Catálogo SAP'!A:F,4,FALSE),"")</f>
        <v>Hr Produtiva Retroescavadeira C/Operador</v>
      </c>
      <c r="N823" s="168" t="str">
        <f>IF(K823&lt;&gt;"",VLOOKUP(K823,'Catálogo SAP'!A:F,5,FALSE),"")</f>
        <v>H</v>
      </c>
      <c r="O823" s="160">
        <v>4</v>
      </c>
      <c r="P823" s="70">
        <f t="shared" si="266"/>
        <v>4</v>
      </c>
      <c r="Q823" s="163" t="e">
        <f t="shared" si="271"/>
        <v>#VALUE!</v>
      </c>
      <c r="R823" s="44" t="str">
        <f>IF(J823&lt;&gt;"",VLOOKUP(J823,'RESUMO DR'!$B$4:$E$253,4,FALSE),"-")</f>
        <v>T-02</v>
      </c>
      <c r="S823" s="58" t="str">
        <f>IF(J823&lt;&gt;"",VLOOKUP(J823,'RESUMO DR'!$B$4:$E$253,3,FALSE),"-")</f>
        <v>ARAGUAINA</v>
      </c>
      <c r="T823" s="129"/>
      <c r="U823" s="129"/>
      <c r="V823" s="129"/>
      <c r="W823" s="128"/>
      <c r="X823" s="127"/>
      <c r="Y823" s="127"/>
      <c r="Z823" s="4"/>
    </row>
    <row r="824" spans="1:26" ht="18" customHeight="1">
      <c r="A824" s="5">
        <v>1576</v>
      </c>
      <c r="B824" s="21">
        <v>45672</v>
      </c>
      <c r="C824" s="21" t="s">
        <v>121</v>
      </c>
      <c r="D824" s="74" t="str">
        <f t="shared" si="268"/>
        <v>qua</v>
      </c>
      <c r="E824" s="169">
        <f>IF(K824&lt;&gt;"",VLOOKUP(K824,'Catálogo SAP'!$A$1:$F$245,2,FALSE),"-")</f>
        <v>130</v>
      </c>
      <c r="F824" s="16">
        <v>8764</v>
      </c>
      <c r="G824" s="16">
        <v>8764</v>
      </c>
      <c r="H824" s="22"/>
      <c r="I824" s="133">
        <v>300</v>
      </c>
      <c r="J824" s="162" t="str">
        <f t="shared" si="257"/>
        <v>SAO LUIS</v>
      </c>
      <c r="K824" s="16">
        <v>130</v>
      </c>
      <c r="L824" s="167" t="str">
        <f>IF(K824&lt;&gt;"",VLOOKUP(K824,'Catálogo SAP'!A:F,3,FALSE),"")</f>
        <v>S.VP-01438</v>
      </c>
      <c r="M824" s="162" t="str">
        <f>IF(K824&lt;&gt;"",VLOOKUP(K824,'Catálogo SAP'!A:F,4,FALSE),"")</f>
        <v>Hr Improdutiva Retroescavadeira C/Operador</v>
      </c>
      <c r="N824" s="168" t="str">
        <f>IF(K824&lt;&gt;"",VLOOKUP(K824,'Catálogo SAP'!A:F,5,FALSE),"")</f>
        <v>H</v>
      </c>
      <c r="O824" s="160">
        <v>5</v>
      </c>
      <c r="P824" s="70">
        <f t="shared" si="266"/>
        <v>0</v>
      </c>
      <c r="Q824" s="163" t="e">
        <f t="shared" si="271"/>
        <v>#VALUE!</v>
      </c>
      <c r="R824" s="44" t="str">
        <f>IF(J824&lt;&gt;"",VLOOKUP(J824,'RESUMO DR'!$B$4:$E$253,4,FALSE),"-")</f>
        <v>T-02</v>
      </c>
      <c r="S824" s="58" t="str">
        <f>IF(J824&lt;&gt;"",VLOOKUP(J824,'RESUMO DR'!$B$4:$E$253,3,FALSE),"-")</f>
        <v>ARAGUAINA</v>
      </c>
      <c r="T824" s="129"/>
      <c r="U824" s="129"/>
      <c r="V824" s="129"/>
      <c r="W824" s="128"/>
      <c r="X824" s="127"/>
      <c r="Y824" s="127"/>
      <c r="Z824" s="4"/>
    </row>
    <row r="825" spans="1:26" ht="18" customHeight="1">
      <c r="A825" s="5">
        <v>1887</v>
      </c>
      <c r="B825" s="21">
        <v>45672</v>
      </c>
      <c r="C825" s="21" t="s">
        <v>122</v>
      </c>
      <c r="D825" s="74" t="str">
        <f t="shared" si="268"/>
        <v>qua</v>
      </c>
      <c r="E825" s="169">
        <f>IF(K825&lt;&gt;"",VLOOKUP(K825,'Catálogo SAP'!$A$1:$F$245,2,FALSE),"-")</f>
        <v>120</v>
      </c>
      <c r="F825" s="225">
        <v>3929</v>
      </c>
      <c r="G825" s="225">
        <v>3938</v>
      </c>
      <c r="H825" s="226"/>
      <c r="I825" s="230">
        <v>319</v>
      </c>
      <c r="J825" s="162" t="str">
        <f t="shared" si="257"/>
        <v>BABAÇULÂNDIA</v>
      </c>
      <c r="K825" s="16">
        <v>120</v>
      </c>
      <c r="L825" s="167" t="str">
        <f>IF(K825&lt;&gt;"",VLOOKUP(K825,'Catálogo SAP'!A:F,3,FALSE),"")</f>
        <v>S.VP-01437</v>
      </c>
      <c r="M825" s="162" t="str">
        <f>IF(K825&lt;&gt;"",VLOOKUP(K825,'Catálogo SAP'!A:F,4,FALSE),"")</f>
        <v>Hr Produtiva Retroescavadeira C/Operador</v>
      </c>
      <c r="N825" s="168" t="str">
        <f>IF(K825&lt;&gt;"",VLOOKUP(K825,'Catálogo SAP'!A:F,5,FALSE),"")</f>
        <v>H</v>
      </c>
      <c r="O825" s="160">
        <v>9</v>
      </c>
      <c r="P825" s="70">
        <f t="shared" si="266"/>
        <v>9</v>
      </c>
      <c r="Q825" s="163" t="e">
        <f t="shared" si="271"/>
        <v>#VALUE!</v>
      </c>
      <c r="R825" s="44" t="str">
        <f>IF(J825&lt;&gt;"",VLOOKUP(J825,'RESUMO DR'!$B$4:$E$253,4,FALSE),"-")</f>
        <v>T-02</v>
      </c>
      <c r="S825" s="58" t="str">
        <f>IF(J825&lt;&gt;"",VLOOKUP(J825,'RESUMO DR'!$B$4:$E$253,3,FALSE),"-")</f>
        <v>ARAGUAINA</v>
      </c>
      <c r="T825" s="129"/>
      <c r="U825" s="129"/>
      <c r="V825" s="129"/>
      <c r="W825" s="128"/>
      <c r="X825" s="127"/>
      <c r="Y825" s="127"/>
      <c r="Z825" s="4"/>
    </row>
    <row r="826" spans="1:26" ht="18" customHeight="1">
      <c r="A826" s="5"/>
      <c r="B826" s="21">
        <v>45672</v>
      </c>
      <c r="C826" s="21" t="s">
        <v>123</v>
      </c>
      <c r="D826" s="74" t="str">
        <f t="shared" si="268"/>
        <v>qua</v>
      </c>
      <c r="E826" s="169" t="str">
        <f>IF(K826&lt;&gt;"",VLOOKUP(K826,'Catálogo SAP'!$A$1:$F$245,2,FALSE),"-")</f>
        <v>-</v>
      </c>
      <c r="F826" s="16"/>
      <c r="G826" s="16"/>
      <c r="H826" s="22"/>
      <c r="I826" s="133"/>
      <c r="J826" s="162" t="str">
        <f t="shared" si="257"/>
        <v/>
      </c>
      <c r="K826" s="16"/>
      <c r="L826" s="167" t="str">
        <f>IF(K826&lt;&gt;"",VLOOKUP(K826,'Catálogo SAP'!A:F,3,FALSE),"")</f>
        <v/>
      </c>
      <c r="M826" s="162" t="str">
        <f>IF(K826&lt;&gt;"",VLOOKUP(K826,'Catálogo SAP'!A:F,4,FALSE),"")</f>
        <v/>
      </c>
      <c r="N826" s="168" t="str">
        <f>IF(K826&lt;&gt;"",VLOOKUP(K826,'Catálogo SAP'!A:F,5,FALSE),"")</f>
        <v/>
      </c>
      <c r="O826" s="160"/>
      <c r="P826" s="70" t="str">
        <f t="shared" si="266"/>
        <v>-</v>
      </c>
      <c r="Q826" s="163" t="str">
        <f t="shared" si="271"/>
        <v>-</v>
      </c>
      <c r="R826" s="44" t="str">
        <f>IF(J826&lt;&gt;"",VLOOKUP(J826,'RESUMO DR'!$B$4:$E$253,4,FALSE),"-")</f>
        <v>-</v>
      </c>
      <c r="S826" s="58" t="str">
        <f>IF(J826&lt;&gt;"",VLOOKUP(J826,'RESUMO DR'!$B$4:$E$253,3,FALSE),"-")</f>
        <v>-</v>
      </c>
      <c r="T826" s="129"/>
      <c r="U826" s="129"/>
      <c r="V826" s="129"/>
      <c r="W826" s="128"/>
      <c r="X826" s="127"/>
      <c r="Y826" s="127"/>
      <c r="Z826" s="4"/>
    </row>
    <row r="827" spans="1:26" ht="18" customHeight="1">
      <c r="A827" s="5">
        <v>1883</v>
      </c>
      <c r="B827" s="21">
        <v>45672</v>
      </c>
      <c r="C827" s="21" t="s">
        <v>124</v>
      </c>
      <c r="D827" s="74" t="str">
        <f t="shared" si="268"/>
        <v>qua</v>
      </c>
      <c r="E827" s="169">
        <f>IF(K827&lt;&gt;"",VLOOKUP(K827,'Catálogo SAP'!$A$1:$F$245,2,FALSE),"-")</f>
        <v>400</v>
      </c>
      <c r="F827" s="225">
        <v>421162</v>
      </c>
      <c r="G827" s="225">
        <v>421464</v>
      </c>
      <c r="H827" s="226"/>
      <c r="I827" s="230">
        <v>147</v>
      </c>
      <c r="J827" s="162" t="str">
        <f t="shared" si="257"/>
        <v>RIBAMAR FIQUENE</v>
      </c>
      <c r="K827" s="16">
        <v>400</v>
      </c>
      <c r="L827" s="167" t="str">
        <f>IF(K827&lt;&gt;"",VLOOKUP(K827,'Catálogo SAP'!A:F,3,FALSE),"")</f>
        <v>S.VP-01461</v>
      </c>
      <c r="M827" s="162" t="str">
        <f>IF(K827&lt;&gt;"",VLOOKUP(K827,'Catálogo SAP'!A:F,4,FALSE),"")</f>
        <v>Km Rodado Carreta Prancha - C/ Motorista</v>
      </c>
      <c r="N827" s="168" t="str">
        <f>IF(K827&lt;&gt;"",VLOOKUP(K827,'Catálogo SAP'!A:F,5,FALSE),"")</f>
        <v>KM</v>
      </c>
      <c r="O827" s="160">
        <v>302</v>
      </c>
      <c r="P827" s="70">
        <f t="shared" si="266"/>
        <v>302</v>
      </c>
      <c r="Q827" s="163" t="e">
        <f t="shared" si="271"/>
        <v>#VALUE!</v>
      </c>
      <c r="R827" s="44" t="str">
        <f>IF(J827&lt;&gt;"",VLOOKUP(J827,'RESUMO DR'!$B$4:$E$253,4,FALSE),"-")</f>
        <v>T-01</v>
      </c>
      <c r="S827" s="58" t="str">
        <f>IF(J827&lt;&gt;"",VLOOKUP(J827,'RESUMO DR'!$B$4:$E$253,3,FALSE),"-")</f>
        <v>IMPERATRIZ</v>
      </c>
      <c r="T827" s="129"/>
      <c r="U827" s="129"/>
      <c r="V827" s="129"/>
      <c r="W827" s="128"/>
      <c r="X827" s="127"/>
      <c r="Y827" s="127"/>
      <c r="Z827" s="4"/>
    </row>
    <row r="828" spans="1:26" ht="18" customHeight="1">
      <c r="A828" s="5"/>
      <c r="B828" s="21">
        <v>45672</v>
      </c>
      <c r="C828" s="21" t="s">
        <v>124</v>
      </c>
      <c r="D828" s="74" t="str">
        <f t="shared" si="268"/>
        <v>qua</v>
      </c>
      <c r="E828" s="169" t="str">
        <f>IF(K828&lt;&gt;"",VLOOKUP(K828,'Catálogo SAP'!$A$1:$F$245,2,FALSE),"-")</f>
        <v>-</v>
      </c>
      <c r="F828" s="225"/>
      <c r="G828" s="225"/>
      <c r="H828" s="226"/>
      <c r="I828" s="230"/>
      <c r="J828" s="162" t="str">
        <f t="shared" si="257"/>
        <v/>
      </c>
      <c r="K828" s="16"/>
      <c r="L828" s="167" t="str">
        <f>IF(K828&lt;&gt;"",VLOOKUP(K828,'Catálogo SAP'!A:F,3,FALSE),"")</f>
        <v/>
      </c>
      <c r="M828" s="162" t="str">
        <f>IF(K828&lt;&gt;"",VLOOKUP(K828,'Catálogo SAP'!A:F,4,FALSE),"")</f>
        <v/>
      </c>
      <c r="N828" s="168" t="str">
        <f>IF(K828&lt;&gt;"",VLOOKUP(K828,'Catálogo SAP'!A:F,5,FALSE),"")</f>
        <v/>
      </c>
      <c r="O828" s="160"/>
      <c r="P828" s="70" t="str">
        <f t="shared" si="266"/>
        <v>-</v>
      </c>
      <c r="Q828" s="163" t="str">
        <f t="shared" si="271"/>
        <v>-</v>
      </c>
      <c r="R828" s="44" t="str">
        <f>IF(J828&lt;&gt;"",VLOOKUP(J828,'RESUMO DR'!$B$4:$E$253,4,FALSE),"-")</f>
        <v>-</v>
      </c>
      <c r="S828" s="58" t="str">
        <f>IF(J828&lt;&gt;"",VLOOKUP(J828,'RESUMO DR'!$B$4:$E$253,3,FALSE),"-")</f>
        <v>-</v>
      </c>
      <c r="T828" s="129"/>
      <c r="U828" s="129"/>
      <c r="V828" s="129"/>
      <c r="W828" s="128"/>
      <c r="X828" s="127"/>
      <c r="Y828" s="127"/>
      <c r="Z828" s="4"/>
    </row>
    <row r="829" spans="1:26" ht="18" customHeight="1">
      <c r="A829" s="5">
        <v>1883</v>
      </c>
      <c r="B829" s="21">
        <v>45672</v>
      </c>
      <c r="C829" s="21" t="s">
        <v>307</v>
      </c>
      <c r="D829" s="74" t="str">
        <f t="shared" si="268"/>
        <v>qua</v>
      </c>
      <c r="E829" s="169">
        <f>IF(K829&lt;&gt;"",VLOOKUP(K829,'Catálogo SAP'!$A$1:$F$245,2,FALSE),"-")</f>
        <v>200</v>
      </c>
      <c r="F829" s="16">
        <v>68955</v>
      </c>
      <c r="G829" s="16">
        <v>69302</v>
      </c>
      <c r="H829" s="22"/>
      <c r="I829" s="133">
        <v>134</v>
      </c>
      <c r="J829" s="162" t="str">
        <f t="shared" si="257"/>
        <v>RIBAMAR FIQUENE</v>
      </c>
      <c r="K829" s="16">
        <v>200</v>
      </c>
      <c r="L829" s="167" t="str">
        <f>IF(K829&lt;&gt;"",VLOOKUP(K829,'Catálogo SAP'!A:F,3,FALSE),"")</f>
        <v>S.VP-01445</v>
      </c>
      <c r="M829" s="162" t="str">
        <f>IF(K829&lt;&gt;"",VLOOKUP(K829,'Catálogo SAP'!A:F,4,FALSE),"")</f>
        <v>Km Rodado Caminhão Basculante - C/Motorista</v>
      </c>
      <c r="N829" s="168" t="str">
        <f>IF(K829&lt;&gt;"",VLOOKUP(K829,'Catálogo SAP'!A:F,5,FALSE),"")</f>
        <v>KM</v>
      </c>
      <c r="O829" s="160">
        <v>347</v>
      </c>
      <c r="P829" s="70">
        <f t="shared" si="266"/>
        <v>347</v>
      </c>
      <c r="Q829" s="163" t="e">
        <f t="shared" si="271"/>
        <v>#VALUE!</v>
      </c>
      <c r="R829" s="44" t="str">
        <f>IF(J829&lt;&gt;"",VLOOKUP(J829,'RESUMO DR'!$B$4:$E$253,4,FALSE),"-")</f>
        <v>T-01</v>
      </c>
      <c r="S829" s="58" t="str">
        <f>IF(J829&lt;&gt;"",VLOOKUP(J829,'RESUMO DR'!$B$4:$E$253,3,FALSE),"-")</f>
        <v>IMPERATRIZ</v>
      </c>
      <c r="T829" s="129"/>
      <c r="U829" s="129"/>
      <c r="V829" s="129"/>
      <c r="W829" s="128"/>
      <c r="X829" s="127"/>
      <c r="Y829" s="127"/>
      <c r="Z829" s="4"/>
    </row>
    <row r="830" spans="1:26" ht="18" customHeight="1">
      <c r="A830" s="5">
        <v>1883</v>
      </c>
      <c r="B830" s="21">
        <v>45672</v>
      </c>
      <c r="C830" s="21" t="s">
        <v>308</v>
      </c>
      <c r="D830" s="74" t="str">
        <f t="shared" si="268"/>
        <v>qua</v>
      </c>
      <c r="E830" s="169">
        <f>IF(K830&lt;&gt;"",VLOOKUP(K830,'Catálogo SAP'!$A$1:$F$245,2,FALSE),"-")</f>
        <v>200</v>
      </c>
      <c r="F830" s="16">
        <v>68245</v>
      </c>
      <c r="G830" s="16">
        <v>68563</v>
      </c>
      <c r="H830" s="22"/>
      <c r="I830" s="133">
        <v>134</v>
      </c>
      <c r="J830" s="162" t="str">
        <f t="shared" si="257"/>
        <v>RIBAMAR FIQUENE</v>
      </c>
      <c r="K830" s="16">
        <v>200</v>
      </c>
      <c r="L830" s="167" t="str">
        <f>IF(K830&lt;&gt;"",VLOOKUP(K830,'Catálogo SAP'!A:F,3,FALSE),"")</f>
        <v>S.VP-01445</v>
      </c>
      <c r="M830" s="162" t="str">
        <f>IF(K830&lt;&gt;"",VLOOKUP(K830,'Catálogo SAP'!A:F,4,FALSE),"")</f>
        <v>Km Rodado Caminhão Basculante - C/Motorista</v>
      </c>
      <c r="N830" s="168" t="str">
        <f>IF(K830&lt;&gt;"",VLOOKUP(K830,'Catálogo SAP'!A:F,5,FALSE),"")</f>
        <v>KM</v>
      </c>
      <c r="O830" s="160">
        <v>318</v>
      </c>
      <c r="P830" s="70">
        <f t="shared" si="266"/>
        <v>318</v>
      </c>
      <c r="Q830" s="163" t="e">
        <f t="shared" si="271"/>
        <v>#VALUE!</v>
      </c>
      <c r="R830" s="44" t="str">
        <f>IF(J830&lt;&gt;"",VLOOKUP(J830,'RESUMO DR'!$B$4:$E$253,4,FALSE),"-")</f>
        <v>T-01</v>
      </c>
      <c r="S830" s="58" t="str">
        <f>IF(J830&lt;&gt;"",VLOOKUP(J830,'RESUMO DR'!$B$4:$E$253,3,FALSE),"-")</f>
        <v>IMPERATRIZ</v>
      </c>
      <c r="T830" s="129"/>
      <c r="U830" s="129"/>
      <c r="V830" s="129"/>
      <c r="W830" s="128"/>
      <c r="X830" s="127"/>
      <c r="Y830" s="127"/>
      <c r="Z830" s="4"/>
    </row>
    <row r="831" spans="1:26" ht="18" customHeight="1">
      <c r="A831" s="5">
        <v>1885</v>
      </c>
      <c r="B831" s="21">
        <v>45672</v>
      </c>
      <c r="C831" s="21" t="s">
        <v>127</v>
      </c>
      <c r="D831" s="74" t="str">
        <f t="shared" si="268"/>
        <v>qua</v>
      </c>
      <c r="E831" s="169">
        <f>IF(K831&lt;&gt;"",VLOOKUP(K831,'Catálogo SAP'!$A$1:$F$245,2,FALSE),"-")</f>
        <v>200</v>
      </c>
      <c r="F831" s="16">
        <v>50550</v>
      </c>
      <c r="G831" s="16">
        <v>50600</v>
      </c>
      <c r="H831" s="22"/>
      <c r="I831" s="133">
        <v>216</v>
      </c>
      <c r="J831" s="162" t="str">
        <f t="shared" si="257"/>
        <v>AGUIARNÓPOLIS</v>
      </c>
      <c r="K831" s="16">
        <v>200</v>
      </c>
      <c r="L831" s="167" t="str">
        <f>IF(K831&lt;&gt;"",VLOOKUP(K831,'Catálogo SAP'!A:F,3,FALSE),"")</f>
        <v>S.VP-01445</v>
      </c>
      <c r="M831" s="162" t="str">
        <f>IF(K831&lt;&gt;"",VLOOKUP(K831,'Catálogo SAP'!A:F,4,FALSE),"")</f>
        <v>Km Rodado Caminhão Basculante - C/Motorista</v>
      </c>
      <c r="N831" s="168" t="str">
        <f>IF(K831&lt;&gt;"",VLOOKUP(K831,'Catálogo SAP'!A:F,5,FALSE),"")</f>
        <v>KM</v>
      </c>
      <c r="O831" s="160">
        <v>50</v>
      </c>
      <c r="P831" s="70">
        <f t="shared" si="266"/>
        <v>50</v>
      </c>
      <c r="Q831" s="163" t="e">
        <f t="shared" si="271"/>
        <v>#VALUE!</v>
      </c>
      <c r="R831" s="44" t="str">
        <f>IF(J831&lt;&gt;"",VLOOKUP(J831,'RESUMO DR'!$B$4:$E$253,4,FALSE),"-")</f>
        <v>T-02</v>
      </c>
      <c r="S831" s="58" t="str">
        <f>IF(J831&lt;&gt;"",VLOOKUP(J831,'RESUMO DR'!$B$4:$E$253,3,FALSE),"-")</f>
        <v>ARAGUAINA</v>
      </c>
      <c r="T831" s="129"/>
      <c r="U831" s="129"/>
      <c r="V831" s="129"/>
      <c r="W831" s="128"/>
      <c r="X831" s="127"/>
      <c r="Y831" s="127"/>
      <c r="Z831" s="4"/>
    </row>
    <row r="832" spans="1:26" ht="18" customHeight="1">
      <c r="A832" s="5">
        <v>1882</v>
      </c>
      <c r="B832" s="21">
        <v>45672</v>
      </c>
      <c r="C832" s="21" t="s">
        <v>313</v>
      </c>
      <c r="D832" s="74" t="str">
        <f t="shared" si="268"/>
        <v>qua</v>
      </c>
      <c r="E832" s="169">
        <f>IF(K832&lt;&gt;"",VLOOKUP(K832,'Catálogo SAP'!$A$1:$F$245,2,FALSE),"-")</f>
        <v>200</v>
      </c>
      <c r="F832" s="225">
        <v>64098</v>
      </c>
      <c r="G832" s="225">
        <v>64341</v>
      </c>
      <c r="H832" s="226"/>
      <c r="I832" s="230">
        <v>187</v>
      </c>
      <c r="J832" s="162" t="str">
        <f t="shared" si="257"/>
        <v>PORTO FRANCO</v>
      </c>
      <c r="K832" s="16">
        <v>200</v>
      </c>
      <c r="L832" s="167" t="str">
        <f>IF(K832&lt;&gt;"",VLOOKUP(K832,'Catálogo SAP'!A:F,3,FALSE),"")</f>
        <v>S.VP-01445</v>
      </c>
      <c r="M832" s="162" t="str">
        <f>IF(K832&lt;&gt;"",VLOOKUP(K832,'Catálogo SAP'!A:F,4,FALSE),"")</f>
        <v>Km Rodado Caminhão Basculante - C/Motorista</v>
      </c>
      <c r="N832" s="168" t="str">
        <f>IF(K832&lt;&gt;"",VLOOKUP(K832,'Catálogo SAP'!A:F,5,FALSE),"")</f>
        <v>KM</v>
      </c>
      <c r="O832" s="160">
        <v>243</v>
      </c>
      <c r="P832" s="70">
        <f t="shared" si="266"/>
        <v>243</v>
      </c>
      <c r="Q832" s="163" t="e">
        <f t="shared" si="271"/>
        <v>#VALUE!</v>
      </c>
      <c r="R832" s="44" t="str">
        <f>IF(J832&lt;&gt;"",VLOOKUP(J832,'RESUMO DR'!$B$4:$E$253,4,FALSE),"-")</f>
        <v>T-01</v>
      </c>
      <c r="S832" s="58" t="str">
        <f>IF(J832&lt;&gt;"",VLOOKUP(J832,'RESUMO DR'!$B$4:$E$253,3,FALSE),"-")</f>
        <v>IMPERATRIZ</v>
      </c>
      <c r="T832" s="129"/>
      <c r="U832" s="129"/>
      <c r="V832" s="129"/>
      <c r="W832" s="128"/>
      <c r="X832" s="127"/>
      <c r="Y832" s="127"/>
      <c r="Z832" s="4"/>
    </row>
    <row r="833" spans="1:26" ht="18" customHeight="1">
      <c r="A833" s="5">
        <v>1888</v>
      </c>
      <c r="B833" s="21">
        <v>45672</v>
      </c>
      <c r="C833" s="21" t="s">
        <v>312</v>
      </c>
      <c r="D833" s="74" t="str">
        <f t="shared" si="268"/>
        <v>qua</v>
      </c>
      <c r="E833" s="169">
        <f>IF(K833&lt;&gt;"",VLOOKUP(K833,'Catálogo SAP'!$A$1:$F$245,2,FALSE),"-")</f>
        <v>200</v>
      </c>
      <c r="F833" s="16">
        <v>76840</v>
      </c>
      <c r="G833" s="16">
        <v>77225</v>
      </c>
      <c r="H833" s="22"/>
      <c r="I833" s="133">
        <v>318</v>
      </c>
      <c r="J833" s="162" t="str">
        <f t="shared" si="257"/>
        <v>BABAÇULÂNDIA</v>
      </c>
      <c r="K833" s="16">
        <v>200</v>
      </c>
      <c r="L833" s="167" t="str">
        <f>IF(K833&lt;&gt;"",VLOOKUP(K833,'Catálogo SAP'!A:F,3,FALSE),"")</f>
        <v>S.VP-01445</v>
      </c>
      <c r="M833" s="162" t="str">
        <f>IF(K833&lt;&gt;"",VLOOKUP(K833,'Catálogo SAP'!A:F,4,FALSE),"")</f>
        <v>Km Rodado Caminhão Basculante - C/Motorista</v>
      </c>
      <c r="N833" s="168" t="str">
        <f>IF(K833&lt;&gt;"",VLOOKUP(K833,'Catálogo SAP'!A:F,5,FALSE),"")</f>
        <v>KM</v>
      </c>
      <c r="O833" s="160">
        <v>385</v>
      </c>
      <c r="P833" s="70">
        <f t="shared" si="266"/>
        <v>385</v>
      </c>
      <c r="Q833" s="163" t="e">
        <f t="shared" si="271"/>
        <v>#VALUE!</v>
      </c>
      <c r="R833" s="44" t="str">
        <f>IF(J833&lt;&gt;"",VLOOKUP(J833,'RESUMO DR'!$B$4:$E$253,4,FALSE),"-")</f>
        <v>T-02</v>
      </c>
      <c r="S833" s="58" t="str">
        <f>IF(J833&lt;&gt;"",VLOOKUP(J833,'RESUMO DR'!$B$4:$E$253,3,FALSE),"-")</f>
        <v>ARAGUAINA</v>
      </c>
      <c r="T833" s="129"/>
      <c r="U833" s="129"/>
      <c r="V833" s="129"/>
      <c r="W833" s="128"/>
      <c r="X833" s="127"/>
      <c r="Y833" s="127"/>
      <c r="Z833" s="4"/>
    </row>
    <row r="834" spans="1:26" ht="18" customHeight="1">
      <c r="A834" s="5">
        <v>1886</v>
      </c>
      <c r="B834" s="21">
        <v>45672</v>
      </c>
      <c r="C834" s="21" t="s">
        <v>129</v>
      </c>
      <c r="D834" s="74" t="str">
        <f t="shared" si="268"/>
        <v>qua</v>
      </c>
      <c r="E834" s="169">
        <f>IF(K834&lt;&gt;"",VLOOKUP(K834,'Catálogo SAP'!$A$1:$F$245,2,FALSE),"-")</f>
        <v>210</v>
      </c>
      <c r="F834" s="225">
        <v>8172</v>
      </c>
      <c r="G834" s="225">
        <v>8172</v>
      </c>
      <c r="H834" s="226"/>
      <c r="I834" s="230">
        <v>438</v>
      </c>
      <c r="J834" s="162" t="str">
        <f t="shared" si="257"/>
        <v>Palmeirante</v>
      </c>
      <c r="K834" s="16">
        <v>210</v>
      </c>
      <c r="L834" s="167" t="str">
        <f>IF(K834&lt;&gt;"",VLOOKUP(K834,'Catálogo SAP'!A:F,3,FALSE),"")</f>
        <v>S.VP-01446</v>
      </c>
      <c r="M834" s="162" t="str">
        <f>IF(K834&lt;&gt;"",VLOOKUP(K834,'Catálogo SAP'!A:F,4,FALSE),"")</f>
        <v>Hora Improdutiva Basculante - C/Motorista</v>
      </c>
      <c r="N834" s="168" t="str">
        <f>IF(K834&lt;&gt;"",VLOOKUP(K834,'Catálogo SAP'!A:F,5,FALSE),"")</f>
        <v>H</v>
      </c>
      <c r="O834" s="160">
        <v>9</v>
      </c>
      <c r="P834" s="70">
        <f t="shared" si="266"/>
        <v>0</v>
      </c>
      <c r="Q834" s="163" t="e">
        <f t="shared" si="271"/>
        <v>#VALUE!</v>
      </c>
      <c r="R834" s="44" t="str">
        <f>IF(J834&lt;&gt;"",VLOOKUP(J834,'RESUMO DR'!$B$4:$E$253,4,FALSE),"-")</f>
        <v>T-02</v>
      </c>
      <c r="S834" s="58" t="str">
        <f>IF(J834&lt;&gt;"",VLOOKUP(J834,'RESUMO DR'!$B$4:$E$253,3,FALSE),"-")</f>
        <v>ARAGUAINA</v>
      </c>
      <c r="T834" s="129"/>
      <c r="U834" s="129"/>
      <c r="V834" s="129"/>
      <c r="W834" s="128"/>
      <c r="X834" s="127"/>
      <c r="Y834" s="127"/>
      <c r="Z834" s="4"/>
    </row>
    <row r="835" spans="1:26" ht="18" customHeight="1">
      <c r="A835" s="5">
        <v>1882</v>
      </c>
      <c r="B835" s="21">
        <v>45672</v>
      </c>
      <c r="C835" s="21" t="s">
        <v>298</v>
      </c>
      <c r="D835" s="74" t="str">
        <f t="shared" si="268"/>
        <v>qua</v>
      </c>
      <c r="E835" s="169">
        <f>IF(K835&lt;&gt;"",VLOOKUP(K835,'Catálogo SAP'!$A$1:$F$245,2,FALSE),"-")</f>
        <v>160</v>
      </c>
      <c r="F835" s="16">
        <v>591</v>
      </c>
      <c r="G835" s="16">
        <v>600</v>
      </c>
      <c r="H835" s="22"/>
      <c r="I835" s="133">
        <v>187</v>
      </c>
      <c r="J835" s="162" t="str">
        <f t="shared" ref="J835:J894" si="272">IF(AND(I835&gt;=0.001,I835&lt;=16),"AÇAILÂNDIA","")&amp;IF(AND(I835&gt;=16.001,I835&lt;=44),"S.F. BREJÃO","")&amp;IF(AND(I835&gt;=44.001,I835&lt;=78),"JOÃO LISBOA","")&amp;IF(AND(I835&gt;=78.001,I835&lt;=96.397),"IMPERATRIZ","")&amp;IF(AND(I835&gt;=96.398,I835&lt;=122.82),"EDSON LOBÃO","")&amp;IF(AND(I835&gt;=122.821,I835&lt;=152.303),"RIBAMAR FIQUENE","")&amp;IF(AND(I835&gt;=152.304,I835&lt;=172.403),"CAMPESTRE","")&amp;IF(AND(I835&gt;=172.404,I835&lt;=195),"PORTO FRANCO","")&amp;IF(AND(I835&gt;=300,I835&lt;=300),"SAO LUIS","")&amp;IF(AND(I835&gt;=385.4,I835&lt;=465.4),"Palmeirante","")&amp;IF(AND(I835&gt;=465.401,I835&lt;=520.455),"Tupiratins","")&amp;IF(AND(I835&gt;=520.456,I835&lt;=536.741),"Guaraí","")&amp;IF(AND(I835&gt;=536.742,I835&lt;=580.293),"Tupirama","")&amp;IF(AND(I835&gt;=580.294,I835&lt;=608.637),"Rio dos Bois","")&amp;IF(AND(I835&gt;=608.638,I835&lt;=698.981),"Miracema","")&amp;IF(AND(I835&gt;=698.982,I835&lt;=735.6),"Porto Nacional","")&amp;IF(AND(I835&gt;=195.1,I835&lt;=213.603),"ESTREITO","")&amp;IF(AND(I835&gt;=213.604,I835&lt;=218.976),"AGUIARNÓPOLIS","")&amp;IF(AND(I835&gt;=218.977,I835&lt;=253.5),"PALMEIRAS DO TOCANTINS","")&amp;IF(AND(I835&gt;=253.501,I835&lt;=274.15),"DARCINÓPOLIS","")&amp;IF(AND(I835&gt;=274.151,I835&lt;=299.999),"BABAÇULÂNDIA","")&amp;IF(AND(I835&gt;=356.62,I835&lt;=385.4),"ARAGUAÍNA","")&amp;IF(AND(I835&gt;=300.001,I835&lt;=356.619),"BABAÇULÂNDIA","")&amp;IF(AND(I835&gt;=900,I835&lt;=902),"ENG. VLI","")</f>
        <v>PORTO FRANCO</v>
      </c>
      <c r="K835" s="16">
        <v>160</v>
      </c>
      <c r="L835" s="167" t="str">
        <f>IF(K835&lt;&gt;"",VLOOKUP(K835,'Catálogo SAP'!A:F,3,FALSE),"")</f>
        <v>S.VP-01441</v>
      </c>
      <c r="M835" s="162" t="str">
        <f>IF(K835&lt;&gt;"",VLOOKUP(K835,'Catálogo SAP'!A:F,4,FALSE),"")</f>
        <v>Hora Produtiva Pa Carregadeira C/Operador</v>
      </c>
      <c r="N835" s="168" t="str">
        <f>IF(K835&lt;&gt;"",VLOOKUP(K835,'Catálogo SAP'!A:F,5,FALSE),"")</f>
        <v>H</v>
      </c>
      <c r="O835" s="160">
        <v>9</v>
      </c>
      <c r="P835" s="70">
        <f t="shared" si="266"/>
        <v>9</v>
      </c>
      <c r="Q835" s="163" t="e">
        <f t="shared" si="271"/>
        <v>#VALUE!</v>
      </c>
      <c r="R835" s="44" t="str">
        <f>IF(J835&lt;&gt;"",VLOOKUP(J835,'RESUMO DR'!$B$4:$E$253,4,FALSE),"-")</f>
        <v>T-01</v>
      </c>
      <c r="S835" s="58" t="str">
        <f>IF(J835&lt;&gt;"",VLOOKUP(J835,'RESUMO DR'!$B$4:$E$253,3,FALSE),"-")</f>
        <v>IMPERATRIZ</v>
      </c>
      <c r="T835" s="129"/>
      <c r="U835" s="129"/>
      <c r="V835" s="129"/>
      <c r="W835" s="128"/>
      <c r="X835" s="127"/>
      <c r="Y835" s="127"/>
      <c r="Z835" s="4"/>
    </row>
    <row r="836" spans="1:26" ht="18" customHeight="1">
      <c r="A836" s="5"/>
      <c r="B836" s="21">
        <v>45672</v>
      </c>
      <c r="C836" s="21" t="s">
        <v>298</v>
      </c>
      <c r="D836" s="74" t="str">
        <f t="shared" si="268"/>
        <v>qua</v>
      </c>
      <c r="E836" s="169" t="str">
        <f>IF(K836&lt;&gt;"",VLOOKUP(K836,'Catálogo SAP'!$A$1:$F$245,2,FALSE),"-")</f>
        <v>-</v>
      </c>
      <c r="F836" s="225"/>
      <c r="G836" s="16"/>
      <c r="H836" s="226"/>
      <c r="I836" s="230"/>
      <c r="J836" s="162" t="str">
        <f t="shared" si="272"/>
        <v/>
      </c>
      <c r="K836" s="16"/>
      <c r="L836" s="167" t="str">
        <f>IF(K836&lt;&gt;"",VLOOKUP(K836,'Catálogo SAP'!A:F,3,FALSE),"")</f>
        <v/>
      </c>
      <c r="M836" s="162" t="str">
        <f>IF(K836&lt;&gt;"",VLOOKUP(K836,'Catálogo SAP'!A:F,4,FALSE),"")</f>
        <v/>
      </c>
      <c r="N836" s="168" t="str">
        <f>IF(K836&lt;&gt;"",VLOOKUP(K836,'Catálogo SAP'!A:F,5,FALSE),"")</f>
        <v/>
      </c>
      <c r="O836" s="160"/>
      <c r="P836" s="70" t="str">
        <f t="shared" si="266"/>
        <v>-</v>
      </c>
      <c r="Q836" s="163" t="str">
        <f t="shared" si="271"/>
        <v>-</v>
      </c>
      <c r="R836" s="44" t="str">
        <f>IF(J836&lt;&gt;"",VLOOKUP(J836,'RESUMO DR'!$B$4:$E$253,4,FALSE),"-")</f>
        <v>-</v>
      </c>
      <c r="S836" s="58" t="str">
        <f>IF(J836&lt;&gt;"",VLOOKUP(J836,'RESUMO DR'!$B$4:$E$253,3,FALSE),"-")</f>
        <v>-</v>
      </c>
      <c r="T836" s="129"/>
      <c r="U836" s="129"/>
      <c r="V836" s="129"/>
      <c r="W836" s="128"/>
      <c r="X836" s="127"/>
      <c r="Y836" s="127"/>
      <c r="Z836" s="4"/>
    </row>
    <row r="837" spans="1:26" ht="18" customHeight="1">
      <c r="A837" s="5">
        <v>1882</v>
      </c>
      <c r="B837" s="21">
        <v>45672</v>
      </c>
      <c r="C837" s="21" t="s">
        <v>131</v>
      </c>
      <c r="D837" s="74" t="str">
        <f t="shared" si="268"/>
        <v>qua</v>
      </c>
      <c r="E837" s="169">
        <f>IF(K837&lt;&gt;"",VLOOKUP(K837,'Catálogo SAP'!$A$1:$F$245,2,FALSE),"-")</f>
        <v>520</v>
      </c>
      <c r="F837" s="16">
        <v>10678</v>
      </c>
      <c r="G837" s="16">
        <v>10686</v>
      </c>
      <c r="H837" s="22"/>
      <c r="I837" s="133">
        <v>195</v>
      </c>
      <c r="J837" s="162" t="str">
        <f t="shared" si="272"/>
        <v>PORTO FRANCO</v>
      </c>
      <c r="K837" s="16">
        <v>520</v>
      </c>
      <c r="L837" s="167" t="str">
        <f>IF(K837&lt;&gt;"",VLOOKUP(K837,'Catálogo SAP'!A:F,3,FALSE),"")</f>
        <v>S.VP-01469</v>
      </c>
      <c r="M837" s="162" t="str">
        <f>IF(K837&lt;&gt;"",VLOOKUP(K837,'Catálogo SAP'!A:F,4,FALSE),"")</f>
        <v>Hora Produtiva Escavadeira Hidraulica</v>
      </c>
      <c r="N837" s="168" t="str">
        <f>IF(K837&lt;&gt;"",VLOOKUP(K837,'Catálogo SAP'!A:F,5,FALSE),"")</f>
        <v>H</v>
      </c>
      <c r="O837" s="160">
        <v>8</v>
      </c>
      <c r="P837" s="70">
        <f t="shared" si="266"/>
        <v>8</v>
      </c>
      <c r="Q837" s="163" t="e">
        <f t="shared" si="271"/>
        <v>#VALUE!</v>
      </c>
      <c r="R837" s="44" t="str">
        <f>IF(J837&lt;&gt;"",VLOOKUP(J837,'RESUMO DR'!$B$4:$E$253,4,FALSE),"-")</f>
        <v>T-01</v>
      </c>
      <c r="S837" s="58" t="str">
        <f>IF(J837&lt;&gt;"",VLOOKUP(J837,'RESUMO DR'!$B$4:$E$253,3,FALSE),"-")</f>
        <v>IMPERATRIZ</v>
      </c>
      <c r="T837" s="129"/>
      <c r="U837" s="129"/>
      <c r="V837" s="129"/>
      <c r="W837" s="128"/>
      <c r="X837" s="127"/>
      <c r="Y837" s="127"/>
      <c r="Z837" s="4"/>
    </row>
    <row r="838" spans="1:26" ht="18" customHeight="1">
      <c r="A838" s="5">
        <v>1882</v>
      </c>
      <c r="B838" s="21">
        <v>45672</v>
      </c>
      <c r="C838" s="21" t="s">
        <v>131</v>
      </c>
      <c r="D838" s="74" t="str">
        <f t="shared" si="268"/>
        <v>qua</v>
      </c>
      <c r="E838" s="169">
        <f>IF(K838&lt;&gt;"",VLOOKUP(K838,'Catálogo SAP'!$A$1:$F$245,2,FALSE),"-")</f>
        <v>530</v>
      </c>
      <c r="F838" s="16">
        <v>10686</v>
      </c>
      <c r="G838" s="16">
        <v>10686</v>
      </c>
      <c r="H838" s="22"/>
      <c r="I838" s="133">
        <v>195</v>
      </c>
      <c r="J838" s="162" t="str">
        <f t="shared" si="272"/>
        <v>PORTO FRANCO</v>
      </c>
      <c r="K838" s="16">
        <v>530</v>
      </c>
      <c r="L838" s="167" t="str">
        <f>IF(K838&lt;&gt;"",VLOOKUP(K838,'Catálogo SAP'!A:F,3,FALSE),"")</f>
        <v>S.VP-01470</v>
      </c>
      <c r="M838" s="162" t="str">
        <f>IF(K838&lt;&gt;"",VLOOKUP(K838,'Catálogo SAP'!A:F,4,FALSE),"")</f>
        <v>Hora Improdutiva Escavadeira Hidraulica</v>
      </c>
      <c r="N838" s="168" t="str">
        <f>IF(K838&lt;&gt;"",VLOOKUP(K838,'Catálogo SAP'!A:F,5,FALSE),"")</f>
        <v>H</v>
      </c>
      <c r="O838" s="160">
        <v>1</v>
      </c>
      <c r="P838" s="70">
        <f t="shared" ref="P838:P901" si="273">IF(G838="","-",G838-F838)</f>
        <v>0</v>
      </c>
      <c r="Q838" s="163" t="e">
        <f t="shared" si="271"/>
        <v>#VALUE!</v>
      </c>
      <c r="R838" s="44" t="str">
        <f>IF(J838&lt;&gt;"",VLOOKUP(J838,'RESUMO DR'!$B$4:$E$253,4,FALSE),"-")</f>
        <v>T-01</v>
      </c>
      <c r="S838" s="58" t="str">
        <f>IF(J838&lt;&gt;"",VLOOKUP(J838,'RESUMO DR'!$B$4:$E$253,3,FALSE),"-")</f>
        <v>IMPERATRIZ</v>
      </c>
      <c r="T838" s="129"/>
      <c r="U838" s="129"/>
      <c r="V838" s="129"/>
      <c r="W838" s="128"/>
      <c r="X838" s="127"/>
      <c r="Y838" s="127"/>
      <c r="Z838" s="4"/>
    </row>
    <row r="839" spans="1:26" ht="18" customHeight="1">
      <c r="A839" s="5">
        <v>1885</v>
      </c>
      <c r="B839" s="21">
        <v>45672</v>
      </c>
      <c r="C839" s="21" t="s">
        <v>311</v>
      </c>
      <c r="D839" s="74" t="str">
        <f t="shared" si="268"/>
        <v>qua</v>
      </c>
      <c r="E839" s="169">
        <f>IF(K839&lt;&gt;"",VLOOKUP(K839,'Catálogo SAP'!$A$1:$F$245,2,FALSE),"-")</f>
        <v>120</v>
      </c>
      <c r="F839" s="16">
        <v>1225</v>
      </c>
      <c r="G839" s="16">
        <v>1234</v>
      </c>
      <c r="H839" s="22"/>
      <c r="I839" s="133">
        <v>216</v>
      </c>
      <c r="J839" s="162" t="str">
        <f t="shared" si="272"/>
        <v>AGUIARNÓPOLIS</v>
      </c>
      <c r="K839" s="16">
        <v>120</v>
      </c>
      <c r="L839" s="167" t="str">
        <f>IF(K839&lt;&gt;"",VLOOKUP(K839,'Catálogo SAP'!A:F,3,FALSE),"")</f>
        <v>S.VP-01437</v>
      </c>
      <c r="M839" s="162" t="str">
        <f>IF(K839&lt;&gt;"",VLOOKUP(K839,'Catálogo SAP'!A:F,4,FALSE),"")</f>
        <v>Hr Produtiva Retroescavadeira C/Operador</v>
      </c>
      <c r="N839" s="168" t="str">
        <f>IF(K839&lt;&gt;"",VLOOKUP(K839,'Catálogo SAP'!A:F,5,FALSE),"")</f>
        <v>H</v>
      </c>
      <c r="O839" s="160">
        <v>9</v>
      </c>
      <c r="P839" s="70">
        <f t="shared" si="273"/>
        <v>9</v>
      </c>
      <c r="Q839" s="163" t="e">
        <f t="shared" si="271"/>
        <v>#VALUE!</v>
      </c>
      <c r="R839" s="44" t="str">
        <f>IF(J839&lt;&gt;"",VLOOKUP(J839,'RESUMO DR'!$B$4:$E$253,4,FALSE),"-")</f>
        <v>T-02</v>
      </c>
      <c r="S839" s="58" t="str">
        <f>IF(J839&lt;&gt;"",VLOOKUP(J839,'RESUMO DR'!$B$4:$E$253,3,FALSE),"-")</f>
        <v>ARAGUAINA</v>
      </c>
      <c r="T839" s="129"/>
      <c r="U839" s="129"/>
      <c r="V839" s="129"/>
      <c r="W839" s="128"/>
      <c r="X839" s="127"/>
      <c r="Y839" s="127"/>
      <c r="Z839" s="4"/>
    </row>
    <row r="840" spans="1:26" ht="18" customHeight="1">
      <c r="A840" s="5"/>
      <c r="B840" s="21">
        <v>45672</v>
      </c>
      <c r="C840" s="21" t="s">
        <v>311</v>
      </c>
      <c r="D840" s="74" t="str">
        <f t="shared" si="268"/>
        <v>qua</v>
      </c>
      <c r="E840" s="169" t="str">
        <f>IF(K840&lt;&gt;"",VLOOKUP(K840,'Catálogo SAP'!$A$1:$F$245,2,FALSE),"-")</f>
        <v>-</v>
      </c>
      <c r="F840" s="16"/>
      <c r="G840" s="16"/>
      <c r="H840" s="22"/>
      <c r="I840" s="133"/>
      <c r="J840" s="162" t="str">
        <f t="shared" si="272"/>
        <v/>
      </c>
      <c r="K840" s="16"/>
      <c r="L840" s="167" t="str">
        <f>IF(K840&lt;&gt;"",VLOOKUP(K840,'Catálogo SAP'!A:F,3,FALSE),"")</f>
        <v/>
      </c>
      <c r="M840" s="162" t="str">
        <f>IF(K840&lt;&gt;"",VLOOKUP(K840,'Catálogo SAP'!A:F,4,FALSE),"")</f>
        <v/>
      </c>
      <c r="N840" s="168" t="str">
        <f>IF(K840&lt;&gt;"",VLOOKUP(K840,'Catálogo SAP'!A:F,5,FALSE),"")</f>
        <v/>
      </c>
      <c r="O840" s="160"/>
      <c r="P840" s="70" t="str">
        <f t="shared" si="273"/>
        <v>-</v>
      </c>
      <c r="Q840" s="163" t="str">
        <f t="shared" si="271"/>
        <v>-</v>
      </c>
      <c r="R840" s="44" t="str">
        <f>IF(J840&lt;&gt;"",VLOOKUP(J840,'RESUMO DR'!$B$4:$E$253,4,FALSE),"-")</f>
        <v>-</v>
      </c>
      <c r="S840" s="58" t="str">
        <f>IF(J840&lt;&gt;"",VLOOKUP(J840,'RESUMO DR'!$B$4:$E$253,3,FALSE),"-")</f>
        <v>-</v>
      </c>
      <c r="T840" s="129"/>
      <c r="U840" s="129"/>
      <c r="V840" s="129"/>
      <c r="W840" s="128"/>
      <c r="X840" s="127"/>
      <c r="Y840" s="127"/>
      <c r="Z840" s="4"/>
    </row>
    <row r="841" spans="1:26" ht="18" customHeight="1">
      <c r="A841" s="5">
        <v>1885</v>
      </c>
      <c r="B841" s="21">
        <v>45672</v>
      </c>
      <c r="C841" s="21" t="s">
        <v>305</v>
      </c>
      <c r="D841" s="74" t="str">
        <f t="shared" si="268"/>
        <v>qua</v>
      </c>
      <c r="E841" s="169">
        <f>IF(K841&lt;&gt;"",VLOOKUP(K841,'Catálogo SAP'!$A$1:$F$245,2,FALSE),"-")</f>
        <v>280</v>
      </c>
      <c r="F841" s="225">
        <v>260</v>
      </c>
      <c r="G841" s="225">
        <v>269</v>
      </c>
      <c r="H841" s="226"/>
      <c r="I841" s="230">
        <v>216</v>
      </c>
      <c r="J841" s="162" t="str">
        <f t="shared" si="272"/>
        <v>AGUIARNÓPOLIS</v>
      </c>
      <c r="K841" s="16">
        <v>280</v>
      </c>
      <c r="L841" s="167" t="str">
        <f>IF(K841&lt;&gt;"",VLOOKUP(K841,'Catálogo SAP'!A:F,3,FALSE),"")</f>
        <v>S.VP-01453</v>
      </c>
      <c r="M841" s="162" t="str">
        <f>IF(K841&lt;&gt;"",VLOOKUP(K841,'Catálogo SAP'!A:F,4,FALSE),"")</f>
        <v>Hora Produtiva Motoniveladora C/Operador</v>
      </c>
      <c r="N841" s="168" t="str">
        <f>IF(K841&lt;&gt;"",VLOOKUP(K841,'Catálogo SAP'!A:F,5,FALSE),"")</f>
        <v>H</v>
      </c>
      <c r="O841" s="160">
        <v>9</v>
      </c>
      <c r="P841" s="70">
        <f t="shared" si="273"/>
        <v>9</v>
      </c>
      <c r="Q841" s="163" t="e">
        <f t="shared" si="271"/>
        <v>#VALUE!</v>
      </c>
      <c r="R841" s="44" t="str">
        <f>IF(J841&lt;&gt;"",VLOOKUP(J841,'RESUMO DR'!$B$4:$E$253,4,FALSE),"-")</f>
        <v>T-02</v>
      </c>
      <c r="S841" s="58" t="str">
        <f>IF(J841&lt;&gt;"",VLOOKUP(J841,'RESUMO DR'!$B$4:$E$253,3,FALSE),"-")</f>
        <v>ARAGUAINA</v>
      </c>
      <c r="T841" s="129"/>
      <c r="U841" s="129"/>
      <c r="V841" s="129"/>
      <c r="W841" s="128"/>
      <c r="X841" s="127"/>
      <c r="Y841" s="127"/>
      <c r="Z841" s="4"/>
    </row>
    <row r="842" spans="1:26" ht="18" customHeight="1">
      <c r="A842" s="5"/>
      <c r="B842" s="21">
        <v>45672</v>
      </c>
      <c r="C842" s="21" t="s">
        <v>305</v>
      </c>
      <c r="D842" s="74" t="str">
        <f t="shared" si="268"/>
        <v>qua</v>
      </c>
      <c r="E842" s="169" t="str">
        <f>IF(K842&lt;&gt;"",VLOOKUP(K842,'Catálogo SAP'!$A$1:$F$245,2,FALSE),"-")</f>
        <v>-</v>
      </c>
      <c r="F842" s="16"/>
      <c r="G842" s="16"/>
      <c r="H842" s="22"/>
      <c r="I842" s="133"/>
      <c r="J842" s="162" t="str">
        <f t="shared" si="272"/>
        <v/>
      </c>
      <c r="K842" s="16"/>
      <c r="L842" s="167" t="str">
        <f>IF(K842&lt;&gt;"",VLOOKUP(K842,'Catálogo SAP'!A:F,3,FALSE),"")</f>
        <v/>
      </c>
      <c r="M842" s="162" t="str">
        <f>IF(K842&lt;&gt;"",VLOOKUP(K842,'Catálogo SAP'!A:F,4,FALSE),"")</f>
        <v/>
      </c>
      <c r="N842" s="168" t="str">
        <f>IF(K842&lt;&gt;"",VLOOKUP(K842,'Catálogo SAP'!A:F,5,FALSE),"")</f>
        <v/>
      </c>
      <c r="O842" s="160"/>
      <c r="P842" s="70" t="str">
        <f t="shared" si="273"/>
        <v>-</v>
      </c>
      <c r="Q842" s="163" t="str">
        <f t="shared" si="271"/>
        <v>-</v>
      </c>
      <c r="R842" s="44" t="str">
        <f>IF(J842&lt;&gt;"",VLOOKUP(J842,'RESUMO DR'!$B$4:$E$253,4,FALSE),"-")</f>
        <v>-</v>
      </c>
      <c r="S842" s="58" t="str">
        <f>IF(J842&lt;&gt;"",VLOOKUP(J842,'RESUMO DR'!$B$4:$E$253,3,FALSE),"-")</f>
        <v>-</v>
      </c>
      <c r="T842" s="129"/>
      <c r="U842" s="129"/>
      <c r="V842" s="129"/>
      <c r="W842" s="128"/>
      <c r="X842" s="127"/>
      <c r="Y842" s="127"/>
      <c r="Z842" s="4"/>
    </row>
    <row r="843" spans="1:26" ht="18" customHeight="1">
      <c r="A843" s="5">
        <v>1880</v>
      </c>
      <c r="B843" s="21">
        <v>45672</v>
      </c>
      <c r="C843" s="21" t="s">
        <v>300</v>
      </c>
      <c r="D843" s="74" t="str">
        <f t="shared" si="268"/>
        <v>qua</v>
      </c>
      <c r="E843" s="169">
        <f>IF(K843&lt;&gt;"",VLOOKUP(K843,'Catálogo SAP'!$A$1:$F$245,2,FALSE),"-")</f>
        <v>160</v>
      </c>
      <c r="F843" s="225">
        <v>153</v>
      </c>
      <c r="G843" s="225">
        <v>158</v>
      </c>
      <c r="H843" s="226"/>
      <c r="I843" s="230">
        <v>563</v>
      </c>
      <c r="J843" s="162" t="str">
        <f t="shared" si="272"/>
        <v>Tupirama</v>
      </c>
      <c r="K843" s="16">
        <v>160</v>
      </c>
      <c r="L843" s="167" t="str">
        <f>IF(K843&lt;&gt;"",VLOOKUP(K843,'Catálogo SAP'!A:F,3,FALSE),"")</f>
        <v>S.VP-01441</v>
      </c>
      <c r="M843" s="162" t="str">
        <f>IF(K843&lt;&gt;"",VLOOKUP(K843,'Catálogo SAP'!A:F,4,FALSE),"")</f>
        <v>Hora Produtiva Pa Carregadeira C/Operador</v>
      </c>
      <c r="N843" s="168" t="str">
        <f>IF(K843&lt;&gt;"",VLOOKUP(K843,'Catálogo SAP'!A:F,5,FALSE),"")</f>
        <v>H</v>
      </c>
      <c r="O843" s="160">
        <v>5</v>
      </c>
      <c r="P843" s="70">
        <f t="shared" si="273"/>
        <v>5</v>
      </c>
      <c r="Q843" s="163" t="e">
        <f t="shared" si="271"/>
        <v>#VALUE!</v>
      </c>
      <c r="R843" s="44" t="str">
        <f>IF(J843&lt;&gt;"",VLOOKUP(J843,'RESUMO DR'!$B$4:$E$253,4,FALSE),"-")</f>
        <v>T-03</v>
      </c>
      <c r="S843" s="58" t="str">
        <f>IF(J843&lt;&gt;"",VLOOKUP(J843,'RESUMO DR'!$B$4:$E$253,3,FALSE),"-")</f>
        <v>PALMAS</v>
      </c>
      <c r="T843" s="129"/>
      <c r="U843" s="129"/>
      <c r="V843" s="129"/>
      <c r="W843" s="128"/>
      <c r="X843" s="127"/>
      <c r="Y843" s="127"/>
      <c r="Z843" s="4"/>
    </row>
    <row r="844" spans="1:26" ht="18" customHeight="1">
      <c r="A844" s="5">
        <v>1880</v>
      </c>
      <c r="B844" s="21">
        <v>45672</v>
      </c>
      <c r="C844" s="21" t="s">
        <v>300</v>
      </c>
      <c r="D844" s="74" t="str">
        <f t="shared" si="268"/>
        <v>qua</v>
      </c>
      <c r="E844" s="169">
        <f>IF(K844&lt;&gt;"",VLOOKUP(K844,'Catálogo SAP'!$A$1:$F$245,2,FALSE),"-")</f>
        <v>170</v>
      </c>
      <c r="F844" s="225">
        <v>158</v>
      </c>
      <c r="G844" s="225">
        <v>158</v>
      </c>
      <c r="H844" s="226"/>
      <c r="I844" s="230">
        <v>563</v>
      </c>
      <c r="J844" s="162" t="str">
        <f t="shared" si="272"/>
        <v>Tupirama</v>
      </c>
      <c r="K844" s="16">
        <v>170</v>
      </c>
      <c r="L844" s="167" t="str">
        <f>IF(K844&lt;&gt;"",VLOOKUP(K844,'Catálogo SAP'!A:F,3,FALSE),"")</f>
        <v>S.VP-01442</v>
      </c>
      <c r="M844" s="162" t="str">
        <f>IF(K844&lt;&gt;"",VLOOKUP(K844,'Catálogo SAP'!A:F,4,FALSE),"")</f>
        <v>Hora Improdutiva Pa Carregadeira C/Operador</v>
      </c>
      <c r="N844" s="168" t="str">
        <f>IF(K844&lt;&gt;"",VLOOKUP(K844,'Catálogo SAP'!A:F,5,FALSE),"")</f>
        <v>H</v>
      </c>
      <c r="O844" s="160">
        <v>4</v>
      </c>
      <c r="P844" s="70">
        <f t="shared" si="273"/>
        <v>0</v>
      </c>
      <c r="Q844" s="163" t="e">
        <f t="shared" si="271"/>
        <v>#VALUE!</v>
      </c>
      <c r="R844" s="44" t="str">
        <f>IF(J844&lt;&gt;"",VLOOKUP(J844,'RESUMO DR'!$B$4:$E$253,4,FALSE),"-")</f>
        <v>T-03</v>
      </c>
      <c r="S844" s="58" t="str">
        <f>IF(J844&lt;&gt;"",VLOOKUP(J844,'RESUMO DR'!$B$4:$E$253,3,FALSE),"-")</f>
        <v>PALMAS</v>
      </c>
      <c r="T844" s="129"/>
      <c r="U844" s="129"/>
      <c r="V844" s="129"/>
      <c r="W844" s="128"/>
      <c r="X844" s="127"/>
      <c r="Y844" s="127"/>
      <c r="Z844" s="4"/>
    </row>
    <row r="845" spans="1:26" ht="18" customHeight="1">
      <c r="A845" s="5">
        <v>1884</v>
      </c>
      <c r="B845" s="21">
        <v>45672</v>
      </c>
      <c r="C845" s="21" t="s">
        <v>134</v>
      </c>
      <c r="D845" s="74" t="str">
        <f t="shared" si="268"/>
        <v>qua</v>
      </c>
      <c r="E845" s="169">
        <f>IF(K845&lt;&gt;"",VLOOKUP(K845,'Catálogo SAP'!$A$1:$F$245,2,FALSE),"-")</f>
        <v>480</v>
      </c>
      <c r="F845" s="16">
        <v>3437</v>
      </c>
      <c r="G845" s="225">
        <v>3444</v>
      </c>
      <c r="H845" s="22"/>
      <c r="I845" s="133">
        <v>91</v>
      </c>
      <c r="J845" s="162" t="str">
        <f t="shared" si="272"/>
        <v>IMPERATRIZ</v>
      </c>
      <c r="K845" s="16">
        <v>480</v>
      </c>
      <c r="L845" s="167" t="str">
        <f>IF(K845&lt;&gt;"",VLOOKUP(K845,'Catálogo SAP'!A:F,3,FALSE),"")</f>
        <v>S.VP-01465</v>
      </c>
      <c r="M845" s="162" t="str">
        <f>IF(K845&lt;&gt;"",VLOOKUP(K845,'Catálogo SAP'!A:F,4,FALSE),"")</f>
        <v>Hora Produtiva Miniescavadeira Hidraulica C/ Operador</v>
      </c>
      <c r="N845" s="168" t="str">
        <f>IF(K845&lt;&gt;"",VLOOKUP(K845,'Catálogo SAP'!A:F,5,FALSE),"")</f>
        <v>H</v>
      </c>
      <c r="O845" s="160">
        <v>7</v>
      </c>
      <c r="P845" s="70">
        <f t="shared" si="273"/>
        <v>7</v>
      </c>
      <c r="Q845" s="163" t="e">
        <f t="shared" si="271"/>
        <v>#VALUE!</v>
      </c>
      <c r="R845" s="44" t="str">
        <f>IF(J845&lt;&gt;"",VLOOKUP(J845,'RESUMO DR'!$B$4:$E$253,4,FALSE),"-")</f>
        <v>T-01</v>
      </c>
      <c r="S845" s="58" t="str">
        <f>IF(J845&lt;&gt;"",VLOOKUP(J845,'RESUMO DR'!$B$4:$E$253,3,FALSE),"-")</f>
        <v>IMPERATRIZ</v>
      </c>
      <c r="T845" s="129"/>
      <c r="U845" s="129"/>
      <c r="V845" s="129"/>
      <c r="W845" s="128"/>
      <c r="X845" s="127"/>
      <c r="Y845" s="127"/>
      <c r="Z845" s="4"/>
    </row>
    <row r="846" spans="1:26" ht="18" customHeight="1">
      <c r="A846" s="5">
        <v>1884</v>
      </c>
      <c r="B846" s="21">
        <v>45672</v>
      </c>
      <c r="C846" s="21" t="s">
        <v>134</v>
      </c>
      <c r="D846" s="74" t="str">
        <f t="shared" si="268"/>
        <v>qua</v>
      </c>
      <c r="E846" s="169">
        <f>IF(K846&lt;&gt;"",VLOOKUP(K846,'Catálogo SAP'!$A$1:$F$245,2,FALSE),"-")</f>
        <v>490</v>
      </c>
      <c r="F846" s="225">
        <v>3444</v>
      </c>
      <c r="G846" s="225">
        <v>3444</v>
      </c>
      <c r="H846" s="226"/>
      <c r="I846" s="230">
        <v>91</v>
      </c>
      <c r="J846" s="162" t="str">
        <f t="shared" si="272"/>
        <v>IMPERATRIZ</v>
      </c>
      <c r="K846" s="16">
        <v>490</v>
      </c>
      <c r="L846" s="167" t="str">
        <f>IF(K846&lt;&gt;"",VLOOKUP(K846,'Catálogo SAP'!A:F,3,FALSE),"")</f>
        <v>S.VP-01466</v>
      </c>
      <c r="M846" s="162" t="str">
        <f>IF(K846&lt;&gt;"",VLOOKUP(K846,'Catálogo SAP'!A:F,4,FALSE),"")</f>
        <v>Hora Improdutiva Miniescavadeira Hidraulica C/ Operador</v>
      </c>
      <c r="N846" s="168" t="str">
        <f>IF(K846&lt;&gt;"",VLOOKUP(K846,'Catálogo SAP'!A:F,5,FALSE),"")</f>
        <v>H</v>
      </c>
      <c r="O846" s="160">
        <v>2</v>
      </c>
      <c r="P846" s="70">
        <f t="shared" si="273"/>
        <v>0</v>
      </c>
      <c r="Q846" s="163" t="e">
        <f t="shared" si="271"/>
        <v>#VALUE!</v>
      </c>
      <c r="R846" s="44" t="str">
        <f>IF(J846&lt;&gt;"",VLOOKUP(J846,'RESUMO DR'!$B$4:$E$253,4,FALSE),"-")</f>
        <v>T-01</v>
      </c>
      <c r="S846" s="58" t="str">
        <f>IF(J846&lt;&gt;"",VLOOKUP(J846,'RESUMO DR'!$B$4:$E$253,3,FALSE),"-")</f>
        <v>IMPERATRIZ</v>
      </c>
      <c r="T846" s="129"/>
      <c r="U846" s="129"/>
      <c r="V846" s="129"/>
      <c r="W846" s="128"/>
      <c r="X846" s="127"/>
      <c r="Y846" s="127"/>
      <c r="Z846" s="4"/>
    </row>
    <row r="847" spans="1:26" ht="18" customHeight="1">
      <c r="A847" s="5">
        <v>1883</v>
      </c>
      <c r="B847" s="21">
        <v>45672</v>
      </c>
      <c r="C847" s="21" t="s">
        <v>315</v>
      </c>
      <c r="D847" s="74" t="str">
        <f t="shared" si="268"/>
        <v>qua</v>
      </c>
      <c r="E847" s="169">
        <f>IF(K847&lt;&gt;"",VLOOKUP(K847,'Catálogo SAP'!$A$1:$F$245,2,FALSE),"-")</f>
        <v>170</v>
      </c>
      <c r="F847" s="16">
        <v>1425</v>
      </c>
      <c r="G847" s="16">
        <v>1425</v>
      </c>
      <c r="H847" s="22"/>
      <c r="I847" s="133">
        <v>147</v>
      </c>
      <c r="J847" s="162" t="str">
        <f t="shared" si="272"/>
        <v>RIBAMAR FIQUENE</v>
      </c>
      <c r="K847" s="16">
        <v>170</v>
      </c>
      <c r="L847" s="167" t="str">
        <f>IF(K847&lt;&gt;"",VLOOKUP(K847,'Catálogo SAP'!A:F,3,FALSE),"")</f>
        <v>S.VP-01442</v>
      </c>
      <c r="M847" s="162" t="str">
        <f>IF(K847&lt;&gt;"",VLOOKUP(K847,'Catálogo SAP'!A:F,4,FALSE),"")</f>
        <v>Hora Improdutiva Pa Carregadeira C/Operador</v>
      </c>
      <c r="N847" s="168" t="str">
        <f>IF(K847&lt;&gt;"",VLOOKUP(K847,'Catálogo SAP'!A:F,5,FALSE),"")</f>
        <v>H</v>
      </c>
      <c r="O847" s="160">
        <v>9</v>
      </c>
      <c r="P847" s="70">
        <f t="shared" si="273"/>
        <v>0</v>
      </c>
      <c r="Q847" s="163" t="e">
        <f t="shared" si="271"/>
        <v>#VALUE!</v>
      </c>
      <c r="R847" s="44" t="str">
        <f>IF(J847&lt;&gt;"",VLOOKUP(J847,'RESUMO DR'!$B$4:$E$253,4,FALSE),"-")</f>
        <v>T-01</v>
      </c>
      <c r="S847" s="58" t="str">
        <f>IF(J847&lt;&gt;"",VLOOKUP(J847,'RESUMO DR'!$B$4:$E$253,3,FALSE),"-")</f>
        <v>IMPERATRIZ</v>
      </c>
      <c r="T847" s="129"/>
      <c r="U847" s="129"/>
      <c r="V847" s="129"/>
      <c r="W847" s="128"/>
      <c r="X847" s="127"/>
      <c r="Y847" s="127"/>
      <c r="Z847" s="4"/>
    </row>
    <row r="848" spans="1:26" ht="18" customHeight="1">
      <c r="A848" s="5">
        <v>1886</v>
      </c>
      <c r="B848" s="21">
        <v>45672</v>
      </c>
      <c r="C848" s="21" t="s">
        <v>306</v>
      </c>
      <c r="D848" s="74" t="str">
        <f t="shared" si="268"/>
        <v>qua</v>
      </c>
      <c r="E848" s="169">
        <f>IF(K848&lt;&gt;"",VLOOKUP(K848,'Catálogo SAP'!$A$1:$F$245,2,FALSE),"-")</f>
        <v>290</v>
      </c>
      <c r="F848" s="16">
        <v>355</v>
      </c>
      <c r="G848" s="16">
        <v>355</v>
      </c>
      <c r="H848" s="22"/>
      <c r="I848" s="133">
        <v>438</v>
      </c>
      <c r="J848" s="162" t="str">
        <f t="shared" si="272"/>
        <v>Palmeirante</v>
      </c>
      <c r="K848" s="16">
        <v>290</v>
      </c>
      <c r="L848" s="167" t="str">
        <f>IF(K848&lt;&gt;"",VLOOKUP(K848,'Catálogo SAP'!A:F,3,FALSE),"")</f>
        <v>S.VP-01454</v>
      </c>
      <c r="M848" s="162" t="str">
        <f>IF(K848&lt;&gt;"",VLOOKUP(K848,'Catálogo SAP'!A:F,4,FALSE),"")</f>
        <v>Hora Improdutiva Motoniveladora C/Operador</v>
      </c>
      <c r="N848" s="168" t="str">
        <f>IF(K848&lt;&gt;"",VLOOKUP(K848,'Catálogo SAP'!A:F,5,FALSE),"")</f>
        <v>H</v>
      </c>
      <c r="O848" s="160">
        <v>9</v>
      </c>
      <c r="P848" s="70">
        <f t="shared" si="273"/>
        <v>0</v>
      </c>
      <c r="Q848" s="163" t="e">
        <f t="shared" si="271"/>
        <v>#VALUE!</v>
      </c>
      <c r="R848" s="44" t="str">
        <f>IF(J848&lt;&gt;"",VLOOKUP(J848,'RESUMO DR'!$B$4:$E$253,4,FALSE),"-")</f>
        <v>T-02</v>
      </c>
      <c r="S848" s="58" t="str">
        <f>IF(J848&lt;&gt;"",VLOOKUP(J848,'RESUMO DR'!$B$4:$E$253,3,FALSE),"-")</f>
        <v>ARAGUAINA</v>
      </c>
      <c r="T848" s="129"/>
      <c r="U848" s="129"/>
      <c r="V848" s="129"/>
      <c r="W848" s="128"/>
      <c r="X848" s="127"/>
      <c r="Y848" s="127"/>
      <c r="Z848" s="4"/>
    </row>
    <row r="849" spans="1:26" ht="18" customHeight="1">
      <c r="A849" s="5"/>
      <c r="B849" s="21">
        <v>45672</v>
      </c>
      <c r="C849" s="21" t="s">
        <v>306</v>
      </c>
      <c r="D849" s="74" t="str">
        <f t="shared" si="268"/>
        <v>qua</v>
      </c>
      <c r="E849" s="169" t="str">
        <f>IF(K849&lt;&gt;"",VLOOKUP(K849,'Catálogo SAP'!$A$1:$F$245,2,FALSE),"-")</f>
        <v>-</v>
      </c>
      <c r="F849" s="16"/>
      <c r="G849" s="16"/>
      <c r="H849" s="22"/>
      <c r="I849" s="133"/>
      <c r="J849" s="162" t="str">
        <f t="shared" si="272"/>
        <v/>
      </c>
      <c r="K849" s="16"/>
      <c r="L849" s="167" t="str">
        <f>IF(K849&lt;&gt;"",VLOOKUP(K849,'Catálogo SAP'!A:F,3,FALSE),"")</f>
        <v/>
      </c>
      <c r="M849" s="162" t="str">
        <f>IF(K849&lt;&gt;"",VLOOKUP(K849,'Catálogo SAP'!A:F,4,FALSE),"")</f>
        <v/>
      </c>
      <c r="N849" s="168" t="str">
        <f>IF(K849&lt;&gt;"",VLOOKUP(K849,'Catálogo SAP'!A:F,5,FALSE),"")</f>
        <v/>
      </c>
      <c r="O849" s="160"/>
      <c r="P849" s="70" t="str">
        <f t="shared" si="273"/>
        <v>-</v>
      </c>
      <c r="Q849" s="163" t="str">
        <f t="shared" si="271"/>
        <v>-</v>
      </c>
      <c r="R849" s="44" t="str">
        <f>IF(J849&lt;&gt;"",VLOOKUP(J849,'RESUMO DR'!$B$4:$E$253,4,FALSE),"-")</f>
        <v>-</v>
      </c>
      <c r="S849" s="58" t="str">
        <f>IF(J849&lt;&gt;"",VLOOKUP(J849,'RESUMO DR'!$B$4:$E$253,3,FALSE),"-")</f>
        <v>-</v>
      </c>
      <c r="T849" s="129"/>
      <c r="U849" s="129"/>
      <c r="V849" s="129"/>
      <c r="W849" s="128"/>
      <c r="X849" s="127"/>
      <c r="Y849" s="127"/>
      <c r="Z849" s="4"/>
    </row>
    <row r="850" spans="1:26" ht="18" customHeight="1">
      <c r="A850" s="5">
        <v>1881</v>
      </c>
      <c r="B850" s="21">
        <v>45672</v>
      </c>
      <c r="C850" s="21" t="s">
        <v>310</v>
      </c>
      <c r="D850" s="74" t="str">
        <f t="shared" si="268"/>
        <v>qua</v>
      </c>
      <c r="E850" s="169">
        <f>IF(K850&lt;&gt;"",VLOOKUP(K850,'Catálogo SAP'!$A$1:$F$245,2,FALSE),"-")</f>
        <v>120</v>
      </c>
      <c r="F850" s="16">
        <v>179</v>
      </c>
      <c r="G850" s="16">
        <v>186</v>
      </c>
      <c r="H850" s="22"/>
      <c r="I850" s="133">
        <v>500</v>
      </c>
      <c r="J850" s="162" t="str">
        <f t="shared" si="272"/>
        <v>Tupiratins</v>
      </c>
      <c r="K850" s="16">
        <v>120</v>
      </c>
      <c r="L850" s="167" t="str">
        <f>IF(K850&lt;&gt;"",VLOOKUP(K850,'Catálogo SAP'!A:F,3,FALSE),"")</f>
        <v>S.VP-01437</v>
      </c>
      <c r="M850" s="162" t="str">
        <f>IF(K850&lt;&gt;"",VLOOKUP(K850,'Catálogo SAP'!A:F,4,FALSE),"")</f>
        <v>Hr Produtiva Retroescavadeira C/Operador</v>
      </c>
      <c r="N850" s="168" t="str">
        <f>IF(K850&lt;&gt;"",VLOOKUP(K850,'Catálogo SAP'!A:F,5,FALSE),"")</f>
        <v>H</v>
      </c>
      <c r="O850" s="160">
        <v>7</v>
      </c>
      <c r="P850" s="70">
        <f t="shared" si="273"/>
        <v>7</v>
      </c>
      <c r="Q850" s="163" t="e">
        <f t="shared" si="271"/>
        <v>#VALUE!</v>
      </c>
      <c r="R850" s="44" t="str">
        <f>IF(J850&lt;&gt;"",VLOOKUP(J850,'RESUMO DR'!$B$4:$E$253,4,FALSE),"-")</f>
        <v>T-03</v>
      </c>
      <c r="S850" s="58" t="str">
        <f>IF(J850&lt;&gt;"",VLOOKUP(J850,'RESUMO DR'!$B$4:$E$253,3,FALSE),"-")</f>
        <v>PALMAS</v>
      </c>
      <c r="T850" s="129"/>
      <c r="U850" s="129"/>
      <c r="V850" s="129"/>
      <c r="W850" s="128"/>
      <c r="X850" s="127"/>
      <c r="Y850" s="127"/>
      <c r="Z850" s="4"/>
    </row>
    <row r="851" spans="1:26" ht="18" customHeight="1">
      <c r="A851" s="5">
        <v>1881</v>
      </c>
      <c r="B851" s="21">
        <v>45672</v>
      </c>
      <c r="C851" s="21" t="s">
        <v>310</v>
      </c>
      <c r="D851" s="74" t="str">
        <f t="shared" si="268"/>
        <v>qua</v>
      </c>
      <c r="E851" s="169">
        <f>IF(K851&lt;&gt;"",VLOOKUP(K851,'Catálogo SAP'!$A$1:$F$245,2,FALSE),"-")</f>
        <v>130</v>
      </c>
      <c r="F851" s="16">
        <v>186</v>
      </c>
      <c r="G851" s="16">
        <v>186</v>
      </c>
      <c r="H851" s="22"/>
      <c r="I851" s="133">
        <v>500</v>
      </c>
      <c r="J851" s="162" t="str">
        <f t="shared" si="272"/>
        <v>Tupiratins</v>
      </c>
      <c r="K851" s="16">
        <v>130</v>
      </c>
      <c r="L851" s="167" t="str">
        <f>IF(K851&lt;&gt;"",VLOOKUP(K851,'Catálogo SAP'!A:F,3,FALSE),"")</f>
        <v>S.VP-01438</v>
      </c>
      <c r="M851" s="162" t="str">
        <f>IF(K851&lt;&gt;"",VLOOKUP(K851,'Catálogo SAP'!A:F,4,FALSE),"")</f>
        <v>Hr Improdutiva Retroescavadeira C/Operador</v>
      </c>
      <c r="N851" s="168" t="str">
        <f>IF(K851&lt;&gt;"",VLOOKUP(K851,'Catálogo SAP'!A:F,5,FALSE),"")</f>
        <v>H</v>
      </c>
      <c r="O851" s="160">
        <v>2</v>
      </c>
      <c r="P851" s="70">
        <f t="shared" si="273"/>
        <v>0</v>
      </c>
      <c r="Q851" s="163" t="e">
        <f t="shared" si="271"/>
        <v>#VALUE!</v>
      </c>
      <c r="R851" s="44" t="str">
        <f>IF(J851&lt;&gt;"",VLOOKUP(J851,'RESUMO DR'!$B$4:$E$253,4,FALSE),"-")</f>
        <v>T-03</v>
      </c>
      <c r="S851" s="58" t="str">
        <f>IF(J851&lt;&gt;"",VLOOKUP(J851,'RESUMO DR'!$B$4:$E$253,3,FALSE),"-")</f>
        <v>PALMAS</v>
      </c>
      <c r="T851" s="129"/>
      <c r="U851" s="129"/>
      <c r="V851" s="129"/>
      <c r="W851" s="128"/>
      <c r="X851" s="127"/>
      <c r="Y851" s="127"/>
      <c r="Z851" s="4"/>
    </row>
    <row r="852" spans="1:26" ht="18" customHeight="1">
      <c r="A852" s="5"/>
      <c r="B852" s="21">
        <v>45672</v>
      </c>
      <c r="C852" s="21" t="s">
        <v>123</v>
      </c>
      <c r="D852" s="74" t="str">
        <f t="shared" si="268"/>
        <v>qua</v>
      </c>
      <c r="E852" s="169" t="str">
        <f>IF(K852&lt;&gt;"",VLOOKUP(K852,'Catálogo SAP'!$A$1:$F$245,2,FALSE),"-")</f>
        <v>-</v>
      </c>
      <c r="F852" s="16"/>
      <c r="G852" s="16"/>
      <c r="H852" s="22"/>
      <c r="I852" s="133"/>
      <c r="J852" s="162" t="str">
        <f t="shared" si="272"/>
        <v/>
      </c>
      <c r="K852" s="16"/>
      <c r="L852" s="167" t="str">
        <f>IF(K852&lt;&gt;"",VLOOKUP(K852,'Catálogo SAP'!A:F,3,FALSE),"")</f>
        <v/>
      </c>
      <c r="M852" s="162" t="str">
        <f>IF(K852&lt;&gt;"",VLOOKUP(K852,'Catálogo SAP'!A:F,4,FALSE),"")</f>
        <v/>
      </c>
      <c r="N852" s="168" t="str">
        <f>IF(K852&lt;&gt;"",VLOOKUP(K852,'Catálogo SAP'!A:F,5,FALSE),"")</f>
        <v/>
      </c>
      <c r="O852" s="160"/>
      <c r="P852" s="70" t="str">
        <f t="shared" si="273"/>
        <v>-</v>
      </c>
      <c r="Q852" s="163" t="str">
        <f t="shared" si="271"/>
        <v>-</v>
      </c>
      <c r="R852" s="44" t="str">
        <f>IF(J852&lt;&gt;"",VLOOKUP(J852,'RESUMO DR'!$B$4:$E$253,4,FALSE),"-")</f>
        <v>-</v>
      </c>
      <c r="S852" s="58" t="str">
        <f>IF(J852&lt;&gt;"",VLOOKUP(J852,'RESUMO DR'!$B$4:$E$253,3,FALSE),"-")</f>
        <v>-</v>
      </c>
      <c r="T852" s="129"/>
      <c r="U852" s="129"/>
      <c r="V852" s="129"/>
      <c r="W852" s="128"/>
      <c r="X852" s="127"/>
      <c r="Y852" s="127"/>
      <c r="Z852" s="4"/>
    </row>
    <row r="853" spans="1:26" ht="18" customHeight="1">
      <c r="A853" s="5">
        <v>1883</v>
      </c>
      <c r="B853" s="21">
        <v>45672</v>
      </c>
      <c r="C853" s="21" t="s">
        <v>314</v>
      </c>
      <c r="D853" s="74" t="str">
        <f t="shared" si="268"/>
        <v>qua</v>
      </c>
      <c r="E853" s="169">
        <f>IF(K853&lt;&gt;"",VLOOKUP(K853,'Catálogo SAP'!$A$1:$F$245,2,FALSE),"-")</f>
        <v>200</v>
      </c>
      <c r="F853" s="16">
        <v>68211</v>
      </c>
      <c r="G853" s="16">
        <v>68577</v>
      </c>
      <c r="H853" s="22"/>
      <c r="I853" s="133">
        <v>134</v>
      </c>
      <c r="J853" s="162" t="str">
        <f t="shared" si="272"/>
        <v>RIBAMAR FIQUENE</v>
      </c>
      <c r="K853" s="16">
        <v>200</v>
      </c>
      <c r="L853" s="167" t="str">
        <f>IF(K853&lt;&gt;"",VLOOKUP(K853,'Catálogo SAP'!A:F,3,FALSE),"")</f>
        <v>S.VP-01445</v>
      </c>
      <c r="M853" s="162" t="str">
        <f>IF(K853&lt;&gt;"",VLOOKUP(K853,'Catálogo SAP'!A:F,4,FALSE),"")</f>
        <v>Km Rodado Caminhão Basculante - C/Motorista</v>
      </c>
      <c r="N853" s="168" t="str">
        <f>IF(K853&lt;&gt;"",VLOOKUP(K853,'Catálogo SAP'!A:F,5,FALSE),"")</f>
        <v>KM</v>
      </c>
      <c r="O853" s="160">
        <v>366</v>
      </c>
      <c r="P853" s="70">
        <f t="shared" si="273"/>
        <v>366</v>
      </c>
      <c r="Q853" s="163" t="e">
        <f t="shared" si="271"/>
        <v>#VALUE!</v>
      </c>
      <c r="R853" s="44" t="str">
        <f>IF(J853&lt;&gt;"",VLOOKUP(J853,'RESUMO DR'!$B$4:$E$253,4,FALSE),"-")</f>
        <v>T-01</v>
      </c>
      <c r="S853" s="58" t="str">
        <f>IF(J853&lt;&gt;"",VLOOKUP(J853,'RESUMO DR'!$B$4:$E$253,3,FALSE),"-")</f>
        <v>IMPERATRIZ</v>
      </c>
      <c r="T853" s="129"/>
      <c r="U853" s="129"/>
      <c r="V853" s="129"/>
      <c r="W853" s="128"/>
      <c r="X853" s="127"/>
      <c r="Y853" s="127"/>
      <c r="Z853" s="4"/>
    </row>
    <row r="854" spans="1:26" ht="18" customHeight="1">
      <c r="A854" s="5"/>
      <c r="B854" s="21">
        <v>45672</v>
      </c>
      <c r="C854" s="21" t="s">
        <v>151</v>
      </c>
      <c r="D854" s="74" t="str">
        <f t="shared" si="268"/>
        <v>qua</v>
      </c>
      <c r="E854" s="169" t="str">
        <f>IF(K854&lt;&gt;"",VLOOKUP(K854,'Catálogo SAP'!$A$1:$F$245,2,FALSE),"-")</f>
        <v>-</v>
      </c>
      <c r="F854" s="225"/>
      <c r="G854" s="225"/>
      <c r="H854" s="226"/>
      <c r="I854" s="230"/>
      <c r="J854" s="162" t="str">
        <f t="shared" si="272"/>
        <v/>
      </c>
      <c r="K854" s="16"/>
      <c r="L854" s="167" t="str">
        <f>IF(K854&lt;&gt;"",VLOOKUP(K854,'Catálogo SAP'!A:F,3,FALSE),"")</f>
        <v/>
      </c>
      <c r="M854" s="162" t="str">
        <f>IF(K854&lt;&gt;"",VLOOKUP(K854,'Catálogo SAP'!A:F,4,FALSE),"")</f>
        <v/>
      </c>
      <c r="N854" s="168" t="str">
        <f>IF(K854&lt;&gt;"",VLOOKUP(K854,'Catálogo SAP'!A:F,5,FALSE),"")</f>
        <v/>
      </c>
      <c r="O854" s="160"/>
      <c r="P854" s="70" t="str">
        <f t="shared" si="273"/>
        <v>-</v>
      </c>
      <c r="Q854" s="163" t="str">
        <f t="shared" si="271"/>
        <v>-</v>
      </c>
      <c r="R854" s="44" t="str">
        <f>IF(J854&lt;&gt;"",VLOOKUP(J854,'RESUMO DR'!$B$4:$E$253,4,FALSE),"-")</f>
        <v>-</v>
      </c>
      <c r="S854" s="58" t="str">
        <f>IF(J854&lt;&gt;"",VLOOKUP(J854,'RESUMO DR'!$B$4:$E$253,3,FALSE),"-")</f>
        <v>-</v>
      </c>
      <c r="T854" s="129"/>
      <c r="U854" s="129"/>
      <c r="V854" s="129"/>
      <c r="W854" s="128"/>
      <c r="X854" s="127"/>
      <c r="Y854" s="127"/>
      <c r="Z854" s="4"/>
    </row>
    <row r="855" spans="1:26" ht="18" customHeight="1">
      <c r="A855" s="5"/>
      <c r="B855" s="21">
        <v>45672</v>
      </c>
      <c r="C855" s="21" t="s">
        <v>152</v>
      </c>
      <c r="D855" s="74" t="str">
        <f t="shared" si="268"/>
        <v>qua</v>
      </c>
      <c r="E855" s="169" t="str">
        <f>IF(K855&lt;&gt;"",VLOOKUP(K855,'Catálogo SAP'!$A$1:$F$245,2,FALSE),"-")</f>
        <v>-</v>
      </c>
      <c r="F855" s="16"/>
      <c r="G855" s="16"/>
      <c r="H855" s="22"/>
      <c r="I855" s="133"/>
      <c r="J855" s="162" t="str">
        <f t="shared" si="272"/>
        <v/>
      </c>
      <c r="K855" s="16"/>
      <c r="L855" s="167" t="str">
        <f>IF(K855&lt;&gt;"",VLOOKUP(K855,'Catálogo SAP'!A:F,3,FALSE),"")</f>
        <v/>
      </c>
      <c r="M855" s="162" t="str">
        <f>IF(K855&lt;&gt;"",VLOOKUP(K855,'Catálogo SAP'!A:F,4,FALSE),"")</f>
        <v/>
      </c>
      <c r="N855" s="168" t="str">
        <f>IF(K855&lt;&gt;"",VLOOKUP(K855,'Catálogo SAP'!A:F,5,FALSE),"")</f>
        <v/>
      </c>
      <c r="O855" s="160"/>
      <c r="P855" s="70" t="str">
        <f t="shared" si="273"/>
        <v>-</v>
      </c>
      <c r="Q855" s="163" t="str">
        <f t="shared" si="271"/>
        <v>-</v>
      </c>
      <c r="R855" s="44" t="str">
        <f>IF(J855&lt;&gt;"",VLOOKUP(J855,'RESUMO DR'!$B$4:$E$253,4,FALSE),"-")</f>
        <v>-</v>
      </c>
      <c r="S855" s="58" t="str">
        <f>IF(J855&lt;&gt;"",VLOOKUP(J855,'RESUMO DR'!$B$4:$E$253,3,FALSE),"-")</f>
        <v>-</v>
      </c>
      <c r="T855" s="129"/>
      <c r="U855" s="129"/>
      <c r="V855" s="129"/>
      <c r="W855" s="128"/>
      <c r="X855" s="127"/>
      <c r="Y855" s="127"/>
      <c r="Z855" s="4"/>
    </row>
    <row r="856" spans="1:26" ht="18" customHeight="1">
      <c r="A856" s="5"/>
      <c r="B856" s="21">
        <v>45672</v>
      </c>
      <c r="C856" s="21" t="s">
        <v>152</v>
      </c>
      <c r="D856" s="74" t="str">
        <f t="shared" si="268"/>
        <v>qua</v>
      </c>
      <c r="E856" s="169" t="str">
        <f>IF(K856&lt;&gt;"",VLOOKUP(K856,'Catálogo SAP'!$A$1:$F$245,2,FALSE),"-")</f>
        <v>-</v>
      </c>
      <c r="F856" s="16"/>
      <c r="G856" s="16"/>
      <c r="H856" s="22"/>
      <c r="I856" s="133"/>
      <c r="J856" s="162" t="str">
        <f t="shared" si="272"/>
        <v/>
      </c>
      <c r="K856" s="16"/>
      <c r="L856" s="167" t="str">
        <f>IF(K856&lt;&gt;"",VLOOKUP(K856,'Catálogo SAP'!A:F,3,FALSE),"")</f>
        <v/>
      </c>
      <c r="M856" s="162" t="str">
        <f>IF(K856&lt;&gt;"",VLOOKUP(K856,'Catálogo SAP'!A:F,4,FALSE),"")</f>
        <v/>
      </c>
      <c r="N856" s="168" t="str">
        <f>IF(K856&lt;&gt;"",VLOOKUP(K856,'Catálogo SAP'!A:F,5,FALSE),"")</f>
        <v/>
      </c>
      <c r="O856" s="160"/>
      <c r="P856" s="70" t="str">
        <f t="shared" si="273"/>
        <v>-</v>
      </c>
      <c r="Q856" s="163" t="str">
        <f t="shared" si="271"/>
        <v>-</v>
      </c>
      <c r="R856" s="44" t="str">
        <f>IF(J856&lt;&gt;"",VLOOKUP(J856,'RESUMO DR'!$B$4:$E$253,4,FALSE),"-")</f>
        <v>-</v>
      </c>
      <c r="S856" s="58" t="str">
        <f>IF(J856&lt;&gt;"",VLOOKUP(J856,'RESUMO DR'!$B$4:$E$253,3,FALSE),"-")</f>
        <v>-</v>
      </c>
      <c r="T856" s="129"/>
      <c r="U856" s="129"/>
      <c r="V856" s="129"/>
      <c r="W856" s="128"/>
      <c r="X856" s="127"/>
      <c r="Y856" s="127"/>
      <c r="Z856" s="4"/>
    </row>
    <row r="857" spans="1:26" ht="18" customHeight="1">
      <c r="A857" s="5"/>
      <c r="B857" s="21"/>
      <c r="C857" s="21"/>
      <c r="D857" s="74" t="str">
        <f t="shared" si="268"/>
        <v>-</v>
      </c>
      <c r="E857" s="169" t="str">
        <f>IF(K857&lt;&gt;"",VLOOKUP(K857,'Catálogo SAP'!$A$1:$F$245,2,FALSE),"-")</f>
        <v>-</v>
      </c>
      <c r="F857" s="16"/>
      <c r="G857" s="16"/>
      <c r="H857" s="22"/>
      <c r="I857" s="133"/>
      <c r="J857" s="162" t="str">
        <f t="shared" si="272"/>
        <v/>
      </c>
      <c r="K857" s="16"/>
      <c r="L857" s="167" t="str">
        <f>IF(K857&lt;&gt;"",VLOOKUP(K857,'Catálogo SAP'!A:F,3,FALSE),"")</f>
        <v/>
      </c>
      <c r="M857" s="162" t="str">
        <f>IF(K857&lt;&gt;"",VLOOKUP(K857,'Catálogo SAP'!A:F,4,FALSE),"")</f>
        <v/>
      </c>
      <c r="N857" s="168" t="str">
        <f>IF(K857&lt;&gt;"",VLOOKUP(K857,'Catálogo SAP'!A:F,5,FALSE),"")</f>
        <v/>
      </c>
      <c r="O857" s="160"/>
      <c r="P857" s="70" t="str">
        <f t="shared" si="273"/>
        <v>-</v>
      </c>
      <c r="Q857" s="163" t="str">
        <f t="shared" si="271"/>
        <v>-</v>
      </c>
      <c r="R857" s="44" t="str">
        <f>IF(J857&lt;&gt;"",VLOOKUP(J857,'RESUMO DR'!$B$4:$E$253,4,FALSE),"-")</f>
        <v>-</v>
      </c>
      <c r="S857" s="58" t="str">
        <f>IF(J857&lt;&gt;"",VLOOKUP(J857,'RESUMO DR'!$B$4:$E$253,3,FALSE),"-")</f>
        <v>-</v>
      </c>
      <c r="T857" s="129"/>
      <c r="U857" s="129"/>
      <c r="V857" s="129"/>
      <c r="W857" s="128"/>
      <c r="X857" s="127"/>
      <c r="Y857" s="127"/>
      <c r="Z857" s="4"/>
    </row>
    <row r="858" spans="1:26" ht="18" customHeight="1">
      <c r="A858" s="5"/>
      <c r="B858" s="21"/>
      <c r="C858" s="21"/>
      <c r="D858" s="74" t="str">
        <f t="shared" si="268"/>
        <v>-</v>
      </c>
      <c r="E858" s="169" t="str">
        <f>IF(K858&lt;&gt;"",VLOOKUP(K858,'Catálogo SAP'!$A$1:$F$245,2,FALSE),"-")</f>
        <v>-</v>
      </c>
      <c r="F858" s="16"/>
      <c r="G858" s="16"/>
      <c r="H858" s="22"/>
      <c r="I858" s="133"/>
      <c r="J858" s="162" t="str">
        <f t="shared" si="272"/>
        <v/>
      </c>
      <c r="K858" s="16"/>
      <c r="L858" s="167" t="str">
        <f>IF(K858&lt;&gt;"",VLOOKUP(K858,'Catálogo SAP'!A:F,3,FALSE),"")</f>
        <v/>
      </c>
      <c r="M858" s="162" t="str">
        <f>IF(K858&lt;&gt;"",VLOOKUP(K858,'Catálogo SAP'!A:F,4,FALSE),"")</f>
        <v/>
      </c>
      <c r="N858" s="168" t="str">
        <f>IF(K858&lt;&gt;"",VLOOKUP(K858,'Catálogo SAP'!A:F,5,FALSE),"")</f>
        <v/>
      </c>
      <c r="O858" s="160"/>
      <c r="P858" s="70" t="str">
        <f t="shared" si="273"/>
        <v>-</v>
      </c>
      <c r="Q858" s="163" t="str">
        <f t="shared" si="271"/>
        <v>-</v>
      </c>
      <c r="R858" s="44" t="str">
        <f>IF(J858&lt;&gt;"",VLOOKUP(J858,'RESUMO DR'!$B$4:$E$253,4,FALSE),"-")</f>
        <v>-</v>
      </c>
      <c r="S858" s="58" t="str">
        <f>IF(J858&lt;&gt;"",VLOOKUP(J858,'RESUMO DR'!$B$4:$E$253,3,FALSE),"-")</f>
        <v>-</v>
      </c>
      <c r="T858" s="129"/>
      <c r="U858" s="129"/>
      <c r="V858" s="129"/>
      <c r="W858" s="128"/>
      <c r="X858" s="127"/>
      <c r="Y858" s="127"/>
      <c r="Z858" s="4"/>
    </row>
    <row r="859" spans="1:26" ht="18" customHeight="1">
      <c r="A859" s="5">
        <v>1577</v>
      </c>
      <c r="B859" s="21">
        <v>45673</v>
      </c>
      <c r="C859" s="21" t="s">
        <v>121</v>
      </c>
      <c r="D859" s="74" t="str">
        <f t="shared" si="268"/>
        <v>qui</v>
      </c>
      <c r="E859" s="169">
        <f>IF(K859&lt;&gt;"",VLOOKUP(K859,'Catálogo SAP'!$A$1:$F$245,2,FALSE),"-")</f>
        <v>120</v>
      </c>
      <c r="F859" s="225">
        <v>8764</v>
      </c>
      <c r="G859" s="16">
        <v>8771</v>
      </c>
      <c r="H859" s="226"/>
      <c r="I859" s="230">
        <v>300</v>
      </c>
      <c r="J859" s="162" t="str">
        <f t="shared" si="272"/>
        <v>SAO LUIS</v>
      </c>
      <c r="K859" s="16">
        <v>120</v>
      </c>
      <c r="L859" s="167" t="str">
        <f>IF(K859&lt;&gt;"",VLOOKUP(K859,'Catálogo SAP'!A:F,3,FALSE),"")</f>
        <v>S.VP-01437</v>
      </c>
      <c r="M859" s="162" t="str">
        <f>IF(K859&lt;&gt;"",VLOOKUP(K859,'Catálogo SAP'!A:F,4,FALSE),"")</f>
        <v>Hr Produtiva Retroescavadeira C/Operador</v>
      </c>
      <c r="N859" s="168" t="str">
        <f>IF(K859&lt;&gt;"",VLOOKUP(K859,'Catálogo SAP'!A:F,5,FALSE),"")</f>
        <v>H</v>
      </c>
      <c r="O859" s="160">
        <v>7</v>
      </c>
      <c r="P859" s="70">
        <f t="shared" si="273"/>
        <v>7</v>
      </c>
      <c r="Q859" s="163" t="e">
        <f t="shared" si="271"/>
        <v>#VALUE!</v>
      </c>
      <c r="R859" s="44" t="str">
        <f>IF(J859&lt;&gt;"",VLOOKUP(J859,'RESUMO DR'!$B$4:$E$253,4,FALSE),"-")</f>
        <v>T-02</v>
      </c>
      <c r="S859" s="58" t="str">
        <f>IF(J859&lt;&gt;"",VLOOKUP(J859,'RESUMO DR'!$B$4:$E$253,3,FALSE),"-")</f>
        <v>ARAGUAINA</v>
      </c>
      <c r="T859" s="129"/>
      <c r="U859" s="129"/>
      <c r="V859" s="129"/>
      <c r="W859" s="128"/>
      <c r="X859" s="127"/>
      <c r="Y859" s="127"/>
      <c r="Z859" s="4"/>
    </row>
    <row r="860" spans="1:26" ht="18" customHeight="1">
      <c r="A860" s="5">
        <v>1577</v>
      </c>
      <c r="B860" s="21">
        <v>45673</v>
      </c>
      <c r="C860" s="21" t="s">
        <v>121</v>
      </c>
      <c r="D860" s="74" t="str">
        <f t="shared" si="268"/>
        <v>qui</v>
      </c>
      <c r="E860" s="169">
        <f>IF(K860&lt;&gt;"",VLOOKUP(K860,'Catálogo SAP'!$A$1:$F$245,2,FALSE),"-")</f>
        <v>130</v>
      </c>
      <c r="F860" s="16">
        <v>8771</v>
      </c>
      <c r="G860" s="16">
        <v>8771</v>
      </c>
      <c r="H860" s="22"/>
      <c r="I860" s="133">
        <v>300</v>
      </c>
      <c r="J860" s="162" t="str">
        <f t="shared" si="272"/>
        <v>SAO LUIS</v>
      </c>
      <c r="K860" s="16">
        <v>130</v>
      </c>
      <c r="L860" s="167" t="str">
        <f>IF(K860&lt;&gt;"",VLOOKUP(K860,'Catálogo SAP'!A:F,3,FALSE),"")</f>
        <v>S.VP-01438</v>
      </c>
      <c r="M860" s="162" t="str">
        <f>IF(K860&lt;&gt;"",VLOOKUP(K860,'Catálogo SAP'!A:F,4,FALSE),"")</f>
        <v>Hr Improdutiva Retroescavadeira C/Operador</v>
      </c>
      <c r="N860" s="168" t="str">
        <f>IF(K860&lt;&gt;"",VLOOKUP(K860,'Catálogo SAP'!A:F,5,FALSE),"")</f>
        <v>H</v>
      </c>
      <c r="O860" s="160">
        <v>2</v>
      </c>
      <c r="P860" s="70">
        <f t="shared" si="273"/>
        <v>0</v>
      </c>
      <c r="Q860" s="163" t="e">
        <f t="shared" si="271"/>
        <v>#VALUE!</v>
      </c>
      <c r="R860" s="44" t="str">
        <f>IF(J860&lt;&gt;"",VLOOKUP(J860,'RESUMO DR'!$B$4:$E$253,4,FALSE),"-")</f>
        <v>T-02</v>
      </c>
      <c r="S860" s="58" t="str">
        <f>IF(J860&lt;&gt;"",VLOOKUP(J860,'RESUMO DR'!$B$4:$E$253,3,FALSE),"-")</f>
        <v>ARAGUAINA</v>
      </c>
      <c r="T860" s="129"/>
      <c r="U860" s="129"/>
      <c r="V860" s="129"/>
      <c r="W860" s="128"/>
      <c r="X860" s="127"/>
      <c r="Y860" s="127"/>
      <c r="Z860" s="4"/>
    </row>
    <row r="861" spans="1:26" ht="18" customHeight="1">
      <c r="A861" s="5">
        <v>2661</v>
      </c>
      <c r="B861" s="21">
        <v>45673</v>
      </c>
      <c r="C861" s="21" t="s">
        <v>122</v>
      </c>
      <c r="D861" s="74" t="str">
        <f t="shared" si="268"/>
        <v>qui</v>
      </c>
      <c r="E861" s="169">
        <f>IF(K861&lt;&gt;"",VLOOKUP(K861,'Catálogo SAP'!$A$1:$F$245,2,FALSE),"-")</f>
        <v>120</v>
      </c>
      <c r="F861" s="225">
        <v>3938</v>
      </c>
      <c r="G861" s="225">
        <v>3947</v>
      </c>
      <c r="H861" s="226"/>
      <c r="I861" s="230">
        <v>319</v>
      </c>
      <c r="J861" s="162" t="str">
        <f t="shared" si="272"/>
        <v>BABAÇULÂNDIA</v>
      </c>
      <c r="K861" s="16">
        <v>120</v>
      </c>
      <c r="L861" s="167" t="str">
        <f>IF(K861&lt;&gt;"",VLOOKUP(K861,'Catálogo SAP'!A:F,3,FALSE),"")</f>
        <v>S.VP-01437</v>
      </c>
      <c r="M861" s="162" t="str">
        <f>IF(K861&lt;&gt;"",VLOOKUP(K861,'Catálogo SAP'!A:F,4,FALSE),"")</f>
        <v>Hr Produtiva Retroescavadeira C/Operador</v>
      </c>
      <c r="N861" s="168" t="str">
        <f>IF(K861&lt;&gt;"",VLOOKUP(K861,'Catálogo SAP'!A:F,5,FALSE),"")</f>
        <v>H</v>
      </c>
      <c r="O861" s="160">
        <v>9</v>
      </c>
      <c r="P861" s="70">
        <f t="shared" si="273"/>
        <v>9</v>
      </c>
      <c r="Q861" s="163" t="e">
        <f t="shared" si="271"/>
        <v>#VALUE!</v>
      </c>
      <c r="R861" s="44" t="str">
        <f>IF(J861&lt;&gt;"",VLOOKUP(J861,'RESUMO DR'!$B$4:$E$253,4,FALSE),"-")</f>
        <v>T-02</v>
      </c>
      <c r="S861" s="58" t="str">
        <f>IF(J861&lt;&gt;"",VLOOKUP(J861,'RESUMO DR'!$B$4:$E$253,3,FALSE),"-")</f>
        <v>ARAGUAINA</v>
      </c>
      <c r="T861" s="129"/>
      <c r="U861" s="129"/>
      <c r="V861" s="129"/>
      <c r="W861" s="128"/>
      <c r="X861" s="127"/>
      <c r="Y861" s="127"/>
      <c r="Z861" s="4"/>
    </row>
    <row r="862" spans="1:26" ht="18" customHeight="1">
      <c r="A862" s="5">
        <v>2660</v>
      </c>
      <c r="B862" s="21">
        <v>45673</v>
      </c>
      <c r="C862" s="21" t="s">
        <v>123</v>
      </c>
      <c r="D862" s="74" t="str">
        <f t="shared" si="268"/>
        <v>qui</v>
      </c>
      <c r="E862" s="169">
        <f>IF(K862&lt;&gt;"",VLOOKUP(K862,'Catálogo SAP'!$A$1:$F$245,2,FALSE),"-")</f>
        <v>120</v>
      </c>
      <c r="F862" s="225">
        <v>5922</v>
      </c>
      <c r="G862" s="225">
        <v>5927</v>
      </c>
      <c r="H862" s="226"/>
      <c r="I862" s="230">
        <v>438</v>
      </c>
      <c r="J862" s="162" t="str">
        <f t="shared" si="272"/>
        <v>Palmeirante</v>
      </c>
      <c r="K862" s="16">
        <v>120</v>
      </c>
      <c r="L862" s="167" t="str">
        <f>IF(K862&lt;&gt;"",VLOOKUP(K862,'Catálogo SAP'!A:F,3,FALSE),"")</f>
        <v>S.VP-01437</v>
      </c>
      <c r="M862" s="162" t="str">
        <f>IF(K862&lt;&gt;"",VLOOKUP(K862,'Catálogo SAP'!A:F,4,FALSE),"")</f>
        <v>Hr Produtiva Retroescavadeira C/Operador</v>
      </c>
      <c r="N862" s="168" t="str">
        <f>IF(K862&lt;&gt;"",VLOOKUP(K862,'Catálogo SAP'!A:F,5,FALSE),"")</f>
        <v>H</v>
      </c>
      <c r="O862" s="160">
        <v>5</v>
      </c>
      <c r="P862" s="70">
        <f t="shared" si="273"/>
        <v>5</v>
      </c>
      <c r="Q862" s="163" t="e">
        <f t="shared" si="271"/>
        <v>#VALUE!</v>
      </c>
      <c r="R862" s="44" t="str">
        <f>IF(J862&lt;&gt;"",VLOOKUP(J862,'RESUMO DR'!$B$4:$E$253,4,FALSE),"-")</f>
        <v>T-02</v>
      </c>
      <c r="S862" s="58" t="str">
        <f>IF(J862&lt;&gt;"",VLOOKUP(J862,'RESUMO DR'!$B$4:$E$253,3,FALSE),"-")</f>
        <v>ARAGUAINA</v>
      </c>
      <c r="T862" s="129"/>
      <c r="U862" s="129"/>
      <c r="V862" s="129"/>
      <c r="W862" s="128"/>
      <c r="X862" s="127"/>
      <c r="Y862" s="127"/>
      <c r="Z862" s="4"/>
    </row>
    <row r="863" spans="1:26" ht="18" customHeight="1">
      <c r="A863" s="5">
        <v>2660</v>
      </c>
      <c r="B863" s="21">
        <v>45673</v>
      </c>
      <c r="C863" s="21" t="s">
        <v>123</v>
      </c>
      <c r="D863" s="74" t="str">
        <f t="shared" ref="D863" si="274">IF(B863="","-",TEXT(B863,"ddd"))</f>
        <v>qui</v>
      </c>
      <c r="E863" s="169">
        <f>IF(K863&lt;&gt;"",VLOOKUP(K863,'Catálogo SAP'!$A$1:$F$245,2,FALSE),"-")</f>
        <v>130</v>
      </c>
      <c r="F863" s="225">
        <v>5927</v>
      </c>
      <c r="G863" s="225">
        <v>5927</v>
      </c>
      <c r="H863" s="226"/>
      <c r="I863" s="230">
        <v>438</v>
      </c>
      <c r="J863" s="162" t="str">
        <f t="shared" si="272"/>
        <v>Palmeirante</v>
      </c>
      <c r="K863" s="225">
        <v>130</v>
      </c>
      <c r="L863" s="167" t="str">
        <f>IF(K863&lt;&gt;"",VLOOKUP(K863,'Catálogo SAP'!A:F,3,FALSE),"")</f>
        <v>S.VP-01438</v>
      </c>
      <c r="M863" s="162" t="str">
        <f>IF(K863&lt;&gt;"",VLOOKUP(K863,'Catálogo SAP'!A:F,4,FALSE),"")</f>
        <v>Hr Improdutiva Retroescavadeira C/Operador</v>
      </c>
      <c r="N863" s="168" t="str">
        <f>IF(K863&lt;&gt;"",VLOOKUP(K863,'Catálogo SAP'!A:F,5,FALSE),"")</f>
        <v>H</v>
      </c>
      <c r="O863" s="231">
        <v>4</v>
      </c>
      <c r="P863" s="70">
        <f t="shared" si="273"/>
        <v>0</v>
      </c>
      <c r="Q863" s="163" t="e">
        <f t="shared" ref="Q863" si="275">IF(K863="","-",N863*O863)</f>
        <v>#VALUE!</v>
      </c>
      <c r="R863" s="44" t="str">
        <f>IF(J863&lt;&gt;"",VLOOKUP(J863,'RESUMO DR'!$B$4:$E$253,4,FALSE),"-")</f>
        <v>T-02</v>
      </c>
      <c r="S863" s="58" t="str">
        <f>IF(J863&lt;&gt;"",VLOOKUP(J863,'RESUMO DR'!$B$4:$E$253,3,FALSE),"-")</f>
        <v>ARAGUAINA</v>
      </c>
      <c r="T863" s="129"/>
      <c r="U863" s="129"/>
      <c r="V863" s="129"/>
      <c r="W863" s="128"/>
      <c r="X863" s="127"/>
      <c r="Y863" s="127"/>
      <c r="Z863" s="4"/>
    </row>
    <row r="864" spans="1:26" ht="18" customHeight="1">
      <c r="A864" s="5"/>
      <c r="B864" s="21">
        <v>45673</v>
      </c>
      <c r="C864" s="21" t="s">
        <v>124</v>
      </c>
      <c r="D864" s="74" t="str">
        <f t="shared" si="268"/>
        <v>qui</v>
      </c>
      <c r="E864" s="169" t="str">
        <f>IF(K864&lt;&gt;"",VLOOKUP(K864,'Catálogo SAP'!$A$1:$F$245,2,FALSE),"-")</f>
        <v>-</v>
      </c>
      <c r="F864" s="16"/>
      <c r="G864" s="16"/>
      <c r="H864" s="22"/>
      <c r="I864" s="133"/>
      <c r="J864" s="162" t="str">
        <f t="shared" si="272"/>
        <v/>
      </c>
      <c r="K864" s="16"/>
      <c r="L864" s="167" t="str">
        <f>IF(K864&lt;&gt;"",VLOOKUP(K864,'Catálogo SAP'!A:F,3,FALSE),"")</f>
        <v/>
      </c>
      <c r="M864" s="162" t="str">
        <f>IF(K864&lt;&gt;"",VLOOKUP(K864,'Catálogo SAP'!A:F,4,FALSE),"")</f>
        <v/>
      </c>
      <c r="N864" s="168" t="str">
        <f>IF(K864&lt;&gt;"",VLOOKUP(K864,'Catálogo SAP'!A:F,5,FALSE),"")</f>
        <v/>
      </c>
      <c r="O864" s="160"/>
      <c r="P864" s="70" t="str">
        <f t="shared" si="273"/>
        <v>-</v>
      </c>
      <c r="Q864" s="163" t="str">
        <f t="shared" si="271"/>
        <v>-</v>
      </c>
      <c r="R864" s="44" t="str">
        <f>IF(J864&lt;&gt;"",VLOOKUP(J864,'RESUMO DR'!$B$4:$E$253,4,FALSE),"-")</f>
        <v>-</v>
      </c>
      <c r="S864" s="58" t="str">
        <f>IF(J864&lt;&gt;"",VLOOKUP(J864,'RESUMO DR'!$B$4:$E$253,3,FALSE),"-")</f>
        <v>-</v>
      </c>
      <c r="T864" s="129"/>
      <c r="U864" s="129"/>
      <c r="V864" s="129"/>
      <c r="W864" s="128"/>
      <c r="X864" s="127"/>
      <c r="Y864" s="127"/>
      <c r="Z864" s="4"/>
    </row>
    <row r="865" spans="1:26" ht="18" customHeight="1">
      <c r="A865" s="5">
        <v>2675</v>
      </c>
      <c r="B865" s="21">
        <v>45673</v>
      </c>
      <c r="C865" s="21" t="s">
        <v>124</v>
      </c>
      <c r="D865" s="74" t="str">
        <f t="shared" ref="D865:D928" si="276">IF(B865="","-",TEXT(B865,"ddd"))</f>
        <v>qui</v>
      </c>
      <c r="E865" s="169">
        <f>IF(K865&lt;&gt;"",VLOOKUP(K865,'Catálogo SAP'!$A$1:$F$245,2,FALSE),"-")</f>
        <v>400</v>
      </c>
      <c r="F865" s="16">
        <v>421464</v>
      </c>
      <c r="G865" s="16">
        <v>421907</v>
      </c>
      <c r="H865" s="22"/>
      <c r="I865" s="133">
        <v>216</v>
      </c>
      <c r="J865" s="162" t="str">
        <f t="shared" si="272"/>
        <v>AGUIARNÓPOLIS</v>
      </c>
      <c r="K865" s="16">
        <v>400</v>
      </c>
      <c r="L865" s="167" t="str">
        <f>IF(K865&lt;&gt;"",VLOOKUP(K865,'Catálogo SAP'!A:F,3,FALSE),"")</f>
        <v>S.VP-01461</v>
      </c>
      <c r="M865" s="162" t="str">
        <f>IF(K865&lt;&gt;"",VLOOKUP(K865,'Catálogo SAP'!A:F,4,FALSE),"")</f>
        <v>Km Rodado Carreta Prancha - C/ Motorista</v>
      </c>
      <c r="N865" s="168" t="str">
        <f>IF(K865&lt;&gt;"",VLOOKUP(K865,'Catálogo SAP'!A:F,5,FALSE),"")</f>
        <v>KM</v>
      </c>
      <c r="O865" s="160">
        <v>443</v>
      </c>
      <c r="P865" s="70">
        <f t="shared" si="273"/>
        <v>443</v>
      </c>
      <c r="Q865" s="163" t="e">
        <f t="shared" si="271"/>
        <v>#VALUE!</v>
      </c>
      <c r="R865" s="44" t="str">
        <f>IF(J865&lt;&gt;"",VLOOKUP(J865,'RESUMO DR'!$B$4:$E$253,4,FALSE),"-")</f>
        <v>T-02</v>
      </c>
      <c r="S865" s="58" t="str">
        <f>IF(J865&lt;&gt;"",VLOOKUP(J865,'RESUMO DR'!$B$4:$E$253,3,FALSE),"-")</f>
        <v>ARAGUAINA</v>
      </c>
      <c r="T865" s="129"/>
      <c r="U865" s="129"/>
      <c r="V865" s="129"/>
      <c r="W865" s="128"/>
      <c r="X865" s="127"/>
      <c r="Y865" s="127"/>
      <c r="Z865" s="4"/>
    </row>
    <row r="866" spans="1:26" ht="18" customHeight="1">
      <c r="A866" s="5">
        <v>2651</v>
      </c>
      <c r="B866" s="21">
        <v>45673</v>
      </c>
      <c r="C866" s="21" t="s">
        <v>307</v>
      </c>
      <c r="D866" s="74" t="str">
        <f t="shared" si="276"/>
        <v>qui</v>
      </c>
      <c r="E866" s="169">
        <f>IF(K866&lt;&gt;"",VLOOKUP(K866,'Catálogo SAP'!$A$1:$F$245,2,FALSE),"-")</f>
        <v>200</v>
      </c>
      <c r="F866" s="16">
        <v>69302</v>
      </c>
      <c r="G866" s="16">
        <v>69647</v>
      </c>
      <c r="H866" s="22"/>
      <c r="I866" s="133">
        <v>146</v>
      </c>
      <c r="J866" s="162" t="str">
        <f t="shared" si="272"/>
        <v>RIBAMAR FIQUENE</v>
      </c>
      <c r="K866" s="16">
        <v>200</v>
      </c>
      <c r="L866" s="167" t="str">
        <f>IF(K866&lt;&gt;"",VLOOKUP(K866,'Catálogo SAP'!A:F,3,FALSE),"")</f>
        <v>S.VP-01445</v>
      </c>
      <c r="M866" s="162" t="str">
        <f>IF(K866&lt;&gt;"",VLOOKUP(K866,'Catálogo SAP'!A:F,4,FALSE),"")</f>
        <v>Km Rodado Caminhão Basculante - C/Motorista</v>
      </c>
      <c r="N866" s="168" t="str">
        <f>IF(K866&lt;&gt;"",VLOOKUP(K866,'Catálogo SAP'!A:F,5,FALSE),"")</f>
        <v>KM</v>
      </c>
      <c r="O866" s="160">
        <v>345</v>
      </c>
      <c r="P866" s="70">
        <f t="shared" si="273"/>
        <v>345</v>
      </c>
      <c r="Q866" s="163" t="e">
        <f t="shared" si="271"/>
        <v>#VALUE!</v>
      </c>
      <c r="R866" s="44" t="str">
        <f>IF(J866&lt;&gt;"",VLOOKUP(J866,'RESUMO DR'!$B$4:$E$253,4,FALSE),"-")</f>
        <v>T-01</v>
      </c>
      <c r="S866" s="58" t="str">
        <f>IF(J866&lt;&gt;"",VLOOKUP(J866,'RESUMO DR'!$B$4:$E$253,3,FALSE),"-")</f>
        <v>IMPERATRIZ</v>
      </c>
      <c r="T866" s="129"/>
      <c r="U866" s="129"/>
      <c r="V866" s="129"/>
      <c r="W866" s="128"/>
      <c r="X866" s="127"/>
      <c r="Y866" s="127"/>
      <c r="Z866" s="4"/>
    </row>
    <row r="867" spans="1:26" ht="18" customHeight="1">
      <c r="A867" s="5"/>
      <c r="B867" s="21">
        <v>45673</v>
      </c>
      <c r="C867" s="21" t="s">
        <v>308</v>
      </c>
      <c r="D867" s="74" t="str">
        <f t="shared" si="276"/>
        <v>qui</v>
      </c>
      <c r="E867" s="169" t="str">
        <f>IF(K867&lt;&gt;"",VLOOKUP(K867,'Catálogo SAP'!$A$1:$F$245,2,FALSE),"-")</f>
        <v>-</v>
      </c>
      <c r="F867" s="225"/>
      <c r="G867" s="225"/>
      <c r="H867" s="226"/>
      <c r="I867" s="230"/>
      <c r="J867" s="162" t="str">
        <f t="shared" si="272"/>
        <v/>
      </c>
      <c r="K867" s="16"/>
      <c r="L867" s="167" t="str">
        <f>IF(K867&lt;&gt;"",VLOOKUP(K867,'Catálogo SAP'!A:F,3,FALSE),"")</f>
        <v/>
      </c>
      <c r="M867" s="162" t="str">
        <f>IF(K867&lt;&gt;"",VLOOKUP(K867,'Catálogo SAP'!A:F,4,FALSE),"")</f>
        <v/>
      </c>
      <c r="N867" s="168" t="str">
        <f>IF(K867&lt;&gt;"",VLOOKUP(K867,'Catálogo SAP'!A:F,5,FALSE),"")</f>
        <v/>
      </c>
      <c r="O867" s="160"/>
      <c r="P867" s="70" t="str">
        <f t="shared" si="273"/>
        <v>-</v>
      </c>
      <c r="Q867" s="163" t="str">
        <f t="shared" si="271"/>
        <v>-</v>
      </c>
      <c r="R867" s="44" t="str">
        <f>IF(J867&lt;&gt;"",VLOOKUP(J867,'RESUMO DR'!$B$4:$E$253,4,FALSE),"-")</f>
        <v>-</v>
      </c>
      <c r="S867" s="58" t="str">
        <f>IF(J867&lt;&gt;"",VLOOKUP(J867,'RESUMO DR'!$B$4:$E$253,3,FALSE),"-")</f>
        <v>-</v>
      </c>
      <c r="T867" s="129"/>
      <c r="U867" s="129"/>
      <c r="V867" s="129"/>
      <c r="W867" s="128"/>
      <c r="X867" s="127"/>
      <c r="Y867" s="127"/>
      <c r="Z867" s="4"/>
    </row>
    <row r="868" spans="1:26" ht="18" customHeight="1">
      <c r="A868" s="5">
        <v>2657</v>
      </c>
      <c r="B868" s="21">
        <v>45673</v>
      </c>
      <c r="C868" s="21" t="s">
        <v>127</v>
      </c>
      <c r="D868" s="74" t="str">
        <f t="shared" si="276"/>
        <v>qui</v>
      </c>
      <c r="E868" s="169">
        <f>IF(K868&lt;&gt;"",VLOOKUP(K868,'Catálogo SAP'!$A$1:$F$245,2,FALSE),"-")</f>
        <v>200</v>
      </c>
      <c r="F868" s="16">
        <v>50600</v>
      </c>
      <c r="G868" s="16">
        <v>50820</v>
      </c>
      <c r="H868" s="22"/>
      <c r="I868" s="133">
        <v>216</v>
      </c>
      <c r="J868" s="162" t="str">
        <f t="shared" si="272"/>
        <v>AGUIARNÓPOLIS</v>
      </c>
      <c r="K868" s="16">
        <v>200</v>
      </c>
      <c r="L868" s="167" t="str">
        <f>IF(K868&lt;&gt;"",VLOOKUP(K868,'Catálogo SAP'!A:F,3,FALSE),"")</f>
        <v>S.VP-01445</v>
      </c>
      <c r="M868" s="162" t="str">
        <f>IF(K868&lt;&gt;"",VLOOKUP(K868,'Catálogo SAP'!A:F,4,FALSE),"")</f>
        <v>Km Rodado Caminhão Basculante - C/Motorista</v>
      </c>
      <c r="N868" s="168" t="str">
        <f>IF(K868&lt;&gt;"",VLOOKUP(K868,'Catálogo SAP'!A:F,5,FALSE),"")</f>
        <v>KM</v>
      </c>
      <c r="O868" s="160">
        <v>220</v>
      </c>
      <c r="P868" s="70">
        <f t="shared" si="273"/>
        <v>220</v>
      </c>
      <c r="Q868" s="163" t="e">
        <f t="shared" si="271"/>
        <v>#VALUE!</v>
      </c>
      <c r="R868" s="44" t="str">
        <f>IF(J868&lt;&gt;"",VLOOKUP(J868,'RESUMO DR'!$B$4:$E$253,4,FALSE),"-")</f>
        <v>T-02</v>
      </c>
      <c r="S868" s="58" t="str">
        <f>IF(J868&lt;&gt;"",VLOOKUP(J868,'RESUMO DR'!$B$4:$E$253,3,FALSE),"-")</f>
        <v>ARAGUAINA</v>
      </c>
      <c r="T868" s="129"/>
      <c r="U868" s="129"/>
      <c r="V868" s="129"/>
      <c r="W868" s="128"/>
      <c r="X868" s="127"/>
      <c r="Y868" s="127"/>
      <c r="Z868" s="4"/>
    </row>
    <row r="869" spans="1:26" ht="18" customHeight="1">
      <c r="A869" s="5">
        <v>2651</v>
      </c>
      <c r="B869" s="21">
        <v>45673</v>
      </c>
      <c r="C869" s="21" t="s">
        <v>313</v>
      </c>
      <c r="D869" s="74" t="str">
        <f t="shared" si="276"/>
        <v>qui</v>
      </c>
      <c r="E869" s="169">
        <f>IF(K869&lt;&gt;"",VLOOKUP(K869,'Catálogo SAP'!$A$1:$F$245,2,FALSE),"-")</f>
        <v>200</v>
      </c>
      <c r="F869" s="225">
        <v>64341</v>
      </c>
      <c r="G869" s="225">
        <v>64511</v>
      </c>
      <c r="H869" s="226"/>
      <c r="I869" s="230">
        <v>147</v>
      </c>
      <c r="J869" s="162" t="str">
        <f t="shared" si="272"/>
        <v>RIBAMAR FIQUENE</v>
      </c>
      <c r="K869" s="16">
        <v>200</v>
      </c>
      <c r="L869" s="167" t="str">
        <f>IF(K869&lt;&gt;"",VLOOKUP(K869,'Catálogo SAP'!A:F,3,FALSE),"")</f>
        <v>S.VP-01445</v>
      </c>
      <c r="M869" s="162" t="str">
        <f>IF(K869&lt;&gt;"",VLOOKUP(K869,'Catálogo SAP'!A:F,4,FALSE),"")</f>
        <v>Km Rodado Caminhão Basculante - C/Motorista</v>
      </c>
      <c r="N869" s="168" t="str">
        <f>IF(K869&lt;&gt;"",VLOOKUP(K869,'Catálogo SAP'!A:F,5,FALSE),"")</f>
        <v>KM</v>
      </c>
      <c r="O869" s="160">
        <v>170</v>
      </c>
      <c r="P869" s="70">
        <f t="shared" si="273"/>
        <v>170</v>
      </c>
      <c r="Q869" s="163" t="e">
        <f t="shared" si="271"/>
        <v>#VALUE!</v>
      </c>
      <c r="R869" s="44" t="str">
        <f>IF(J869&lt;&gt;"",VLOOKUP(J869,'RESUMO DR'!$B$4:$E$253,4,FALSE),"-")</f>
        <v>T-01</v>
      </c>
      <c r="S869" s="58" t="str">
        <f>IF(J869&lt;&gt;"",VLOOKUP(J869,'RESUMO DR'!$B$4:$E$253,3,FALSE),"-")</f>
        <v>IMPERATRIZ</v>
      </c>
      <c r="T869" s="129"/>
      <c r="U869" s="129"/>
      <c r="V869" s="129"/>
      <c r="W869" s="128"/>
      <c r="X869" s="127"/>
      <c r="Y869" s="127"/>
      <c r="Z869" s="4"/>
    </row>
    <row r="870" spans="1:26" ht="18" customHeight="1">
      <c r="A870" s="5">
        <v>2662</v>
      </c>
      <c r="B870" s="21">
        <v>45673</v>
      </c>
      <c r="C870" s="21" t="s">
        <v>312</v>
      </c>
      <c r="D870" s="74" t="str">
        <f t="shared" si="276"/>
        <v>qui</v>
      </c>
      <c r="E870" s="169">
        <f>IF(K870&lt;&gt;"",VLOOKUP(K870,'Catálogo SAP'!$A$1:$F$245,2,FALSE),"-")</f>
        <v>200</v>
      </c>
      <c r="F870" s="16">
        <v>77225</v>
      </c>
      <c r="G870" s="16">
        <v>77655</v>
      </c>
      <c r="H870" s="22"/>
      <c r="I870" s="133">
        <v>318</v>
      </c>
      <c r="J870" s="162" t="str">
        <f t="shared" si="272"/>
        <v>BABAÇULÂNDIA</v>
      </c>
      <c r="K870" s="16">
        <v>200</v>
      </c>
      <c r="L870" s="167" t="str">
        <f>IF(K870&lt;&gt;"",VLOOKUP(K870,'Catálogo SAP'!A:F,3,FALSE),"")</f>
        <v>S.VP-01445</v>
      </c>
      <c r="M870" s="162" t="str">
        <f>IF(K870&lt;&gt;"",VLOOKUP(K870,'Catálogo SAP'!A:F,4,FALSE),"")</f>
        <v>Km Rodado Caminhão Basculante - C/Motorista</v>
      </c>
      <c r="N870" s="168" t="str">
        <f>IF(K870&lt;&gt;"",VLOOKUP(K870,'Catálogo SAP'!A:F,5,FALSE),"")</f>
        <v>KM</v>
      </c>
      <c r="O870" s="160">
        <v>430</v>
      </c>
      <c r="P870" s="70">
        <f t="shared" si="273"/>
        <v>430</v>
      </c>
      <c r="Q870" s="163" t="e">
        <f t="shared" si="271"/>
        <v>#VALUE!</v>
      </c>
      <c r="R870" s="44" t="str">
        <f>IF(J870&lt;&gt;"",VLOOKUP(J870,'RESUMO DR'!$B$4:$E$253,4,FALSE),"-")</f>
        <v>T-02</v>
      </c>
      <c r="S870" s="58" t="str">
        <f>IF(J870&lt;&gt;"",VLOOKUP(J870,'RESUMO DR'!$B$4:$E$253,3,FALSE),"-")</f>
        <v>ARAGUAINA</v>
      </c>
      <c r="T870" s="129"/>
      <c r="U870" s="129"/>
      <c r="V870" s="129"/>
      <c r="W870" s="128"/>
      <c r="X870" s="127"/>
      <c r="Y870" s="127"/>
      <c r="Z870" s="4"/>
    </row>
    <row r="871" spans="1:26" ht="18" customHeight="1">
      <c r="A871" s="5">
        <v>2660</v>
      </c>
      <c r="B871" s="21">
        <v>45673</v>
      </c>
      <c r="C871" s="21" t="s">
        <v>129</v>
      </c>
      <c r="D871" s="74" t="str">
        <f t="shared" si="276"/>
        <v>qui</v>
      </c>
      <c r="E871" s="169">
        <f>IF(K871&lt;&gt;"",VLOOKUP(K871,'Catálogo SAP'!$A$1:$F$245,2,FALSE),"-")</f>
        <v>210</v>
      </c>
      <c r="F871" s="16">
        <v>8172</v>
      </c>
      <c r="G871" s="16">
        <v>8172</v>
      </c>
      <c r="H871" s="22"/>
      <c r="I871" s="133">
        <v>438</v>
      </c>
      <c r="J871" s="162" t="str">
        <f t="shared" si="272"/>
        <v>Palmeirante</v>
      </c>
      <c r="K871" s="16">
        <v>210</v>
      </c>
      <c r="L871" s="167" t="str">
        <f>IF(K871&lt;&gt;"",VLOOKUP(K871,'Catálogo SAP'!A:F,3,FALSE),"")</f>
        <v>S.VP-01446</v>
      </c>
      <c r="M871" s="162" t="str">
        <f>IF(K871&lt;&gt;"",VLOOKUP(K871,'Catálogo SAP'!A:F,4,FALSE),"")</f>
        <v>Hora Improdutiva Basculante - C/Motorista</v>
      </c>
      <c r="N871" s="168" t="str">
        <f>IF(K871&lt;&gt;"",VLOOKUP(K871,'Catálogo SAP'!A:F,5,FALSE),"")</f>
        <v>H</v>
      </c>
      <c r="O871" s="160">
        <v>9</v>
      </c>
      <c r="P871" s="70">
        <f t="shared" si="273"/>
        <v>0</v>
      </c>
      <c r="Q871" s="163" t="e">
        <f t="shared" si="271"/>
        <v>#VALUE!</v>
      </c>
      <c r="R871" s="44" t="str">
        <f>IF(J871&lt;&gt;"",VLOOKUP(J871,'RESUMO DR'!$B$4:$E$253,4,FALSE),"-")</f>
        <v>T-02</v>
      </c>
      <c r="S871" s="58" t="str">
        <f>IF(J871&lt;&gt;"",VLOOKUP(J871,'RESUMO DR'!$B$4:$E$253,3,FALSE),"-")</f>
        <v>ARAGUAINA</v>
      </c>
      <c r="T871" s="129"/>
      <c r="U871" s="129"/>
      <c r="V871" s="129"/>
      <c r="W871" s="128"/>
      <c r="X871" s="127"/>
      <c r="Y871" s="127"/>
      <c r="Z871" s="4"/>
    </row>
    <row r="872" spans="1:26" ht="18" customHeight="1">
      <c r="A872" s="5">
        <v>2651</v>
      </c>
      <c r="B872" s="21">
        <v>45673</v>
      </c>
      <c r="C872" s="21" t="s">
        <v>298</v>
      </c>
      <c r="D872" s="74" t="str">
        <f t="shared" si="276"/>
        <v>qui</v>
      </c>
      <c r="E872" s="169">
        <f>IF(K872&lt;&gt;"",VLOOKUP(K872,'Catálogo SAP'!$A$1:$F$245,2,FALSE),"-")</f>
        <v>160</v>
      </c>
      <c r="F872" s="16">
        <v>601</v>
      </c>
      <c r="G872" s="16">
        <v>611</v>
      </c>
      <c r="H872" s="22"/>
      <c r="I872" s="133">
        <v>147</v>
      </c>
      <c r="J872" s="162" t="str">
        <f t="shared" si="272"/>
        <v>RIBAMAR FIQUENE</v>
      </c>
      <c r="K872" s="16">
        <v>160</v>
      </c>
      <c r="L872" s="167" t="str">
        <f>IF(K872&lt;&gt;"",VLOOKUP(K872,'Catálogo SAP'!A:F,3,FALSE),"")</f>
        <v>S.VP-01441</v>
      </c>
      <c r="M872" s="162" t="str">
        <f>IF(K872&lt;&gt;"",VLOOKUP(K872,'Catálogo SAP'!A:F,4,FALSE),"")</f>
        <v>Hora Produtiva Pa Carregadeira C/Operador</v>
      </c>
      <c r="N872" s="168" t="str">
        <f>IF(K872&lt;&gt;"",VLOOKUP(K872,'Catálogo SAP'!A:F,5,FALSE),"")</f>
        <v>H</v>
      </c>
      <c r="O872" s="160">
        <v>10</v>
      </c>
      <c r="P872" s="70">
        <f t="shared" si="273"/>
        <v>10</v>
      </c>
      <c r="Q872" s="163" t="e">
        <f t="shared" si="271"/>
        <v>#VALUE!</v>
      </c>
      <c r="R872" s="44" t="str">
        <f>IF(J872&lt;&gt;"",VLOOKUP(J872,'RESUMO DR'!$B$4:$E$253,4,FALSE),"-")</f>
        <v>T-01</v>
      </c>
      <c r="S872" s="58" t="str">
        <f>IF(J872&lt;&gt;"",VLOOKUP(J872,'RESUMO DR'!$B$4:$E$253,3,FALSE),"-")</f>
        <v>IMPERATRIZ</v>
      </c>
      <c r="T872" s="129"/>
      <c r="U872" s="129"/>
      <c r="V872" s="129"/>
      <c r="W872" s="128"/>
      <c r="X872" s="127"/>
      <c r="Y872" s="127"/>
      <c r="Z872" s="4"/>
    </row>
    <row r="873" spans="1:26" ht="18" customHeight="1">
      <c r="A873" s="5"/>
      <c r="B873" s="21">
        <v>45673</v>
      </c>
      <c r="C873" s="21" t="s">
        <v>298</v>
      </c>
      <c r="D873" s="74" t="str">
        <f t="shared" si="276"/>
        <v>qui</v>
      </c>
      <c r="E873" s="169" t="str">
        <f>IF(K873&lt;&gt;"",VLOOKUP(K873,'Catálogo SAP'!$A$1:$F$245,2,FALSE),"-")</f>
        <v>-</v>
      </c>
      <c r="F873" s="16"/>
      <c r="G873" s="16"/>
      <c r="H873" s="22"/>
      <c r="I873" s="133"/>
      <c r="J873" s="162" t="str">
        <f t="shared" si="272"/>
        <v/>
      </c>
      <c r="K873" s="16"/>
      <c r="L873" s="167" t="str">
        <f>IF(K873&lt;&gt;"",VLOOKUP(K873,'Catálogo SAP'!A:F,3,FALSE),"")</f>
        <v/>
      </c>
      <c r="M873" s="162" t="str">
        <f>IF(K873&lt;&gt;"",VLOOKUP(K873,'Catálogo SAP'!A:F,4,FALSE),"")</f>
        <v/>
      </c>
      <c r="N873" s="168" t="str">
        <f>IF(K873&lt;&gt;"",VLOOKUP(K873,'Catálogo SAP'!A:F,5,FALSE),"")</f>
        <v/>
      </c>
      <c r="O873" s="160"/>
      <c r="P873" s="70" t="str">
        <f t="shared" si="273"/>
        <v>-</v>
      </c>
      <c r="Q873" s="163" t="str">
        <f t="shared" si="271"/>
        <v>-</v>
      </c>
      <c r="R873" s="44" t="str">
        <f>IF(J873&lt;&gt;"",VLOOKUP(J873,'RESUMO DR'!$B$4:$E$253,4,FALSE),"-")</f>
        <v>-</v>
      </c>
      <c r="S873" s="58" t="str">
        <f>IF(J873&lt;&gt;"",VLOOKUP(J873,'RESUMO DR'!$B$4:$E$253,3,FALSE),"-")</f>
        <v>-</v>
      </c>
      <c r="T873" s="129"/>
      <c r="U873" s="129"/>
      <c r="V873" s="129"/>
      <c r="W873" s="128"/>
      <c r="X873" s="127"/>
      <c r="Y873" s="127"/>
      <c r="Z873" s="4"/>
    </row>
    <row r="874" spans="1:26" ht="18" customHeight="1">
      <c r="A874" s="5">
        <v>2653</v>
      </c>
      <c r="B874" s="21">
        <v>45673</v>
      </c>
      <c r="C874" s="21" t="s">
        <v>131</v>
      </c>
      <c r="D874" s="74" t="str">
        <f t="shared" si="276"/>
        <v>qui</v>
      </c>
      <c r="E874" s="169">
        <f>IF(K874&lt;&gt;"",VLOOKUP(K874,'Catálogo SAP'!$A$1:$F$245,2,FALSE),"-")</f>
        <v>520</v>
      </c>
      <c r="F874" s="16">
        <v>10686</v>
      </c>
      <c r="G874" s="16">
        <v>10694</v>
      </c>
      <c r="H874" s="22"/>
      <c r="I874" s="133">
        <v>195</v>
      </c>
      <c r="J874" s="162" t="str">
        <f t="shared" si="272"/>
        <v>PORTO FRANCO</v>
      </c>
      <c r="K874" s="16">
        <v>520</v>
      </c>
      <c r="L874" s="167" t="str">
        <f>IF(K874&lt;&gt;"",VLOOKUP(K874,'Catálogo SAP'!A:F,3,FALSE),"")</f>
        <v>S.VP-01469</v>
      </c>
      <c r="M874" s="162" t="str">
        <f>IF(K874&lt;&gt;"",VLOOKUP(K874,'Catálogo SAP'!A:F,4,FALSE),"")</f>
        <v>Hora Produtiva Escavadeira Hidraulica</v>
      </c>
      <c r="N874" s="168" t="str">
        <f>IF(K874&lt;&gt;"",VLOOKUP(K874,'Catálogo SAP'!A:F,5,FALSE),"")</f>
        <v>H</v>
      </c>
      <c r="O874" s="160">
        <v>8</v>
      </c>
      <c r="P874" s="70">
        <f t="shared" si="273"/>
        <v>8</v>
      </c>
      <c r="Q874" s="163" t="e">
        <f t="shared" si="271"/>
        <v>#VALUE!</v>
      </c>
      <c r="R874" s="44" t="str">
        <f>IF(J874&lt;&gt;"",VLOOKUP(J874,'RESUMO DR'!$B$4:$E$253,4,FALSE),"-")</f>
        <v>T-01</v>
      </c>
      <c r="S874" s="58" t="str">
        <f>IF(J874&lt;&gt;"",VLOOKUP(J874,'RESUMO DR'!$B$4:$E$253,3,FALSE),"-")</f>
        <v>IMPERATRIZ</v>
      </c>
      <c r="T874" s="129"/>
      <c r="U874" s="129"/>
      <c r="V874" s="129"/>
      <c r="W874" s="128"/>
      <c r="X874" s="127"/>
      <c r="Y874" s="127"/>
      <c r="Z874" s="4"/>
    </row>
    <row r="875" spans="1:26" ht="18" customHeight="1">
      <c r="A875" s="5">
        <v>2653</v>
      </c>
      <c r="B875" s="21">
        <v>45673</v>
      </c>
      <c r="C875" s="21" t="s">
        <v>131</v>
      </c>
      <c r="D875" s="74" t="str">
        <f t="shared" si="276"/>
        <v>qui</v>
      </c>
      <c r="E875" s="169">
        <f>IF(K875&lt;&gt;"",VLOOKUP(K875,'Catálogo SAP'!$A$1:$F$245,2,FALSE),"-")</f>
        <v>530</v>
      </c>
      <c r="F875" s="16">
        <v>10694</v>
      </c>
      <c r="G875" s="16">
        <v>10694</v>
      </c>
      <c r="H875" s="22"/>
      <c r="I875" s="133">
        <v>195</v>
      </c>
      <c r="J875" s="162" t="str">
        <f t="shared" si="272"/>
        <v>PORTO FRANCO</v>
      </c>
      <c r="K875" s="16">
        <v>530</v>
      </c>
      <c r="L875" s="167" t="str">
        <f>IF(K875&lt;&gt;"",VLOOKUP(K875,'Catálogo SAP'!A:F,3,FALSE),"")</f>
        <v>S.VP-01470</v>
      </c>
      <c r="M875" s="162" t="str">
        <f>IF(K875&lt;&gt;"",VLOOKUP(K875,'Catálogo SAP'!A:F,4,FALSE),"")</f>
        <v>Hora Improdutiva Escavadeira Hidraulica</v>
      </c>
      <c r="N875" s="168" t="str">
        <f>IF(K875&lt;&gt;"",VLOOKUP(K875,'Catálogo SAP'!A:F,5,FALSE),"")</f>
        <v>H</v>
      </c>
      <c r="O875" s="160">
        <v>1</v>
      </c>
      <c r="P875" s="70">
        <f t="shared" si="273"/>
        <v>0</v>
      </c>
      <c r="Q875" s="163" t="e">
        <f t="shared" si="271"/>
        <v>#VALUE!</v>
      </c>
      <c r="R875" s="44" t="str">
        <f>IF(J875&lt;&gt;"",VLOOKUP(J875,'RESUMO DR'!$B$4:$E$253,4,FALSE),"-")</f>
        <v>T-01</v>
      </c>
      <c r="S875" s="58" t="str">
        <f>IF(J875&lt;&gt;"",VLOOKUP(J875,'RESUMO DR'!$B$4:$E$253,3,FALSE),"-")</f>
        <v>IMPERATRIZ</v>
      </c>
      <c r="T875" s="129"/>
      <c r="U875" s="129"/>
      <c r="V875" s="129"/>
      <c r="W875" s="128"/>
      <c r="X875" s="127"/>
      <c r="Y875" s="127"/>
      <c r="Z875" s="4"/>
    </row>
    <row r="876" spans="1:26" ht="18" customHeight="1">
      <c r="A876" s="5">
        <v>2657</v>
      </c>
      <c r="B876" s="21">
        <v>45673</v>
      </c>
      <c r="C876" s="21" t="s">
        <v>311</v>
      </c>
      <c r="D876" s="74" t="str">
        <f t="shared" si="276"/>
        <v>qui</v>
      </c>
      <c r="E876" s="169">
        <f>IF(K876&lt;&gt;"",VLOOKUP(K876,'Catálogo SAP'!$A$1:$F$245,2,FALSE),"-")</f>
        <v>120</v>
      </c>
      <c r="F876" s="225">
        <v>1234</v>
      </c>
      <c r="G876" s="16">
        <v>1239</v>
      </c>
      <c r="H876" s="226"/>
      <c r="I876" s="230">
        <v>216</v>
      </c>
      <c r="J876" s="162" t="str">
        <f t="shared" si="272"/>
        <v>AGUIARNÓPOLIS</v>
      </c>
      <c r="K876" s="16">
        <v>120</v>
      </c>
      <c r="L876" s="167" t="str">
        <f>IF(K876&lt;&gt;"",VLOOKUP(K876,'Catálogo SAP'!A:F,3,FALSE),"")</f>
        <v>S.VP-01437</v>
      </c>
      <c r="M876" s="162" t="str">
        <f>IF(K876&lt;&gt;"",VLOOKUP(K876,'Catálogo SAP'!A:F,4,FALSE),"")</f>
        <v>Hr Produtiva Retroescavadeira C/Operador</v>
      </c>
      <c r="N876" s="168" t="str">
        <f>IF(K876&lt;&gt;"",VLOOKUP(K876,'Catálogo SAP'!A:F,5,FALSE),"")</f>
        <v>H</v>
      </c>
      <c r="O876" s="160">
        <v>5</v>
      </c>
      <c r="P876" s="70">
        <f t="shared" si="273"/>
        <v>5</v>
      </c>
      <c r="Q876" s="163" t="e">
        <f t="shared" si="271"/>
        <v>#VALUE!</v>
      </c>
      <c r="R876" s="44" t="str">
        <f>IF(J876&lt;&gt;"",VLOOKUP(J876,'RESUMO DR'!$B$4:$E$253,4,FALSE),"-")</f>
        <v>T-02</v>
      </c>
      <c r="S876" s="58" t="str">
        <f>IF(J876&lt;&gt;"",VLOOKUP(J876,'RESUMO DR'!$B$4:$E$253,3,FALSE),"-")</f>
        <v>ARAGUAINA</v>
      </c>
      <c r="T876" s="129"/>
      <c r="U876" s="129"/>
      <c r="V876" s="129"/>
      <c r="W876" s="128"/>
      <c r="X876" s="127"/>
      <c r="Y876" s="127"/>
      <c r="Z876" s="4"/>
    </row>
    <row r="877" spans="1:26" ht="18" customHeight="1">
      <c r="A877" s="5">
        <v>2657</v>
      </c>
      <c r="B877" s="21">
        <v>45673</v>
      </c>
      <c r="C877" s="21" t="s">
        <v>311</v>
      </c>
      <c r="D877" s="74" t="str">
        <f t="shared" si="276"/>
        <v>qui</v>
      </c>
      <c r="E877" s="169">
        <f>IF(K877&lt;&gt;"",VLOOKUP(K877,'Catálogo SAP'!$A$1:$F$245,2,FALSE),"-")</f>
        <v>130</v>
      </c>
      <c r="F877" s="16">
        <v>1239</v>
      </c>
      <c r="G877" s="16">
        <v>1239</v>
      </c>
      <c r="H877" s="22"/>
      <c r="I877" s="133">
        <v>216</v>
      </c>
      <c r="J877" s="162" t="str">
        <f t="shared" si="272"/>
        <v>AGUIARNÓPOLIS</v>
      </c>
      <c r="K877" s="16">
        <v>130</v>
      </c>
      <c r="L877" s="167" t="str">
        <f>IF(K877&lt;&gt;"",VLOOKUP(K877,'Catálogo SAP'!A:F,3,FALSE),"")</f>
        <v>S.VP-01438</v>
      </c>
      <c r="M877" s="162" t="str">
        <f>IF(K877&lt;&gt;"",VLOOKUP(K877,'Catálogo SAP'!A:F,4,FALSE),"")</f>
        <v>Hr Improdutiva Retroescavadeira C/Operador</v>
      </c>
      <c r="N877" s="168" t="str">
        <f>IF(K877&lt;&gt;"",VLOOKUP(K877,'Catálogo SAP'!A:F,5,FALSE),"")</f>
        <v>H</v>
      </c>
      <c r="O877" s="160">
        <v>4</v>
      </c>
      <c r="P877" s="70">
        <f t="shared" si="273"/>
        <v>0</v>
      </c>
      <c r="Q877" s="163" t="e">
        <f t="shared" si="271"/>
        <v>#VALUE!</v>
      </c>
      <c r="R877" s="44" t="str">
        <f>IF(J877&lt;&gt;"",VLOOKUP(J877,'RESUMO DR'!$B$4:$E$253,4,FALSE),"-")</f>
        <v>T-02</v>
      </c>
      <c r="S877" s="58" t="str">
        <f>IF(J877&lt;&gt;"",VLOOKUP(J877,'RESUMO DR'!$B$4:$E$253,3,FALSE),"-")</f>
        <v>ARAGUAINA</v>
      </c>
      <c r="T877" s="129"/>
      <c r="U877" s="129"/>
      <c r="V877" s="129"/>
      <c r="W877" s="128"/>
      <c r="X877" s="127"/>
      <c r="Y877" s="127"/>
      <c r="Z877" s="4"/>
    </row>
    <row r="878" spans="1:26" ht="18" customHeight="1">
      <c r="A878" s="5">
        <v>2657</v>
      </c>
      <c r="B878" s="21">
        <v>45673</v>
      </c>
      <c r="C878" s="21" t="s">
        <v>305</v>
      </c>
      <c r="D878" s="74" t="str">
        <f t="shared" si="276"/>
        <v>qui</v>
      </c>
      <c r="E878" s="169">
        <f>IF(K878&lt;&gt;"",VLOOKUP(K878,'Catálogo SAP'!$A$1:$F$245,2,FALSE),"-")</f>
        <v>290</v>
      </c>
      <c r="F878" s="16">
        <v>269</v>
      </c>
      <c r="G878" s="16">
        <v>269</v>
      </c>
      <c r="H878" s="22"/>
      <c r="I878" s="133">
        <v>216</v>
      </c>
      <c r="J878" s="162" t="str">
        <f t="shared" si="272"/>
        <v>AGUIARNÓPOLIS</v>
      </c>
      <c r="K878" s="16">
        <v>290</v>
      </c>
      <c r="L878" s="167" t="str">
        <f>IF(K878&lt;&gt;"",VLOOKUP(K878,'Catálogo SAP'!A:F,3,FALSE),"")</f>
        <v>S.VP-01454</v>
      </c>
      <c r="M878" s="162" t="str">
        <f>IF(K878&lt;&gt;"",VLOOKUP(K878,'Catálogo SAP'!A:F,4,FALSE),"")</f>
        <v>Hora Improdutiva Motoniveladora C/Operador</v>
      </c>
      <c r="N878" s="168" t="str">
        <f>IF(K878&lt;&gt;"",VLOOKUP(K878,'Catálogo SAP'!A:F,5,FALSE),"")</f>
        <v>H</v>
      </c>
      <c r="O878" s="160">
        <v>9</v>
      </c>
      <c r="P878" s="70">
        <f t="shared" si="273"/>
        <v>0</v>
      </c>
      <c r="Q878" s="163" t="e">
        <f t="shared" si="271"/>
        <v>#VALUE!</v>
      </c>
      <c r="R878" s="44" t="str">
        <f>IF(J878&lt;&gt;"",VLOOKUP(J878,'RESUMO DR'!$B$4:$E$253,4,FALSE),"-")</f>
        <v>T-02</v>
      </c>
      <c r="S878" s="58" t="str">
        <f>IF(J878&lt;&gt;"",VLOOKUP(J878,'RESUMO DR'!$B$4:$E$253,3,FALSE),"-")</f>
        <v>ARAGUAINA</v>
      </c>
      <c r="T878" s="129"/>
      <c r="U878" s="129"/>
      <c r="V878" s="129"/>
      <c r="W878" s="128"/>
      <c r="X878" s="127"/>
      <c r="Y878" s="127"/>
      <c r="Z878" s="4"/>
    </row>
    <row r="879" spans="1:26" ht="18" customHeight="1">
      <c r="A879" s="5"/>
      <c r="B879" s="21">
        <v>45673</v>
      </c>
      <c r="C879" s="21" t="s">
        <v>305</v>
      </c>
      <c r="D879" s="74" t="str">
        <f t="shared" si="276"/>
        <v>qui</v>
      </c>
      <c r="E879" s="169" t="str">
        <f>IF(K879&lt;&gt;"",VLOOKUP(K879,'Catálogo SAP'!$A$1:$F$245,2,FALSE),"-")</f>
        <v>-</v>
      </c>
      <c r="F879" s="16"/>
      <c r="G879" s="16"/>
      <c r="H879" s="22"/>
      <c r="I879" s="133"/>
      <c r="J879" s="162" t="str">
        <f t="shared" si="272"/>
        <v/>
      </c>
      <c r="K879" s="16"/>
      <c r="L879" s="167" t="str">
        <f>IF(K879&lt;&gt;"",VLOOKUP(K879,'Catálogo SAP'!A:F,3,FALSE),"")</f>
        <v/>
      </c>
      <c r="M879" s="162" t="str">
        <f>IF(K879&lt;&gt;"",VLOOKUP(K879,'Catálogo SAP'!A:F,4,FALSE),"")</f>
        <v/>
      </c>
      <c r="N879" s="168" t="str">
        <f>IF(K879&lt;&gt;"",VLOOKUP(K879,'Catálogo SAP'!A:F,5,FALSE),"")</f>
        <v/>
      </c>
      <c r="O879" s="160"/>
      <c r="P879" s="70" t="str">
        <f t="shared" si="273"/>
        <v>-</v>
      </c>
      <c r="Q879" s="163" t="str">
        <f t="shared" si="271"/>
        <v>-</v>
      </c>
      <c r="R879" s="44" t="str">
        <f>IF(J879&lt;&gt;"",VLOOKUP(J879,'RESUMO DR'!$B$4:$E$253,4,FALSE),"-")</f>
        <v>-</v>
      </c>
      <c r="S879" s="58" t="str">
        <f>IF(J879&lt;&gt;"",VLOOKUP(J879,'RESUMO DR'!$B$4:$E$253,3,FALSE),"-")</f>
        <v>-</v>
      </c>
      <c r="T879" s="129"/>
      <c r="U879" s="129"/>
      <c r="V879" s="129"/>
      <c r="W879" s="128"/>
      <c r="X879" s="127"/>
      <c r="Y879" s="127"/>
      <c r="Z879" s="4"/>
    </row>
    <row r="880" spans="1:26" ht="18" customHeight="1">
      <c r="A880" s="5">
        <v>2655</v>
      </c>
      <c r="B880" s="21">
        <v>45673</v>
      </c>
      <c r="C880" s="21" t="s">
        <v>300</v>
      </c>
      <c r="D880" s="74" t="str">
        <f t="shared" si="276"/>
        <v>qui</v>
      </c>
      <c r="E880" s="169">
        <f>IF(K880&lt;&gt;"",VLOOKUP(K880,'Catálogo SAP'!$A$1:$F$245,2,FALSE),"-")</f>
        <v>160</v>
      </c>
      <c r="F880" s="16">
        <v>158</v>
      </c>
      <c r="G880" s="225">
        <v>163</v>
      </c>
      <c r="H880" s="22"/>
      <c r="I880" s="133">
        <v>563</v>
      </c>
      <c r="J880" s="162" t="str">
        <f t="shared" si="272"/>
        <v>Tupirama</v>
      </c>
      <c r="K880" s="16">
        <v>160</v>
      </c>
      <c r="L880" s="167" t="str">
        <f>IF(K880&lt;&gt;"",VLOOKUP(K880,'Catálogo SAP'!A:F,3,FALSE),"")</f>
        <v>S.VP-01441</v>
      </c>
      <c r="M880" s="162" t="str">
        <f>IF(K880&lt;&gt;"",VLOOKUP(K880,'Catálogo SAP'!A:F,4,FALSE),"")</f>
        <v>Hora Produtiva Pa Carregadeira C/Operador</v>
      </c>
      <c r="N880" s="168" t="str">
        <f>IF(K880&lt;&gt;"",VLOOKUP(K880,'Catálogo SAP'!A:F,5,FALSE),"")</f>
        <v>H</v>
      </c>
      <c r="O880" s="160">
        <v>5</v>
      </c>
      <c r="P880" s="70">
        <f t="shared" si="273"/>
        <v>5</v>
      </c>
      <c r="Q880" s="163" t="e">
        <f t="shared" si="271"/>
        <v>#VALUE!</v>
      </c>
      <c r="R880" s="44" t="str">
        <f>IF(J880&lt;&gt;"",VLOOKUP(J880,'RESUMO DR'!$B$4:$E$253,4,FALSE),"-")</f>
        <v>T-03</v>
      </c>
      <c r="S880" s="58" t="str">
        <f>IF(J880&lt;&gt;"",VLOOKUP(J880,'RESUMO DR'!$B$4:$E$253,3,FALSE),"-")</f>
        <v>PALMAS</v>
      </c>
      <c r="T880" s="129"/>
      <c r="U880" s="129"/>
      <c r="V880" s="129"/>
      <c r="W880" s="128"/>
      <c r="X880" s="127"/>
      <c r="Y880" s="127"/>
      <c r="Z880" s="4"/>
    </row>
    <row r="881" spans="1:26" ht="18" customHeight="1">
      <c r="A881" s="5">
        <v>2655</v>
      </c>
      <c r="B881" s="21">
        <v>45673</v>
      </c>
      <c r="C881" s="21" t="s">
        <v>300</v>
      </c>
      <c r="D881" s="74" t="str">
        <f t="shared" si="276"/>
        <v>qui</v>
      </c>
      <c r="E881" s="169">
        <f>IF(K881&lt;&gt;"",VLOOKUP(K881,'Catálogo SAP'!$A$1:$F$245,2,FALSE),"-")</f>
        <v>170</v>
      </c>
      <c r="F881" s="225">
        <v>163</v>
      </c>
      <c r="G881" s="225">
        <v>163</v>
      </c>
      <c r="H881" s="226"/>
      <c r="I881" s="230">
        <v>563</v>
      </c>
      <c r="J881" s="162" t="str">
        <f t="shared" si="272"/>
        <v>Tupirama</v>
      </c>
      <c r="K881" s="16">
        <v>170</v>
      </c>
      <c r="L881" s="167" t="str">
        <f>IF(K881&lt;&gt;"",VLOOKUP(K881,'Catálogo SAP'!A:F,3,FALSE),"")</f>
        <v>S.VP-01442</v>
      </c>
      <c r="M881" s="162" t="str">
        <f>IF(K881&lt;&gt;"",VLOOKUP(K881,'Catálogo SAP'!A:F,4,FALSE),"")</f>
        <v>Hora Improdutiva Pa Carregadeira C/Operador</v>
      </c>
      <c r="N881" s="168" t="str">
        <f>IF(K881&lt;&gt;"",VLOOKUP(K881,'Catálogo SAP'!A:F,5,FALSE),"")</f>
        <v>H</v>
      </c>
      <c r="O881" s="160">
        <v>4</v>
      </c>
      <c r="P881" s="70">
        <f t="shared" si="273"/>
        <v>0</v>
      </c>
      <c r="Q881" s="163" t="e">
        <f t="shared" si="271"/>
        <v>#VALUE!</v>
      </c>
      <c r="R881" s="44" t="str">
        <f>IF(J881&lt;&gt;"",VLOOKUP(J881,'RESUMO DR'!$B$4:$E$253,4,FALSE),"-")</f>
        <v>T-03</v>
      </c>
      <c r="S881" s="58" t="str">
        <f>IF(J881&lt;&gt;"",VLOOKUP(J881,'RESUMO DR'!$B$4:$E$253,3,FALSE),"-")</f>
        <v>PALMAS</v>
      </c>
      <c r="T881" s="129"/>
      <c r="U881" s="129"/>
      <c r="V881" s="129"/>
      <c r="W881" s="128"/>
      <c r="X881" s="127"/>
      <c r="Y881" s="127"/>
      <c r="Z881" s="4"/>
    </row>
    <row r="882" spans="1:26" ht="18" customHeight="1">
      <c r="A882" s="5">
        <v>2652</v>
      </c>
      <c r="B882" s="21">
        <v>45673</v>
      </c>
      <c r="C882" s="21" t="s">
        <v>134</v>
      </c>
      <c r="D882" s="74" t="str">
        <f t="shared" si="276"/>
        <v>qui</v>
      </c>
      <c r="E882" s="169">
        <f>IF(K882&lt;&gt;"",VLOOKUP(K882,'Catálogo SAP'!$A$1:$F$245,2,FALSE),"-")</f>
        <v>480</v>
      </c>
      <c r="F882" s="16">
        <v>3444</v>
      </c>
      <c r="G882" s="16">
        <v>3453</v>
      </c>
      <c r="H882" s="22"/>
      <c r="I882" s="133">
        <v>91</v>
      </c>
      <c r="J882" s="162" t="str">
        <f t="shared" si="272"/>
        <v>IMPERATRIZ</v>
      </c>
      <c r="K882" s="16">
        <v>480</v>
      </c>
      <c r="L882" s="167" t="str">
        <f>IF(K882&lt;&gt;"",VLOOKUP(K882,'Catálogo SAP'!A:F,3,FALSE),"")</f>
        <v>S.VP-01465</v>
      </c>
      <c r="M882" s="162" t="str">
        <f>IF(K882&lt;&gt;"",VLOOKUP(K882,'Catálogo SAP'!A:F,4,FALSE),"")</f>
        <v>Hora Produtiva Miniescavadeira Hidraulica C/ Operador</v>
      </c>
      <c r="N882" s="168" t="str">
        <f>IF(K882&lt;&gt;"",VLOOKUP(K882,'Catálogo SAP'!A:F,5,FALSE),"")</f>
        <v>H</v>
      </c>
      <c r="O882" s="160">
        <v>9</v>
      </c>
      <c r="P882" s="70">
        <f t="shared" si="273"/>
        <v>9</v>
      </c>
      <c r="Q882" s="163" t="e">
        <f t="shared" si="271"/>
        <v>#VALUE!</v>
      </c>
      <c r="R882" s="44" t="str">
        <f>IF(J882&lt;&gt;"",VLOOKUP(J882,'RESUMO DR'!$B$4:$E$253,4,FALSE),"-")</f>
        <v>T-01</v>
      </c>
      <c r="S882" s="58" t="str">
        <f>IF(J882&lt;&gt;"",VLOOKUP(J882,'RESUMO DR'!$B$4:$E$253,3,FALSE),"-")</f>
        <v>IMPERATRIZ</v>
      </c>
      <c r="T882" s="129"/>
      <c r="U882" s="129"/>
      <c r="V882" s="129"/>
      <c r="W882" s="128"/>
      <c r="X882" s="127"/>
      <c r="Y882" s="127"/>
      <c r="Z882" s="4"/>
    </row>
    <row r="883" spans="1:26" ht="18" customHeight="1">
      <c r="A883" s="5"/>
      <c r="B883" s="21">
        <v>45673</v>
      </c>
      <c r="C883" s="21" t="s">
        <v>134</v>
      </c>
      <c r="D883" s="74" t="str">
        <f t="shared" si="276"/>
        <v>qui</v>
      </c>
      <c r="E883" s="169" t="str">
        <f>IF(K883&lt;&gt;"",VLOOKUP(K883,'Catálogo SAP'!$A$1:$F$245,2,FALSE),"-")</f>
        <v>-</v>
      </c>
      <c r="F883" s="16"/>
      <c r="G883" s="16"/>
      <c r="H883" s="22"/>
      <c r="I883" s="221"/>
      <c r="J883" s="162" t="str">
        <f t="shared" si="272"/>
        <v/>
      </c>
      <c r="K883" s="16"/>
      <c r="L883" s="167" t="str">
        <f>IF(K883&lt;&gt;"",VLOOKUP(K883,'Catálogo SAP'!A:F,3,FALSE),"")</f>
        <v/>
      </c>
      <c r="M883" s="162" t="str">
        <f>IF(K883&lt;&gt;"",VLOOKUP(K883,'Catálogo SAP'!A:F,4,FALSE),"")</f>
        <v/>
      </c>
      <c r="N883" s="168" t="str">
        <f>IF(K883&lt;&gt;"",VLOOKUP(K883,'Catálogo SAP'!A:F,5,FALSE),"")</f>
        <v/>
      </c>
      <c r="O883" s="160"/>
      <c r="P883" s="70" t="str">
        <f t="shared" si="273"/>
        <v>-</v>
      </c>
      <c r="Q883" s="163" t="str">
        <f t="shared" si="271"/>
        <v>-</v>
      </c>
      <c r="R883" s="44" t="str">
        <f>IF(J883&lt;&gt;"",VLOOKUP(J883,'RESUMO DR'!$B$4:$E$253,4,FALSE),"-")</f>
        <v>-</v>
      </c>
      <c r="S883" s="58" t="str">
        <f>IF(J883&lt;&gt;"",VLOOKUP(J883,'RESUMO DR'!$B$4:$E$253,3,FALSE),"-")</f>
        <v>-</v>
      </c>
      <c r="T883" s="129"/>
      <c r="U883" s="129"/>
      <c r="V883" s="129"/>
      <c r="W883" s="128"/>
      <c r="X883" s="127"/>
      <c r="Y883" s="127"/>
      <c r="Z883" s="4"/>
    </row>
    <row r="884" spans="1:26" ht="18" customHeight="1">
      <c r="A884" s="5">
        <v>2651</v>
      </c>
      <c r="B884" s="21">
        <v>45673</v>
      </c>
      <c r="C884" s="21" t="s">
        <v>315</v>
      </c>
      <c r="D884" s="74" t="str">
        <f t="shared" si="276"/>
        <v>qui</v>
      </c>
      <c r="E884" s="169">
        <f>IF(K884&lt;&gt;"",VLOOKUP(K884,'Catálogo SAP'!$A$1:$F$245,2,FALSE),"-")</f>
        <v>160</v>
      </c>
      <c r="F884" s="16">
        <v>1425</v>
      </c>
      <c r="G884" s="16">
        <v>1434</v>
      </c>
      <c r="H884" s="22"/>
      <c r="I884" s="133">
        <v>148</v>
      </c>
      <c r="J884" s="162" t="str">
        <f t="shared" si="272"/>
        <v>RIBAMAR FIQUENE</v>
      </c>
      <c r="K884" s="16">
        <v>160</v>
      </c>
      <c r="L884" s="167" t="str">
        <f>IF(K884&lt;&gt;"",VLOOKUP(K884,'Catálogo SAP'!A:F,3,FALSE),"")</f>
        <v>S.VP-01441</v>
      </c>
      <c r="M884" s="162" t="str">
        <f>IF(K884&lt;&gt;"",VLOOKUP(K884,'Catálogo SAP'!A:F,4,FALSE),"")</f>
        <v>Hora Produtiva Pa Carregadeira C/Operador</v>
      </c>
      <c r="N884" s="168" t="str">
        <f>IF(K884&lt;&gt;"",VLOOKUP(K884,'Catálogo SAP'!A:F,5,FALSE),"")</f>
        <v>H</v>
      </c>
      <c r="O884" s="160">
        <v>9</v>
      </c>
      <c r="P884" s="70">
        <f t="shared" si="273"/>
        <v>9</v>
      </c>
      <c r="Q884" s="163" t="e">
        <f t="shared" si="271"/>
        <v>#VALUE!</v>
      </c>
      <c r="R884" s="44" t="str">
        <f>IF(J884&lt;&gt;"",VLOOKUP(J884,'RESUMO DR'!$B$4:$E$253,4,FALSE),"-")</f>
        <v>T-01</v>
      </c>
      <c r="S884" s="58" t="str">
        <f>IF(J884&lt;&gt;"",VLOOKUP(J884,'RESUMO DR'!$B$4:$E$253,3,FALSE),"-")</f>
        <v>IMPERATRIZ</v>
      </c>
      <c r="T884" s="129"/>
      <c r="U884" s="129"/>
      <c r="V884" s="129"/>
      <c r="W884" s="128"/>
      <c r="X884" s="127"/>
      <c r="Y884" s="127"/>
      <c r="Z884" s="4"/>
    </row>
    <row r="885" spans="1:26" ht="18" customHeight="1">
      <c r="A885" s="5">
        <v>2660</v>
      </c>
      <c r="B885" s="21">
        <v>45673</v>
      </c>
      <c r="C885" s="21" t="s">
        <v>306</v>
      </c>
      <c r="D885" s="74" t="str">
        <f>IF(B885="","-",TEXT(B885,"ddd"))</f>
        <v>qui</v>
      </c>
      <c r="E885" s="169">
        <f>IF(K885&lt;&gt;"",VLOOKUP(K885,'Catálogo SAP'!$A$1:$F$245,2,FALSE),"-")</f>
        <v>290</v>
      </c>
      <c r="F885" s="16">
        <v>355</v>
      </c>
      <c r="G885" s="16">
        <v>355</v>
      </c>
      <c r="H885" s="22"/>
      <c r="I885" s="133">
        <v>438</v>
      </c>
      <c r="J885" s="162" t="str">
        <f t="shared" si="272"/>
        <v>Palmeirante</v>
      </c>
      <c r="K885" s="16">
        <v>290</v>
      </c>
      <c r="L885" s="167" t="str">
        <f>IF(K885&lt;&gt;"",VLOOKUP(K885,'Catálogo SAP'!A:F,3,FALSE),"")</f>
        <v>S.VP-01454</v>
      </c>
      <c r="M885" s="162" t="str">
        <f>IF(K885&lt;&gt;"",VLOOKUP(K885,'Catálogo SAP'!A:F,4,FALSE),"")</f>
        <v>Hora Improdutiva Motoniveladora C/Operador</v>
      </c>
      <c r="N885" s="168" t="str">
        <f>IF(K885&lt;&gt;"",VLOOKUP(K885,'Catálogo SAP'!A:F,5,FALSE),"")</f>
        <v>H</v>
      </c>
      <c r="O885" s="160">
        <v>9</v>
      </c>
      <c r="P885" s="70">
        <f t="shared" si="273"/>
        <v>0</v>
      </c>
      <c r="Q885" s="163" t="e">
        <f t="shared" si="271"/>
        <v>#VALUE!</v>
      </c>
      <c r="R885" s="44" t="str">
        <f>IF(J885&lt;&gt;"",VLOOKUP(J885,'RESUMO DR'!$B$4:$E$253,4,FALSE),"-")</f>
        <v>T-02</v>
      </c>
      <c r="S885" s="58" t="str">
        <f>IF(J885&lt;&gt;"",VLOOKUP(J885,'RESUMO DR'!$B$4:$E$253,3,FALSE),"-")</f>
        <v>ARAGUAINA</v>
      </c>
      <c r="T885" s="129"/>
      <c r="U885" s="129"/>
      <c r="V885" s="129"/>
      <c r="W885" s="128"/>
      <c r="X885" s="127"/>
      <c r="Y885" s="127"/>
      <c r="Z885" s="4"/>
    </row>
    <row r="886" spans="1:26" ht="18" customHeight="1">
      <c r="A886" s="5"/>
      <c r="B886" s="21">
        <v>45673</v>
      </c>
      <c r="C886" s="21" t="s">
        <v>306</v>
      </c>
      <c r="D886" s="74" t="str">
        <f>IF(B886="","-",TEXT(B886,"ddd"))</f>
        <v>qui</v>
      </c>
      <c r="E886" s="169" t="str">
        <f>IF(K886&lt;&gt;"",VLOOKUP(K886,'Catálogo SAP'!$A$1:$F$245,2,FALSE),"-")</f>
        <v>-</v>
      </c>
      <c r="F886" s="16"/>
      <c r="G886" s="16"/>
      <c r="H886" s="22"/>
      <c r="I886" s="133"/>
      <c r="J886" s="162" t="str">
        <f t="shared" si="272"/>
        <v/>
      </c>
      <c r="K886" s="16"/>
      <c r="L886" s="167" t="str">
        <f>IF(K886&lt;&gt;"",VLOOKUP(K886,'Catálogo SAP'!A:F,3,FALSE),"")</f>
        <v/>
      </c>
      <c r="M886" s="162" t="str">
        <f>IF(K886&lt;&gt;"",VLOOKUP(K886,'Catálogo SAP'!A:F,4,FALSE),"")</f>
        <v/>
      </c>
      <c r="N886" s="168" t="str">
        <f>IF(K886&lt;&gt;"",VLOOKUP(K886,'Catálogo SAP'!A:F,5,FALSE),"")</f>
        <v/>
      </c>
      <c r="O886" s="160"/>
      <c r="P886" s="70" t="str">
        <f t="shared" si="273"/>
        <v>-</v>
      </c>
      <c r="Q886" s="163" t="str">
        <f t="shared" ref="Q886:Q894" si="277">IF(K886="","-",N886*O886)</f>
        <v>-</v>
      </c>
      <c r="R886" s="44" t="str">
        <f>IF(J886&lt;&gt;"",VLOOKUP(J886,'RESUMO DR'!$B$4:$E$253,4,FALSE),"-")</f>
        <v>-</v>
      </c>
      <c r="S886" s="58" t="str">
        <f>IF(J886&lt;&gt;"",VLOOKUP(J886,'RESUMO DR'!$B$4:$E$253,3,FALSE),"-")</f>
        <v>-</v>
      </c>
      <c r="T886" s="129"/>
      <c r="U886" s="129"/>
      <c r="V886" s="129"/>
      <c r="W886" s="128"/>
      <c r="X886" s="127"/>
      <c r="Y886" s="127"/>
      <c r="Z886" s="4"/>
    </row>
    <row r="887" spans="1:26" ht="18" customHeight="1">
      <c r="A887" s="5">
        <v>2654</v>
      </c>
      <c r="B887" s="21">
        <v>45673</v>
      </c>
      <c r="C887" s="21" t="s">
        <v>310</v>
      </c>
      <c r="D887" s="74" t="str">
        <f>IF(B887="","-",TEXT(B887,"ddd"))</f>
        <v>qui</v>
      </c>
      <c r="E887" s="169">
        <f>IF(K887&lt;&gt;"",VLOOKUP(K887,'Catálogo SAP'!$A$1:$F$245,2,FALSE),"-")</f>
        <v>120</v>
      </c>
      <c r="F887" s="16">
        <v>186</v>
      </c>
      <c r="G887" s="16">
        <v>191</v>
      </c>
      <c r="H887" s="22"/>
      <c r="I887" s="133">
        <v>475</v>
      </c>
      <c r="J887" s="162" t="str">
        <f t="shared" si="272"/>
        <v>Tupiratins</v>
      </c>
      <c r="K887" s="16">
        <v>120</v>
      </c>
      <c r="L887" s="167" t="str">
        <f>IF(K887&lt;&gt;"",VLOOKUP(K887,'Catálogo SAP'!A:F,3,FALSE),"")</f>
        <v>S.VP-01437</v>
      </c>
      <c r="M887" s="162" t="str">
        <f>IF(K887&lt;&gt;"",VLOOKUP(K887,'Catálogo SAP'!A:F,4,FALSE),"")</f>
        <v>Hr Produtiva Retroescavadeira C/Operador</v>
      </c>
      <c r="N887" s="168" t="str">
        <f>IF(K887&lt;&gt;"",VLOOKUP(K887,'Catálogo SAP'!A:F,5,FALSE),"")</f>
        <v>H</v>
      </c>
      <c r="O887" s="160">
        <v>5</v>
      </c>
      <c r="P887" s="70">
        <f t="shared" si="273"/>
        <v>5</v>
      </c>
      <c r="Q887" s="163" t="e">
        <f t="shared" si="277"/>
        <v>#VALUE!</v>
      </c>
      <c r="R887" s="44" t="str">
        <f>IF(J887&lt;&gt;"",VLOOKUP(J887,'RESUMO DR'!$B$4:$E$253,4,FALSE),"-")</f>
        <v>T-03</v>
      </c>
      <c r="S887" s="58" t="str">
        <f>IF(J887&lt;&gt;"",VLOOKUP(J887,'RESUMO DR'!$B$4:$E$253,3,FALSE),"-")</f>
        <v>PALMAS</v>
      </c>
      <c r="T887" s="129"/>
      <c r="U887" s="129"/>
      <c r="V887" s="129"/>
      <c r="W887" s="128"/>
      <c r="X887" s="127"/>
      <c r="Y887" s="127"/>
      <c r="Z887" s="4"/>
    </row>
    <row r="888" spans="1:26" ht="18" customHeight="1">
      <c r="A888" s="5">
        <v>2654</v>
      </c>
      <c r="B888" s="21">
        <v>45673</v>
      </c>
      <c r="C888" s="21" t="s">
        <v>310</v>
      </c>
      <c r="D888" s="74" t="str">
        <f t="shared" si="276"/>
        <v>qui</v>
      </c>
      <c r="E888" s="169">
        <f>IF(K888&lt;&gt;"",VLOOKUP(K888,'Catálogo SAP'!$A$1:$F$245,2,FALSE),"-")</f>
        <v>130</v>
      </c>
      <c r="F888" s="16">
        <v>191</v>
      </c>
      <c r="G888" s="16">
        <v>191</v>
      </c>
      <c r="H888" s="22"/>
      <c r="I888" s="133">
        <v>475</v>
      </c>
      <c r="J888" s="162" t="str">
        <f t="shared" si="272"/>
        <v>Tupiratins</v>
      </c>
      <c r="K888" s="16">
        <v>130</v>
      </c>
      <c r="L888" s="167" t="str">
        <f>IF(K888&lt;&gt;"",VLOOKUP(K888,'Catálogo SAP'!A:F,3,FALSE),"")</f>
        <v>S.VP-01438</v>
      </c>
      <c r="M888" s="162" t="str">
        <f>IF(K888&lt;&gt;"",VLOOKUP(K888,'Catálogo SAP'!A:F,4,FALSE),"")</f>
        <v>Hr Improdutiva Retroescavadeira C/Operador</v>
      </c>
      <c r="N888" s="168" t="str">
        <f>IF(K888&lt;&gt;"",VLOOKUP(K888,'Catálogo SAP'!A:F,5,FALSE),"")</f>
        <v>H</v>
      </c>
      <c r="O888" s="160">
        <v>4</v>
      </c>
      <c r="P888" s="70">
        <f t="shared" si="273"/>
        <v>0</v>
      </c>
      <c r="Q888" s="163" t="e">
        <f t="shared" si="277"/>
        <v>#VALUE!</v>
      </c>
      <c r="R888" s="44" t="str">
        <f>IF(J888&lt;&gt;"",VLOOKUP(J888,'RESUMO DR'!$B$4:$E$253,4,FALSE),"-")</f>
        <v>T-03</v>
      </c>
      <c r="S888" s="58" t="str">
        <f>IF(J888&lt;&gt;"",VLOOKUP(J888,'RESUMO DR'!$B$4:$E$253,3,FALSE),"-")</f>
        <v>PALMAS</v>
      </c>
      <c r="T888" s="129"/>
      <c r="U888" s="129"/>
      <c r="V888" s="129"/>
      <c r="W888" s="128"/>
      <c r="X888" s="127"/>
      <c r="Y888" s="127"/>
      <c r="Z888" s="4"/>
    </row>
    <row r="889" spans="1:26" ht="18" customHeight="1">
      <c r="A889" s="5"/>
      <c r="B889" s="21">
        <v>45673</v>
      </c>
      <c r="C889" s="21" t="s">
        <v>123</v>
      </c>
      <c r="D889" s="74" t="str">
        <f t="shared" si="276"/>
        <v>qui</v>
      </c>
      <c r="E889" s="169" t="str">
        <f>IF(K889&lt;&gt;"",VLOOKUP(K889,'Catálogo SAP'!$A$1:$F$245,2,FALSE),"-")</f>
        <v>-</v>
      </c>
      <c r="F889" s="16"/>
      <c r="G889" s="16"/>
      <c r="H889" s="22"/>
      <c r="I889" s="133"/>
      <c r="J889" s="162" t="str">
        <f t="shared" si="272"/>
        <v/>
      </c>
      <c r="K889" s="16"/>
      <c r="L889" s="167" t="str">
        <f>IF(K889&lt;&gt;"",VLOOKUP(K889,'Catálogo SAP'!A:F,3,FALSE),"")</f>
        <v/>
      </c>
      <c r="M889" s="162" t="str">
        <f>IF(K889&lt;&gt;"",VLOOKUP(K889,'Catálogo SAP'!A:F,4,FALSE),"")</f>
        <v/>
      </c>
      <c r="N889" s="168" t="str">
        <f>IF(K889&lt;&gt;"",VLOOKUP(K889,'Catálogo SAP'!A:F,5,FALSE),"")</f>
        <v/>
      </c>
      <c r="O889" s="160"/>
      <c r="P889" s="70" t="str">
        <f t="shared" si="273"/>
        <v>-</v>
      </c>
      <c r="Q889" s="163" t="str">
        <f t="shared" si="277"/>
        <v>-</v>
      </c>
      <c r="R889" s="44" t="str">
        <f>IF(J889&lt;&gt;"",VLOOKUP(J889,'RESUMO DR'!$B$4:$E$253,4,FALSE),"-")</f>
        <v>-</v>
      </c>
      <c r="S889" s="58" t="str">
        <f>IF(J889&lt;&gt;"",VLOOKUP(J889,'RESUMO DR'!$B$4:$E$253,3,FALSE),"-")</f>
        <v>-</v>
      </c>
      <c r="T889" s="129"/>
      <c r="U889" s="129"/>
      <c r="V889" s="129"/>
      <c r="W889" s="128"/>
      <c r="X889" s="127"/>
      <c r="Y889" s="127"/>
      <c r="Z889" s="4"/>
    </row>
    <row r="890" spans="1:26" ht="18" customHeight="1">
      <c r="A890" s="5">
        <v>2651</v>
      </c>
      <c r="B890" s="21">
        <v>45673</v>
      </c>
      <c r="C890" s="21" t="s">
        <v>314</v>
      </c>
      <c r="D890" s="74" t="str">
        <f t="shared" si="276"/>
        <v>qui</v>
      </c>
      <c r="E890" s="169">
        <f>IF(K890&lt;&gt;"",VLOOKUP(K890,'Catálogo SAP'!$A$1:$F$245,2,FALSE),"-")</f>
        <v>200</v>
      </c>
      <c r="F890" s="16">
        <v>68577</v>
      </c>
      <c r="G890" s="16">
        <v>68931</v>
      </c>
      <c r="H890" s="22"/>
      <c r="I890" s="133">
        <v>146</v>
      </c>
      <c r="J890" s="162" t="str">
        <f t="shared" si="272"/>
        <v>RIBAMAR FIQUENE</v>
      </c>
      <c r="K890" s="16">
        <v>200</v>
      </c>
      <c r="L890" s="167" t="str">
        <f>IF(K890&lt;&gt;"",VLOOKUP(K890,'Catálogo SAP'!A:F,3,FALSE),"")</f>
        <v>S.VP-01445</v>
      </c>
      <c r="M890" s="162" t="str">
        <f>IF(K890&lt;&gt;"",VLOOKUP(K890,'Catálogo SAP'!A:F,4,FALSE),"")</f>
        <v>Km Rodado Caminhão Basculante - C/Motorista</v>
      </c>
      <c r="N890" s="168" t="str">
        <f>IF(K890&lt;&gt;"",VLOOKUP(K890,'Catálogo SAP'!A:F,5,FALSE),"")</f>
        <v>KM</v>
      </c>
      <c r="O890" s="160">
        <v>354</v>
      </c>
      <c r="P890" s="70">
        <f t="shared" si="273"/>
        <v>354</v>
      </c>
      <c r="Q890" s="163" t="e">
        <f t="shared" si="277"/>
        <v>#VALUE!</v>
      </c>
      <c r="R890" s="44" t="str">
        <f>IF(J890&lt;&gt;"",VLOOKUP(J890,'RESUMO DR'!$B$4:$E$253,4,FALSE),"-")</f>
        <v>T-01</v>
      </c>
      <c r="S890" s="58" t="str">
        <f>IF(J890&lt;&gt;"",VLOOKUP(J890,'RESUMO DR'!$B$4:$E$253,3,FALSE),"-")</f>
        <v>IMPERATRIZ</v>
      </c>
      <c r="T890" s="129"/>
      <c r="U890" s="129"/>
      <c r="V890" s="129"/>
      <c r="W890" s="128"/>
      <c r="X890" s="127"/>
      <c r="Y890" s="127"/>
      <c r="Z890" s="4"/>
    </row>
    <row r="891" spans="1:26" ht="18" customHeight="1">
      <c r="A891" s="5"/>
      <c r="B891" s="21">
        <v>45673</v>
      </c>
      <c r="C891" s="21" t="s">
        <v>151</v>
      </c>
      <c r="D891" s="74" t="str">
        <f t="shared" si="276"/>
        <v>qui</v>
      </c>
      <c r="E891" s="169" t="str">
        <f>IF(K891&lt;&gt;"",VLOOKUP(K891,'Catálogo SAP'!$A$1:$F$245,2,FALSE),"-")</f>
        <v>-</v>
      </c>
      <c r="F891" s="16"/>
      <c r="G891" s="16"/>
      <c r="H891" s="22"/>
      <c r="I891" s="133"/>
      <c r="J891" s="162" t="str">
        <f t="shared" si="272"/>
        <v/>
      </c>
      <c r="K891" s="16"/>
      <c r="L891" s="167" t="str">
        <f>IF(K891&lt;&gt;"",VLOOKUP(K891,'Catálogo SAP'!A:F,3,FALSE),"")</f>
        <v/>
      </c>
      <c r="M891" s="162" t="str">
        <f>IF(K891&lt;&gt;"",VLOOKUP(K891,'Catálogo SAP'!A:F,4,FALSE),"")</f>
        <v/>
      </c>
      <c r="N891" s="168" t="str">
        <f>IF(K891&lt;&gt;"",VLOOKUP(K891,'Catálogo SAP'!A:F,5,FALSE),"")</f>
        <v/>
      </c>
      <c r="O891" s="160"/>
      <c r="P891" s="70" t="str">
        <f t="shared" si="273"/>
        <v>-</v>
      </c>
      <c r="Q891" s="163" t="str">
        <f t="shared" si="277"/>
        <v>-</v>
      </c>
      <c r="R891" s="44" t="str">
        <f>IF(J891&lt;&gt;"",VLOOKUP(J891,'RESUMO DR'!$B$4:$E$253,4,FALSE),"-")</f>
        <v>-</v>
      </c>
      <c r="S891" s="58" t="str">
        <f>IF(J891&lt;&gt;"",VLOOKUP(J891,'RESUMO DR'!$B$4:$E$253,3,FALSE),"-")</f>
        <v>-</v>
      </c>
      <c r="T891" s="129"/>
      <c r="U891" s="129"/>
      <c r="V891" s="129"/>
      <c r="W891" s="128"/>
      <c r="X891" s="127"/>
      <c r="Y891" s="127"/>
      <c r="Z891" s="4"/>
    </row>
    <row r="892" spans="1:26" ht="18" customHeight="1">
      <c r="A892" s="5"/>
      <c r="B892" s="21">
        <v>45673</v>
      </c>
      <c r="C892" s="21" t="s">
        <v>152</v>
      </c>
      <c r="D892" s="74" t="str">
        <f t="shared" si="276"/>
        <v>qui</v>
      </c>
      <c r="E892" s="169" t="str">
        <f>IF(K892&lt;&gt;"",VLOOKUP(K892,'Catálogo SAP'!$A$1:$F$245,2,FALSE),"-")</f>
        <v>-</v>
      </c>
      <c r="F892" s="16"/>
      <c r="G892" s="16"/>
      <c r="H892" s="22"/>
      <c r="I892" s="133"/>
      <c r="J892" s="162" t="str">
        <f t="shared" si="272"/>
        <v/>
      </c>
      <c r="K892" s="16"/>
      <c r="L892" s="167" t="str">
        <f>IF(K892&lt;&gt;"",VLOOKUP(K892,'Catálogo SAP'!A:F,3,FALSE),"")</f>
        <v/>
      </c>
      <c r="M892" s="162" t="str">
        <f>IF(K892&lt;&gt;"",VLOOKUP(K892,'Catálogo SAP'!A:F,4,FALSE),"")</f>
        <v/>
      </c>
      <c r="N892" s="168" t="str">
        <f>IF(K892&lt;&gt;"",VLOOKUP(K892,'Catálogo SAP'!A:F,5,FALSE),"")</f>
        <v/>
      </c>
      <c r="O892" s="160"/>
      <c r="P892" s="70" t="str">
        <f t="shared" si="273"/>
        <v>-</v>
      </c>
      <c r="Q892" s="163" t="str">
        <f t="shared" si="277"/>
        <v>-</v>
      </c>
      <c r="R892" s="44" t="str">
        <f>IF(J892&lt;&gt;"",VLOOKUP(J892,'RESUMO DR'!$B$4:$E$253,4,FALSE),"-")</f>
        <v>-</v>
      </c>
      <c r="S892" s="58" t="str">
        <f>IF(J892&lt;&gt;"",VLOOKUP(J892,'RESUMO DR'!$B$4:$E$253,3,FALSE),"-")</f>
        <v>-</v>
      </c>
      <c r="T892" s="129"/>
      <c r="U892" s="129"/>
      <c r="V892" s="129"/>
      <c r="W892" s="128"/>
      <c r="X892" s="127"/>
      <c r="Y892" s="127"/>
      <c r="Z892" s="4"/>
    </row>
    <row r="893" spans="1:26" ht="18" customHeight="1">
      <c r="A893" s="5"/>
      <c r="B893" s="21">
        <v>45673</v>
      </c>
      <c r="C893" s="21" t="s">
        <v>152</v>
      </c>
      <c r="D893" s="74" t="str">
        <f t="shared" si="276"/>
        <v>qui</v>
      </c>
      <c r="E893" s="169" t="str">
        <f>IF(K893&lt;&gt;"",VLOOKUP(K893,'Catálogo SAP'!$A$1:$F$245,2,FALSE),"-")</f>
        <v>-</v>
      </c>
      <c r="F893" s="16"/>
      <c r="G893" s="16"/>
      <c r="H893" s="22"/>
      <c r="I893" s="133"/>
      <c r="J893" s="162" t="str">
        <f t="shared" si="272"/>
        <v/>
      </c>
      <c r="K893" s="16"/>
      <c r="L893" s="167" t="str">
        <f>IF(K893&lt;&gt;"",VLOOKUP(K893,'Catálogo SAP'!A:F,3,FALSE),"")</f>
        <v/>
      </c>
      <c r="M893" s="162" t="str">
        <f>IF(K893&lt;&gt;"",VLOOKUP(K893,'Catálogo SAP'!A:F,4,FALSE),"")</f>
        <v/>
      </c>
      <c r="N893" s="168" t="str">
        <f>IF(K893&lt;&gt;"",VLOOKUP(K893,'Catálogo SAP'!A:F,5,FALSE),"")</f>
        <v/>
      </c>
      <c r="O893" s="160"/>
      <c r="P893" s="70" t="str">
        <f t="shared" si="273"/>
        <v>-</v>
      </c>
      <c r="Q893" s="163" t="str">
        <f t="shared" si="277"/>
        <v>-</v>
      </c>
      <c r="R893" s="44" t="str">
        <f>IF(J893&lt;&gt;"",VLOOKUP(J893,'RESUMO DR'!$B$4:$E$253,4,FALSE),"-")</f>
        <v>-</v>
      </c>
      <c r="S893" s="58" t="str">
        <f>IF(J893&lt;&gt;"",VLOOKUP(J893,'RESUMO DR'!$B$4:$E$253,3,FALSE),"-")</f>
        <v>-</v>
      </c>
      <c r="T893" s="129"/>
      <c r="U893" s="129"/>
      <c r="V893" s="129"/>
      <c r="W893" s="128"/>
      <c r="X893" s="127"/>
      <c r="Y893" s="127"/>
      <c r="Z893" s="4"/>
    </row>
    <row r="894" spans="1:26" ht="18" customHeight="1">
      <c r="A894" s="5"/>
      <c r="B894" s="21"/>
      <c r="C894" s="21"/>
      <c r="D894" s="74" t="str">
        <f t="shared" si="276"/>
        <v>-</v>
      </c>
      <c r="E894" s="169" t="str">
        <f>IF(K894&lt;&gt;"",VLOOKUP(K894,'Catálogo SAP'!$A$1:$F$245,2,FALSE),"-")</f>
        <v>-</v>
      </c>
      <c r="F894" s="16"/>
      <c r="G894" s="16"/>
      <c r="H894" s="22"/>
      <c r="I894" s="133"/>
      <c r="J894" s="162" t="str">
        <f t="shared" si="272"/>
        <v/>
      </c>
      <c r="K894" s="16"/>
      <c r="L894" s="167" t="str">
        <f>IF(K894&lt;&gt;"",VLOOKUP(K894,'Catálogo SAP'!A:F,3,FALSE),"")</f>
        <v/>
      </c>
      <c r="M894" s="162" t="str">
        <f>IF(K894&lt;&gt;"",VLOOKUP(K894,'Catálogo SAP'!A:F,4,FALSE),"")</f>
        <v/>
      </c>
      <c r="N894" s="168" t="str">
        <f>IF(K894&lt;&gt;"",VLOOKUP(K894,'Catálogo SAP'!A:F,5,FALSE),"")</f>
        <v/>
      </c>
      <c r="O894" s="160"/>
      <c r="P894" s="70" t="str">
        <f t="shared" si="273"/>
        <v>-</v>
      </c>
      <c r="Q894" s="163" t="str">
        <f t="shared" si="277"/>
        <v>-</v>
      </c>
      <c r="R894" s="44" t="str">
        <f>IF(J894&lt;&gt;"",VLOOKUP(J894,'RESUMO DR'!$B$4:$E$253,4,FALSE),"-")</f>
        <v>-</v>
      </c>
      <c r="S894" s="58" t="str">
        <f>IF(J894&lt;&gt;"",VLOOKUP(J894,'RESUMO DR'!$B$4:$E$253,3,FALSE),"-")</f>
        <v>-</v>
      </c>
      <c r="T894" s="129"/>
      <c r="U894" s="129"/>
      <c r="V894" s="129"/>
      <c r="W894" s="128"/>
      <c r="X894" s="127"/>
      <c r="Y894" s="127"/>
      <c r="Z894" s="4"/>
    </row>
    <row r="895" spans="1:26" ht="18" customHeight="1">
      <c r="A895" s="5"/>
      <c r="B895" s="21"/>
      <c r="C895" s="21"/>
      <c r="D895" s="74" t="str">
        <f t="shared" si="276"/>
        <v>-</v>
      </c>
      <c r="E895" s="169" t="str">
        <f>IF(K895&lt;&gt;"",VLOOKUP(K895,'Catálogo SAP'!$A$1:$F$245,2,FALSE),"-")</f>
        <v>-</v>
      </c>
      <c r="F895" s="16"/>
      <c r="G895" s="16"/>
      <c r="H895" s="22"/>
      <c r="I895" s="133"/>
      <c r="J895" s="162" t="str">
        <f t="shared" si="257"/>
        <v/>
      </c>
      <c r="K895" s="16"/>
      <c r="L895" s="167" t="str">
        <f>IF(K895&lt;&gt;"",VLOOKUP(K895,'Catálogo SAP'!A:F,3,FALSE),"")</f>
        <v/>
      </c>
      <c r="M895" s="162" t="str">
        <f>IF(K895&lt;&gt;"",VLOOKUP(K895,'Catálogo SAP'!A:F,4,FALSE),"")</f>
        <v/>
      </c>
      <c r="N895" s="168" t="str">
        <f>IF(K895&lt;&gt;"",VLOOKUP(K895,'Catálogo SAP'!A:F,5,FALSE),"")</f>
        <v/>
      </c>
      <c r="O895" s="160"/>
      <c r="P895" s="70" t="str">
        <f t="shared" si="273"/>
        <v>-</v>
      </c>
      <c r="Q895" s="163" t="str">
        <f t="shared" si="258"/>
        <v>-</v>
      </c>
      <c r="R895" s="44" t="str">
        <f>IF(J895&lt;&gt;"",VLOOKUP(J895,'RESUMO DR'!$B$4:$E$253,4,FALSE),"-")</f>
        <v>-</v>
      </c>
      <c r="S895" s="58" t="str">
        <f>IF(J895&lt;&gt;"",VLOOKUP(J895,'RESUMO DR'!$B$4:$E$253,3,FALSE),"-")</f>
        <v>-</v>
      </c>
      <c r="T895" s="129"/>
      <c r="U895" s="129"/>
      <c r="V895" s="129"/>
      <c r="W895" s="128"/>
      <c r="X895" s="127"/>
      <c r="Y895" s="127"/>
      <c r="Z895" s="4"/>
    </row>
    <row r="896" spans="1:26" ht="18" customHeight="1">
      <c r="A896" s="5">
        <v>1578</v>
      </c>
      <c r="B896" s="21">
        <v>45674</v>
      </c>
      <c r="C896" s="21" t="s">
        <v>121</v>
      </c>
      <c r="D896" s="74" t="str">
        <f t="shared" si="276"/>
        <v>sex</v>
      </c>
      <c r="E896" s="169">
        <f>IF(K896&lt;&gt;"",VLOOKUP(K896,'Catálogo SAP'!$A$1:$F$245,2,FALSE),"-")</f>
        <v>120</v>
      </c>
      <c r="F896" s="16">
        <v>8771</v>
      </c>
      <c r="G896" s="16">
        <v>8778</v>
      </c>
      <c r="H896" s="22"/>
      <c r="I896" s="133">
        <v>300</v>
      </c>
      <c r="J896" s="162" t="str">
        <f t="shared" si="257"/>
        <v>SAO LUIS</v>
      </c>
      <c r="K896" s="16">
        <v>120</v>
      </c>
      <c r="L896" s="167" t="str">
        <f>IF(K896&lt;&gt;"",VLOOKUP(K896,'Catálogo SAP'!A:F,3,FALSE),"")</f>
        <v>S.VP-01437</v>
      </c>
      <c r="M896" s="162" t="str">
        <f>IF(K896&lt;&gt;"",VLOOKUP(K896,'Catálogo SAP'!A:F,4,FALSE),"")</f>
        <v>Hr Produtiva Retroescavadeira C/Operador</v>
      </c>
      <c r="N896" s="168" t="str">
        <f>IF(K896&lt;&gt;"",VLOOKUP(K896,'Catálogo SAP'!A:F,5,FALSE),"")</f>
        <v>H</v>
      </c>
      <c r="O896" s="160">
        <v>7</v>
      </c>
      <c r="P896" s="70">
        <f t="shared" si="273"/>
        <v>7</v>
      </c>
      <c r="Q896" s="163" t="e">
        <f t="shared" si="258"/>
        <v>#VALUE!</v>
      </c>
      <c r="R896" s="44" t="str">
        <f>IF(J896&lt;&gt;"",VLOOKUP(J896,'RESUMO DR'!$B$4:$E$253,4,FALSE),"-")</f>
        <v>T-02</v>
      </c>
      <c r="S896" s="58" t="str">
        <f>IF(J896&lt;&gt;"",VLOOKUP(J896,'RESUMO DR'!$B$4:$E$253,3,FALSE),"-")</f>
        <v>ARAGUAINA</v>
      </c>
      <c r="T896" s="129"/>
      <c r="U896" s="129"/>
      <c r="V896" s="129"/>
      <c r="W896" s="128"/>
      <c r="X896" s="127"/>
      <c r="Y896" s="127"/>
      <c r="Z896" s="4"/>
    </row>
    <row r="897" spans="1:28" ht="18" customHeight="1">
      <c r="A897" s="5">
        <v>1578</v>
      </c>
      <c r="B897" s="21">
        <v>45674</v>
      </c>
      <c r="C897" s="21" t="s">
        <v>121</v>
      </c>
      <c r="D897" s="74" t="str">
        <f t="shared" si="276"/>
        <v>sex</v>
      </c>
      <c r="E897" s="169">
        <f>IF(K897&lt;&gt;"",VLOOKUP(K897,'Catálogo SAP'!$A$1:$F$245,2,FALSE),"-")</f>
        <v>130</v>
      </c>
      <c r="F897" s="16">
        <v>8778</v>
      </c>
      <c r="G897" s="16">
        <v>8778</v>
      </c>
      <c r="H897" s="22"/>
      <c r="I897" s="133">
        <v>300</v>
      </c>
      <c r="J897" s="162" t="str">
        <f t="shared" si="257"/>
        <v>SAO LUIS</v>
      </c>
      <c r="K897" s="16">
        <v>130</v>
      </c>
      <c r="L897" s="167" t="str">
        <f>IF(K897&lt;&gt;"",VLOOKUP(K897,'Catálogo SAP'!A:F,3,FALSE),"")</f>
        <v>S.VP-01438</v>
      </c>
      <c r="M897" s="162" t="str">
        <f>IF(K897&lt;&gt;"",VLOOKUP(K897,'Catálogo SAP'!A:F,4,FALSE),"")</f>
        <v>Hr Improdutiva Retroescavadeira C/Operador</v>
      </c>
      <c r="N897" s="168" t="str">
        <f>IF(K897&lt;&gt;"",VLOOKUP(K897,'Catálogo SAP'!A:F,5,FALSE),"")</f>
        <v>H</v>
      </c>
      <c r="O897" s="160">
        <v>1</v>
      </c>
      <c r="P897" s="70">
        <f t="shared" si="273"/>
        <v>0</v>
      </c>
      <c r="Q897" s="163" t="e">
        <f t="shared" si="258"/>
        <v>#VALUE!</v>
      </c>
      <c r="R897" s="44" t="str">
        <f>IF(J897&lt;&gt;"",VLOOKUP(J897,'RESUMO DR'!$B$4:$E$253,4,FALSE),"-")</f>
        <v>T-02</v>
      </c>
      <c r="S897" s="58" t="str">
        <f>IF(J897&lt;&gt;"",VLOOKUP(J897,'RESUMO DR'!$B$4:$E$253,3,FALSE),"-")</f>
        <v>ARAGUAINA</v>
      </c>
      <c r="T897" s="129"/>
      <c r="U897" s="129"/>
      <c r="V897" s="129"/>
      <c r="W897" s="128"/>
      <c r="X897" s="127"/>
      <c r="Y897" s="127"/>
      <c r="Z897" s="4"/>
    </row>
    <row r="898" spans="1:28" ht="18" customHeight="1">
      <c r="A898" s="5">
        <v>2664</v>
      </c>
      <c r="B898" s="21">
        <v>45674</v>
      </c>
      <c r="C898" s="21" t="s">
        <v>122</v>
      </c>
      <c r="D898" s="74" t="str">
        <f t="shared" si="276"/>
        <v>sex</v>
      </c>
      <c r="E898" s="169">
        <f>IF(K898&lt;&gt;"",VLOOKUP(K898,'Catálogo SAP'!$A$1:$F$245,2,FALSE),"-")</f>
        <v>120</v>
      </c>
      <c r="F898" s="16">
        <v>3947</v>
      </c>
      <c r="G898" s="16">
        <v>3954</v>
      </c>
      <c r="H898" s="22"/>
      <c r="I898" s="133">
        <v>318</v>
      </c>
      <c r="J898" s="162" t="str">
        <f t="shared" si="257"/>
        <v>BABAÇULÂNDIA</v>
      </c>
      <c r="K898" s="16">
        <v>120</v>
      </c>
      <c r="L898" s="167" t="str">
        <f>IF(K898&lt;&gt;"",VLOOKUP(K898,'Catálogo SAP'!A:F,3,FALSE),"")</f>
        <v>S.VP-01437</v>
      </c>
      <c r="M898" s="162" t="str">
        <f>IF(K898&lt;&gt;"",VLOOKUP(K898,'Catálogo SAP'!A:F,4,FALSE),"")</f>
        <v>Hr Produtiva Retroescavadeira C/Operador</v>
      </c>
      <c r="N898" s="168" t="str">
        <f>IF(K898&lt;&gt;"",VLOOKUP(K898,'Catálogo SAP'!A:F,5,FALSE),"")</f>
        <v>H</v>
      </c>
      <c r="O898" s="160">
        <v>7</v>
      </c>
      <c r="P898" s="70">
        <f t="shared" si="273"/>
        <v>7</v>
      </c>
      <c r="Q898" s="163" t="e">
        <f t="shared" si="258"/>
        <v>#VALUE!</v>
      </c>
      <c r="R898" s="44" t="str">
        <f>IF(J898&lt;&gt;"",VLOOKUP(J898,'RESUMO DR'!$B$4:$E$253,4,FALSE),"-")</f>
        <v>T-02</v>
      </c>
      <c r="S898" s="58" t="str">
        <f>IF(J898&lt;&gt;"",VLOOKUP(J898,'RESUMO DR'!$B$4:$E$253,3,FALSE),"-")</f>
        <v>ARAGUAINA</v>
      </c>
      <c r="T898" s="129"/>
      <c r="U898" s="129"/>
      <c r="V898" s="129"/>
      <c r="W898" s="128"/>
      <c r="X898" s="127"/>
      <c r="Y898" s="127"/>
      <c r="Z898" s="4"/>
    </row>
    <row r="899" spans="1:28" ht="18" customHeight="1">
      <c r="A899" s="5">
        <v>2663</v>
      </c>
      <c r="B899" s="21">
        <v>45674</v>
      </c>
      <c r="C899" s="21" t="s">
        <v>123</v>
      </c>
      <c r="D899" s="74" t="str">
        <f t="shared" si="276"/>
        <v>sex</v>
      </c>
      <c r="E899" s="169">
        <f>IF(K899&lt;&gt;"",VLOOKUP(K899,'Catálogo SAP'!$A$1:$F$245,2,FALSE),"-")</f>
        <v>130</v>
      </c>
      <c r="F899" s="16">
        <v>5927</v>
      </c>
      <c r="G899" s="16">
        <v>5927</v>
      </c>
      <c r="H899" s="22"/>
      <c r="I899" s="133">
        <v>438</v>
      </c>
      <c r="J899" s="162" t="str">
        <f t="shared" si="257"/>
        <v>Palmeirante</v>
      </c>
      <c r="K899" s="16">
        <v>130</v>
      </c>
      <c r="L899" s="167" t="str">
        <f>IF(K899&lt;&gt;"",VLOOKUP(K899,'Catálogo SAP'!A:F,3,FALSE),"")</f>
        <v>S.VP-01438</v>
      </c>
      <c r="M899" s="162" t="str">
        <f>IF(K899&lt;&gt;"",VLOOKUP(K899,'Catálogo SAP'!A:F,4,FALSE),"")</f>
        <v>Hr Improdutiva Retroescavadeira C/Operador</v>
      </c>
      <c r="N899" s="168" t="str">
        <f>IF(K899&lt;&gt;"",VLOOKUP(K899,'Catálogo SAP'!A:F,5,FALSE),"")</f>
        <v>H</v>
      </c>
      <c r="O899" s="160">
        <v>8</v>
      </c>
      <c r="P899" s="70">
        <f t="shared" si="273"/>
        <v>0</v>
      </c>
      <c r="Q899" s="163" t="e">
        <f t="shared" si="258"/>
        <v>#VALUE!</v>
      </c>
      <c r="R899" s="44" t="str">
        <f>IF(J899&lt;&gt;"",VLOOKUP(J899,'RESUMO DR'!$B$4:$E$253,4,FALSE),"-")</f>
        <v>T-02</v>
      </c>
      <c r="S899" s="58" t="str">
        <f>IF(J899&lt;&gt;"",VLOOKUP(J899,'RESUMO DR'!$B$4:$E$253,3,FALSE),"-")</f>
        <v>ARAGUAINA</v>
      </c>
      <c r="T899" s="129"/>
      <c r="U899" s="129"/>
      <c r="V899" s="129"/>
      <c r="W899" s="128"/>
      <c r="X899" s="127" t="str">
        <f t="shared" ref="X899:X909" si="278">IF(T899="","-",(U899-T899)/V899)</f>
        <v>-</v>
      </c>
      <c r="Y899" s="127" t="str">
        <f t="shared" ref="Y899:Y909" si="279">IF(U899="","-",(V899/(U899-T899)))</f>
        <v>-</v>
      </c>
      <c r="Z899" s="4"/>
    </row>
    <row r="900" spans="1:28" ht="18" customHeight="1">
      <c r="A900" s="5">
        <v>2676</v>
      </c>
      <c r="B900" s="21">
        <v>45674</v>
      </c>
      <c r="C900" s="21" t="s">
        <v>124</v>
      </c>
      <c r="D900" s="74" t="str">
        <f t="shared" si="276"/>
        <v>sex</v>
      </c>
      <c r="E900" s="169">
        <f>IF(K900&lt;&gt;"",VLOOKUP(K900,'Catálogo SAP'!$A$1:$F$245,2,FALSE),"-")</f>
        <v>400</v>
      </c>
      <c r="F900" s="16">
        <v>421907</v>
      </c>
      <c r="G900" s="16">
        <v>422347</v>
      </c>
      <c r="H900" s="22"/>
      <c r="I900" s="133">
        <v>216</v>
      </c>
      <c r="J900" s="162" t="str">
        <f t="shared" ref="J900:J963" si="280">IF(AND(I900&gt;=0.001,I900&lt;=16),"AÇAILÂNDIA","")&amp;IF(AND(I900&gt;=16.001,I900&lt;=44),"S.F. BREJÃO","")&amp;IF(AND(I900&gt;=44.001,I900&lt;=78),"JOÃO LISBOA","")&amp;IF(AND(I900&gt;=78.001,I900&lt;=96.397),"IMPERATRIZ","")&amp;IF(AND(I900&gt;=96.398,I900&lt;=122.82),"EDSON LOBÃO","")&amp;IF(AND(I900&gt;=122.821,I900&lt;=152.303),"RIBAMAR FIQUENE","")&amp;IF(AND(I900&gt;=152.304,I900&lt;=172.403),"CAMPESTRE","")&amp;IF(AND(I900&gt;=172.404,I900&lt;=195),"PORTO FRANCO","")&amp;IF(AND(I900&gt;=300,I900&lt;=300),"SAO LUIS","")&amp;IF(AND(I900&gt;=385.4,I900&lt;=465.4),"Palmeirante","")&amp;IF(AND(I900&gt;=465.401,I900&lt;=520.455),"Tupiratins","")&amp;IF(AND(I900&gt;=520.456,I900&lt;=536.741),"Guaraí","")&amp;IF(AND(I900&gt;=536.742,I900&lt;=580.293),"Tupirama","")&amp;IF(AND(I900&gt;=580.294,I900&lt;=608.637),"Rio dos Bois","")&amp;IF(AND(I900&gt;=608.638,I900&lt;=698.981),"Miracema","")&amp;IF(AND(I900&gt;=698.982,I900&lt;=735.6),"Porto Nacional","")&amp;IF(AND(I900&gt;=195.1,I900&lt;=213.603),"ESTREITO","")&amp;IF(AND(I900&gt;=213.604,I900&lt;=218.976),"AGUIARNÓPOLIS","")&amp;IF(AND(I900&gt;=218.977,I900&lt;=253.5),"PALMEIRAS DO TOCANTINS","")&amp;IF(AND(I900&gt;=253.501,I900&lt;=274.15),"DARCINÓPOLIS","")&amp;IF(AND(I900&gt;=274.151,I900&lt;=299.999),"BABAÇULÂNDIA","")&amp;IF(AND(I900&gt;=356.62,I900&lt;=385.4),"ARAGUAÍNA","")&amp;IF(AND(I900&gt;=300.001,I900&lt;=356.619),"BABAÇULÂNDIA","")&amp;IF(AND(I900&gt;=900,I900&lt;=902),"ENG. VLI","")</f>
        <v>AGUIARNÓPOLIS</v>
      </c>
      <c r="K900" s="16">
        <v>400</v>
      </c>
      <c r="L900" s="167" t="str">
        <f>IF(K900&lt;&gt;"",VLOOKUP(K900,'Catálogo SAP'!A:F,3,FALSE),"")</f>
        <v>S.VP-01461</v>
      </c>
      <c r="M900" s="162" t="str">
        <f>IF(K900&lt;&gt;"",VLOOKUP(K900,'Catálogo SAP'!A:F,4,FALSE),"")</f>
        <v>Km Rodado Carreta Prancha - C/ Motorista</v>
      </c>
      <c r="N900" s="168" t="str">
        <f>IF(K900&lt;&gt;"",VLOOKUP(K900,'Catálogo SAP'!A:F,5,FALSE),"")</f>
        <v>KM</v>
      </c>
      <c r="O900" s="160">
        <v>440</v>
      </c>
      <c r="P900" s="70">
        <f t="shared" si="273"/>
        <v>440</v>
      </c>
      <c r="Q900" s="163" t="e">
        <f t="shared" ref="Q900:Q963" si="281">IF(K900="","-",N900*O900)</f>
        <v>#VALUE!</v>
      </c>
      <c r="R900" s="44" t="str">
        <f>IF(J900&lt;&gt;"",VLOOKUP(J900,'RESUMO DR'!$B$4:$E$253,4,FALSE),"-")</f>
        <v>T-02</v>
      </c>
      <c r="S900" s="58" t="str">
        <f>IF(J900&lt;&gt;"",VLOOKUP(J900,'RESUMO DR'!$B$4:$E$253,3,FALSE),"-")</f>
        <v>ARAGUAINA</v>
      </c>
      <c r="X900" s="1" t="str">
        <f t="shared" si="278"/>
        <v>-</v>
      </c>
      <c r="Y900" s="1" t="str">
        <f t="shared" si="279"/>
        <v>-</v>
      </c>
    </row>
    <row r="901" spans="1:28" ht="18" customHeight="1">
      <c r="A901" s="5"/>
      <c r="B901" s="21">
        <v>45674</v>
      </c>
      <c r="C901" s="21" t="s">
        <v>124</v>
      </c>
      <c r="D901" s="74" t="str">
        <f t="shared" si="276"/>
        <v>sex</v>
      </c>
      <c r="E901" s="169" t="str">
        <f>IF(K901&lt;&gt;"",VLOOKUP(K901,'Catálogo SAP'!$A$1:$F$245,2,FALSE),"-")</f>
        <v>-</v>
      </c>
      <c r="F901" s="16"/>
      <c r="G901" s="16"/>
      <c r="H901" s="22"/>
      <c r="I901" s="133"/>
      <c r="J901" s="162" t="str">
        <f t="shared" si="280"/>
        <v/>
      </c>
      <c r="K901" s="16"/>
      <c r="L901" s="167" t="str">
        <f>IF(K901&lt;&gt;"",VLOOKUP(K901,'Catálogo SAP'!A:F,3,FALSE),"")</f>
        <v/>
      </c>
      <c r="M901" s="162" t="str">
        <f>IF(K901&lt;&gt;"",VLOOKUP(K901,'Catálogo SAP'!A:F,4,FALSE),"")</f>
        <v/>
      </c>
      <c r="N901" s="168" t="str">
        <f>IF(K901&lt;&gt;"",VLOOKUP(K901,'Catálogo SAP'!A:F,5,FALSE),"")</f>
        <v/>
      </c>
      <c r="O901" s="160"/>
      <c r="P901" s="70" t="str">
        <f t="shared" si="273"/>
        <v>-</v>
      </c>
      <c r="Q901" s="163" t="str">
        <f t="shared" si="281"/>
        <v>-</v>
      </c>
      <c r="R901" s="44" t="str">
        <f>IF(J901&lt;&gt;"",VLOOKUP(J901,'RESUMO DR'!$B$4:$E$253,4,FALSE),"-")</f>
        <v>-</v>
      </c>
      <c r="S901" s="58" t="str">
        <f>IF(J901&lt;&gt;"",VLOOKUP(J901,'RESUMO DR'!$B$4:$E$253,3,FALSE),"-")</f>
        <v>-</v>
      </c>
      <c r="X901" s="1" t="str">
        <f t="shared" si="278"/>
        <v>-</v>
      </c>
      <c r="Y901" s="1" t="str">
        <f t="shared" si="279"/>
        <v>-</v>
      </c>
    </row>
    <row r="902" spans="1:28" ht="18" customHeight="1">
      <c r="A902" s="5">
        <v>2670</v>
      </c>
      <c r="B902" s="21">
        <v>45674</v>
      </c>
      <c r="C902" s="21" t="s">
        <v>307</v>
      </c>
      <c r="D902" s="74" t="str">
        <f t="shared" si="276"/>
        <v>sex</v>
      </c>
      <c r="E902" s="169">
        <f>IF(K902&lt;&gt;"",VLOOKUP(K902,'Catálogo SAP'!$A$1:$F$245,2,FALSE),"-")</f>
        <v>200</v>
      </c>
      <c r="F902" s="16">
        <v>69647</v>
      </c>
      <c r="G902" s="16">
        <v>69929</v>
      </c>
      <c r="H902" s="22"/>
      <c r="I902" s="133">
        <v>146</v>
      </c>
      <c r="J902" s="162" t="str">
        <f t="shared" si="280"/>
        <v>RIBAMAR FIQUENE</v>
      </c>
      <c r="K902" s="16">
        <v>200</v>
      </c>
      <c r="L902" s="167" t="str">
        <f>IF(K902&lt;&gt;"",VLOOKUP(K902,'Catálogo SAP'!A:F,3,FALSE),"")</f>
        <v>S.VP-01445</v>
      </c>
      <c r="M902" s="162" t="str">
        <f>IF(K902&lt;&gt;"",VLOOKUP(K902,'Catálogo SAP'!A:F,4,FALSE),"")</f>
        <v>Km Rodado Caminhão Basculante - C/Motorista</v>
      </c>
      <c r="N902" s="168" t="str">
        <f>IF(K902&lt;&gt;"",VLOOKUP(K902,'Catálogo SAP'!A:F,5,FALSE),"")</f>
        <v>KM</v>
      </c>
      <c r="O902" s="160">
        <v>282</v>
      </c>
      <c r="P902" s="70">
        <f t="shared" ref="P902:P965" si="282">IF(G902="","-",G902-F902)</f>
        <v>282</v>
      </c>
      <c r="Q902" s="163" t="e">
        <f t="shared" si="281"/>
        <v>#VALUE!</v>
      </c>
      <c r="R902" s="44" t="str">
        <f>IF(J902&lt;&gt;"",VLOOKUP(J902,'RESUMO DR'!$B$4:$E$253,4,FALSE),"-")</f>
        <v>T-01</v>
      </c>
      <c r="S902" s="58" t="str">
        <f>IF(J902&lt;&gt;"",VLOOKUP(J902,'RESUMO DR'!$B$4:$E$253,3,FALSE),"-")</f>
        <v>IMPERATRIZ</v>
      </c>
      <c r="X902" s="1" t="str">
        <f t="shared" si="278"/>
        <v>-</v>
      </c>
      <c r="Y902" s="1" t="str">
        <f t="shared" si="279"/>
        <v>-</v>
      </c>
    </row>
    <row r="903" spans="1:28" ht="18" customHeight="1">
      <c r="A903" s="5">
        <v>2670</v>
      </c>
      <c r="B903" s="21">
        <v>45674</v>
      </c>
      <c r="C903" s="21" t="s">
        <v>308</v>
      </c>
      <c r="D903" s="74" t="str">
        <f t="shared" si="276"/>
        <v>sex</v>
      </c>
      <c r="E903" s="169">
        <f>IF(K903&lt;&gt;"",VLOOKUP(K903,'Catálogo SAP'!$A$1:$F$245,2,FALSE),"-")</f>
        <v>200</v>
      </c>
      <c r="F903" s="16">
        <v>68613</v>
      </c>
      <c r="G903" s="16">
        <v>69042</v>
      </c>
      <c r="H903" s="22"/>
      <c r="I903" s="133">
        <v>146</v>
      </c>
      <c r="J903" s="162" t="str">
        <f t="shared" si="280"/>
        <v>RIBAMAR FIQUENE</v>
      </c>
      <c r="K903" s="16">
        <v>200</v>
      </c>
      <c r="L903" s="167" t="str">
        <f>IF(K903&lt;&gt;"",VLOOKUP(K903,'Catálogo SAP'!A:F,3,FALSE),"")</f>
        <v>S.VP-01445</v>
      </c>
      <c r="M903" s="162" t="str">
        <f>IF(K903&lt;&gt;"",VLOOKUP(K903,'Catálogo SAP'!A:F,4,FALSE),"")</f>
        <v>Km Rodado Caminhão Basculante - C/Motorista</v>
      </c>
      <c r="N903" s="168" t="str">
        <f>IF(K903&lt;&gt;"",VLOOKUP(K903,'Catálogo SAP'!A:F,5,FALSE),"")</f>
        <v>KM</v>
      </c>
      <c r="O903" s="160">
        <v>429</v>
      </c>
      <c r="P903" s="70">
        <f t="shared" si="282"/>
        <v>429</v>
      </c>
      <c r="Q903" s="163" t="e">
        <f t="shared" si="281"/>
        <v>#VALUE!</v>
      </c>
      <c r="R903" s="44" t="str">
        <f>IF(J903&lt;&gt;"",VLOOKUP(J903,'RESUMO DR'!$B$4:$E$253,4,FALSE),"-")</f>
        <v>T-01</v>
      </c>
      <c r="S903" s="58" t="str">
        <f>IF(J903&lt;&gt;"",VLOOKUP(J903,'RESUMO DR'!$B$4:$E$253,3,FALSE),"-")</f>
        <v>IMPERATRIZ</v>
      </c>
      <c r="X903" s="1" t="str">
        <f t="shared" si="278"/>
        <v>-</v>
      </c>
      <c r="Y903" s="1" t="str">
        <f t="shared" si="279"/>
        <v>-</v>
      </c>
    </row>
    <row r="904" spans="1:28" ht="18" customHeight="1">
      <c r="A904" s="5">
        <v>2672</v>
      </c>
      <c r="B904" s="21">
        <v>45674</v>
      </c>
      <c r="C904" s="21" t="s">
        <v>127</v>
      </c>
      <c r="D904" s="74" t="str">
        <f t="shared" si="276"/>
        <v>sex</v>
      </c>
      <c r="E904" s="169">
        <f>IF(K904&lt;&gt;"",VLOOKUP(K904,'Catálogo SAP'!$A$1:$F$245,2,FALSE),"-")</f>
        <v>200</v>
      </c>
      <c r="F904" s="16">
        <v>50820</v>
      </c>
      <c r="G904" s="16">
        <v>50850</v>
      </c>
      <c r="H904" s="22"/>
      <c r="I904" s="133">
        <v>24</v>
      </c>
      <c r="J904" s="162" t="str">
        <f t="shared" si="280"/>
        <v>S.F. BREJÃO</v>
      </c>
      <c r="K904" s="16">
        <v>200</v>
      </c>
      <c r="L904" s="167" t="str">
        <f>IF(K904&lt;&gt;"",VLOOKUP(K904,'Catálogo SAP'!A:F,3,FALSE),"")</f>
        <v>S.VP-01445</v>
      </c>
      <c r="M904" s="162" t="str">
        <f>IF(K904&lt;&gt;"",VLOOKUP(K904,'Catálogo SAP'!A:F,4,FALSE),"")</f>
        <v>Km Rodado Caminhão Basculante - C/Motorista</v>
      </c>
      <c r="N904" s="168" t="str">
        <f>IF(K904&lt;&gt;"",VLOOKUP(K904,'Catálogo SAP'!A:F,5,FALSE),"")</f>
        <v>KM</v>
      </c>
      <c r="O904" s="160">
        <v>30</v>
      </c>
      <c r="P904" s="70">
        <f t="shared" si="282"/>
        <v>30</v>
      </c>
      <c r="Q904" s="163" t="e">
        <f t="shared" si="281"/>
        <v>#VALUE!</v>
      </c>
      <c r="R904" s="44" t="str">
        <f>IF(J904&lt;&gt;"",VLOOKUP(J904,'RESUMO DR'!$B$4:$E$253,4,FALSE),"-")</f>
        <v>T-01</v>
      </c>
      <c r="S904" s="58" t="str">
        <f>IF(J904&lt;&gt;"",VLOOKUP(J904,'RESUMO DR'!$B$4:$E$253,3,FALSE),"-")</f>
        <v>IMPERATRIZ</v>
      </c>
      <c r="X904" s="1" t="str">
        <f t="shared" si="278"/>
        <v>-</v>
      </c>
      <c r="Y904" s="1" t="str">
        <f t="shared" si="279"/>
        <v>-</v>
      </c>
    </row>
    <row r="905" spans="1:28" ht="18" customHeight="1">
      <c r="A905" s="5">
        <v>2670</v>
      </c>
      <c r="B905" s="21">
        <v>45674</v>
      </c>
      <c r="C905" s="21" t="s">
        <v>313</v>
      </c>
      <c r="D905" s="74" t="str">
        <f t="shared" si="276"/>
        <v>sex</v>
      </c>
      <c r="E905" s="169">
        <f>IF(K905&lt;&gt;"",VLOOKUP(K905,'Catálogo SAP'!$A$1:$F$245,2,FALSE),"-")</f>
        <v>200</v>
      </c>
      <c r="F905" s="16">
        <v>64511</v>
      </c>
      <c r="G905" s="16">
        <v>64773</v>
      </c>
      <c r="H905" s="22"/>
      <c r="I905" s="133">
        <v>146</v>
      </c>
      <c r="J905" s="162" t="str">
        <f t="shared" si="280"/>
        <v>RIBAMAR FIQUENE</v>
      </c>
      <c r="K905" s="16">
        <v>200</v>
      </c>
      <c r="L905" s="167" t="str">
        <f>IF(K905&lt;&gt;"",VLOOKUP(K905,'Catálogo SAP'!A:F,3,FALSE),"")</f>
        <v>S.VP-01445</v>
      </c>
      <c r="M905" s="162" t="str">
        <f>IF(K905&lt;&gt;"",VLOOKUP(K905,'Catálogo SAP'!A:F,4,FALSE),"")</f>
        <v>Km Rodado Caminhão Basculante - C/Motorista</v>
      </c>
      <c r="N905" s="168" t="str">
        <f>IF(K905&lt;&gt;"",VLOOKUP(K905,'Catálogo SAP'!A:F,5,FALSE),"")</f>
        <v>KM</v>
      </c>
      <c r="O905" s="160">
        <v>262</v>
      </c>
      <c r="P905" s="70">
        <f t="shared" si="282"/>
        <v>262</v>
      </c>
      <c r="Q905" s="163" t="e">
        <f t="shared" si="281"/>
        <v>#VALUE!</v>
      </c>
      <c r="R905" s="44" t="str">
        <f>IF(J905&lt;&gt;"",VLOOKUP(J905,'RESUMO DR'!$B$4:$E$253,4,FALSE),"-")</f>
        <v>T-01</v>
      </c>
      <c r="S905" s="58" t="str">
        <f>IF(J905&lt;&gt;"",VLOOKUP(J905,'RESUMO DR'!$B$4:$E$253,3,FALSE),"-")</f>
        <v>IMPERATRIZ</v>
      </c>
      <c r="X905" s="1" t="str">
        <f t="shared" si="278"/>
        <v>-</v>
      </c>
      <c r="Y905" s="1" t="str">
        <f t="shared" si="279"/>
        <v>-</v>
      </c>
    </row>
    <row r="906" spans="1:28" ht="18" customHeight="1">
      <c r="A906" s="5">
        <v>2670</v>
      </c>
      <c r="B906" s="21">
        <v>45674</v>
      </c>
      <c r="C906" s="21" t="s">
        <v>312</v>
      </c>
      <c r="D906" s="74" t="str">
        <f t="shared" si="276"/>
        <v>sex</v>
      </c>
      <c r="E906" s="169">
        <f>IF(K906&lt;&gt;"",VLOOKUP(K906,'Catálogo SAP'!$A$1:$F$245,2,FALSE),"-")</f>
        <v>200</v>
      </c>
      <c r="F906" s="16">
        <v>77655</v>
      </c>
      <c r="G906" s="16">
        <v>77919</v>
      </c>
      <c r="H906" s="22"/>
      <c r="I906" s="133">
        <v>146</v>
      </c>
      <c r="J906" s="162" t="str">
        <f t="shared" si="280"/>
        <v>RIBAMAR FIQUENE</v>
      </c>
      <c r="K906" s="16">
        <v>200</v>
      </c>
      <c r="L906" s="167" t="str">
        <f>IF(K906&lt;&gt;"",VLOOKUP(K906,'Catálogo SAP'!A:F,3,FALSE),"")</f>
        <v>S.VP-01445</v>
      </c>
      <c r="M906" s="162" t="str">
        <f>IF(K906&lt;&gt;"",VLOOKUP(K906,'Catálogo SAP'!A:F,4,FALSE),"")</f>
        <v>Km Rodado Caminhão Basculante - C/Motorista</v>
      </c>
      <c r="N906" s="168" t="str">
        <f>IF(K906&lt;&gt;"",VLOOKUP(K906,'Catálogo SAP'!A:F,5,FALSE),"")</f>
        <v>KM</v>
      </c>
      <c r="O906" s="160">
        <v>264</v>
      </c>
      <c r="P906" s="70">
        <f t="shared" si="282"/>
        <v>264</v>
      </c>
      <c r="Q906" s="163" t="e">
        <f t="shared" si="281"/>
        <v>#VALUE!</v>
      </c>
      <c r="R906" s="44" t="str">
        <f>IF(J906&lt;&gt;"",VLOOKUP(J906,'RESUMO DR'!$B$4:$E$253,4,FALSE),"-")</f>
        <v>T-01</v>
      </c>
      <c r="S906" s="58" t="str">
        <f>IF(J906&lt;&gt;"",VLOOKUP(J906,'RESUMO DR'!$B$4:$E$253,3,FALSE),"-")</f>
        <v>IMPERATRIZ</v>
      </c>
      <c r="X906" s="1" t="str">
        <f t="shared" si="278"/>
        <v>-</v>
      </c>
      <c r="Y906" s="1" t="str">
        <f t="shared" si="279"/>
        <v>-</v>
      </c>
    </row>
    <row r="907" spans="1:28" ht="18" customHeight="1">
      <c r="A907" s="5">
        <v>2663</v>
      </c>
      <c r="B907" s="21">
        <v>45674</v>
      </c>
      <c r="C907" s="21" t="s">
        <v>129</v>
      </c>
      <c r="D907" s="74" t="str">
        <f>IF(B907="","-",TEXT(B907,"ddd"))</f>
        <v>sex</v>
      </c>
      <c r="E907" s="169">
        <f>IF(K907&lt;&gt;"",VLOOKUP(K907,'Catálogo SAP'!$A$1:$F$245,2,FALSE),"-")</f>
        <v>210</v>
      </c>
      <c r="F907" s="16">
        <v>8172</v>
      </c>
      <c r="G907" s="16">
        <v>8172</v>
      </c>
      <c r="H907" s="22"/>
      <c r="I907" s="133">
        <v>438</v>
      </c>
      <c r="J907" s="162" t="str">
        <f t="shared" si="280"/>
        <v>Palmeirante</v>
      </c>
      <c r="K907" s="16">
        <v>210</v>
      </c>
      <c r="L907" s="167" t="str">
        <f>IF(K907&lt;&gt;"",VLOOKUP(K907,'Catálogo SAP'!A:F,3,FALSE),"")</f>
        <v>S.VP-01446</v>
      </c>
      <c r="M907" s="162" t="str">
        <f>IF(K907&lt;&gt;"",VLOOKUP(K907,'Catálogo SAP'!A:F,4,FALSE),"")</f>
        <v>Hora Improdutiva Basculante - C/Motorista</v>
      </c>
      <c r="N907" s="168" t="str">
        <f>IF(K907&lt;&gt;"",VLOOKUP(K907,'Catálogo SAP'!A:F,5,FALSE),"")</f>
        <v>H</v>
      </c>
      <c r="O907" s="160">
        <v>8</v>
      </c>
      <c r="P907" s="70">
        <f t="shared" si="282"/>
        <v>0</v>
      </c>
      <c r="Q907" s="163" t="e">
        <f t="shared" si="281"/>
        <v>#VALUE!</v>
      </c>
      <c r="R907" s="44" t="str">
        <f>IF(J907&lt;&gt;"",VLOOKUP(J907,'RESUMO DR'!$B$4:$E$253,4,FALSE),"-")</f>
        <v>T-02</v>
      </c>
      <c r="S907" s="58" t="str">
        <f>IF(J907&lt;&gt;"",VLOOKUP(J907,'RESUMO DR'!$B$4:$E$253,3,FALSE),"-")</f>
        <v>ARAGUAINA</v>
      </c>
      <c r="X907" s="1" t="str">
        <f t="shared" si="278"/>
        <v>-</v>
      </c>
      <c r="Y907" s="1" t="str">
        <f t="shared" si="279"/>
        <v>-</v>
      </c>
    </row>
    <row r="908" spans="1:28" ht="18" customHeight="1">
      <c r="A908" s="5">
        <v>2670</v>
      </c>
      <c r="B908" s="21">
        <v>45674</v>
      </c>
      <c r="C908" s="21" t="s">
        <v>298</v>
      </c>
      <c r="D908" s="74" t="str">
        <f>IF(B908="","-",TEXT(B908,"ddd"))</f>
        <v>sex</v>
      </c>
      <c r="E908" s="169">
        <f>IF(K908&lt;&gt;"",VLOOKUP(K908,'Catálogo SAP'!$A$1:$F$245,2,FALSE),"-")</f>
        <v>160</v>
      </c>
      <c r="F908" s="16">
        <v>611</v>
      </c>
      <c r="G908" s="16">
        <v>620</v>
      </c>
      <c r="H908" s="22"/>
      <c r="I908" s="133">
        <v>147</v>
      </c>
      <c r="J908" s="162" t="str">
        <f t="shared" si="280"/>
        <v>RIBAMAR FIQUENE</v>
      </c>
      <c r="K908" s="16">
        <v>160</v>
      </c>
      <c r="L908" s="167" t="str">
        <f>IF(K908&lt;&gt;"",VLOOKUP(K908,'Catálogo SAP'!A:F,3,FALSE),"")</f>
        <v>S.VP-01441</v>
      </c>
      <c r="M908" s="162" t="str">
        <f>IF(K908&lt;&gt;"",VLOOKUP(K908,'Catálogo SAP'!A:F,4,FALSE),"")</f>
        <v>Hora Produtiva Pa Carregadeira C/Operador</v>
      </c>
      <c r="N908" s="168" t="str">
        <f>IF(K908&lt;&gt;"",VLOOKUP(K908,'Catálogo SAP'!A:F,5,FALSE),"")</f>
        <v>H</v>
      </c>
      <c r="O908" s="160">
        <v>9</v>
      </c>
      <c r="P908" s="70">
        <f t="shared" si="282"/>
        <v>9</v>
      </c>
      <c r="Q908" s="163" t="e">
        <f t="shared" si="281"/>
        <v>#VALUE!</v>
      </c>
      <c r="R908" s="44" t="str">
        <f>IF(J908&lt;&gt;"",VLOOKUP(J908,'RESUMO DR'!$B$4:$E$253,4,FALSE),"-")</f>
        <v>T-01</v>
      </c>
      <c r="S908" s="58" t="str">
        <f>IF(J908&lt;&gt;"",VLOOKUP(J908,'RESUMO DR'!$B$4:$E$253,3,FALSE),"-")</f>
        <v>IMPERATRIZ</v>
      </c>
      <c r="X908" s="1" t="str">
        <f t="shared" si="278"/>
        <v>-</v>
      </c>
      <c r="Y908" s="1" t="str">
        <f t="shared" si="279"/>
        <v>-</v>
      </c>
    </row>
    <row r="909" spans="1:28" ht="18" customHeight="1">
      <c r="A909" s="5"/>
      <c r="B909" s="21">
        <v>45674</v>
      </c>
      <c r="C909" s="21" t="s">
        <v>298</v>
      </c>
      <c r="D909" s="74" t="str">
        <f>IF(B909="","-",TEXT(B909,"ddd"))</f>
        <v>sex</v>
      </c>
      <c r="E909" s="169" t="str">
        <f>IF(K909&lt;&gt;"",VLOOKUP(K909,'Catálogo SAP'!$A$1:$F$245,2,FALSE),"-")</f>
        <v>-</v>
      </c>
      <c r="F909" s="16"/>
      <c r="G909" s="16"/>
      <c r="H909" s="22"/>
      <c r="I909" s="133"/>
      <c r="J909" s="162" t="str">
        <f t="shared" si="280"/>
        <v/>
      </c>
      <c r="K909" s="16"/>
      <c r="L909" s="167" t="str">
        <f>IF(K909&lt;&gt;"",VLOOKUP(K909,'Catálogo SAP'!A:F,3,FALSE),"")</f>
        <v/>
      </c>
      <c r="M909" s="162" t="str">
        <f>IF(K909&lt;&gt;"",VLOOKUP(K909,'Catálogo SAP'!A:F,4,FALSE),"")</f>
        <v/>
      </c>
      <c r="N909" s="168" t="str">
        <f>IF(K909&lt;&gt;"",VLOOKUP(K909,'Catálogo SAP'!A:F,5,FALSE),"")</f>
        <v/>
      </c>
      <c r="O909" s="160"/>
      <c r="P909" s="70" t="str">
        <f t="shared" si="282"/>
        <v>-</v>
      </c>
      <c r="Q909" s="163" t="str">
        <f t="shared" si="281"/>
        <v>-</v>
      </c>
      <c r="R909" s="44" t="str">
        <f>IF(J909&lt;&gt;"",VLOOKUP(J909,'RESUMO DR'!$B$4:$E$253,4,FALSE),"-")</f>
        <v>-</v>
      </c>
      <c r="S909" s="58" t="str">
        <f>IF(J909&lt;&gt;"",VLOOKUP(J909,'RESUMO DR'!$B$4:$E$253,3,FALSE),"-")</f>
        <v>-</v>
      </c>
      <c r="X909" s="1" t="str">
        <f t="shared" si="278"/>
        <v>-</v>
      </c>
      <c r="Y909" s="1" t="str">
        <f t="shared" si="279"/>
        <v>-</v>
      </c>
    </row>
    <row r="910" spans="1:28" ht="18" customHeight="1">
      <c r="A910" s="5">
        <v>2671</v>
      </c>
      <c r="B910" s="21">
        <v>45674</v>
      </c>
      <c r="C910" s="21" t="s">
        <v>131</v>
      </c>
      <c r="D910" s="74" t="str">
        <f t="shared" si="276"/>
        <v>sex</v>
      </c>
      <c r="E910" s="169">
        <f>IF(K910&lt;&gt;"",VLOOKUP(K910,'Catálogo SAP'!$A$1:$F$245,2,FALSE),"-")</f>
        <v>520</v>
      </c>
      <c r="F910" s="16">
        <v>10694</v>
      </c>
      <c r="G910" s="16">
        <v>10702</v>
      </c>
      <c r="H910" s="22"/>
      <c r="I910" s="133">
        <v>195</v>
      </c>
      <c r="J910" s="162" t="str">
        <f t="shared" si="280"/>
        <v>PORTO FRANCO</v>
      </c>
      <c r="K910" s="16">
        <v>520</v>
      </c>
      <c r="L910" s="167" t="str">
        <f>IF(K910&lt;&gt;"",VLOOKUP(K910,'Catálogo SAP'!A:F,3,FALSE),"")</f>
        <v>S.VP-01469</v>
      </c>
      <c r="M910" s="162" t="str">
        <f>IF(K910&lt;&gt;"",VLOOKUP(K910,'Catálogo SAP'!A:F,4,FALSE),"")</f>
        <v>Hora Produtiva Escavadeira Hidraulica</v>
      </c>
      <c r="N910" s="168" t="str">
        <f>IF(K910&lt;&gt;"",VLOOKUP(K910,'Catálogo SAP'!A:F,5,FALSE),"")</f>
        <v>H</v>
      </c>
      <c r="O910" s="160">
        <v>8</v>
      </c>
      <c r="P910" s="70">
        <f t="shared" si="282"/>
        <v>8</v>
      </c>
      <c r="Q910" s="163" t="e">
        <f t="shared" si="281"/>
        <v>#VALUE!</v>
      </c>
      <c r="R910" s="44" t="str">
        <f>IF(J910&lt;&gt;"",VLOOKUP(J910,'RESUMO DR'!$B$4:$E$253,4,FALSE),"-")</f>
        <v>T-01</v>
      </c>
      <c r="S910" s="58" t="str">
        <f>IF(J910&lt;&gt;"",VLOOKUP(J910,'RESUMO DR'!$B$4:$E$253,3,FALSE),"-")</f>
        <v>IMPERATRIZ</v>
      </c>
      <c r="T910" s="129"/>
      <c r="U910" s="129"/>
      <c r="V910" s="129"/>
      <c r="Y910" s="161"/>
      <c r="Z910" s="38"/>
    </row>
    <row r="911" spans="1:28" ht="18" customHeight="1">
      <c r="A911" s="5"/>
      <c r="B911" s="21">
        <v>45674</v>
      </c>
      <c r="C911" s="21" t="s">
        <v>131</v>
      </c>
      <c r="D911" s="74" t="str">
        <f t="shared" si="276"/>
        <v>sex</v>
      </c>
      <c r="E911" s="169" t="str">
        <f>IF(K911&lt;&gt;"",VLOOKUP(K911,'Catálogo SAP'!$A$1:$F$245,2,FALSE),"-")</f>
        <v>-</v>
      </c>
      <c r="F911" s="16"/>
      <c r="G911" s="16"/>
      <c r="H911" s="22"/>
      <c r="I911" s="133"/>
      <c r="J911" s="162" t="str">
        <f t="shared" si="280"/>
        <v/>
      </c>
      <c r="K911" s="16"/>
      <c r="L911" s="167" t="str">
        <f>IF(K911&lt;&gt;"",VLOOKUP(K911,'Catálogo SAP'!A:F,3,FALSE),"")</f>
        <v/>
      </c>
      <c r="M911" s="162" t="str">
        <f>IF(K911&lt;&gt;"",VLOOKUP(K911,'Catálogo SAP'!A:F,4,FALSE),"")</f>
        <v/>
      </c>
      <c r="N911" s="168" t="str">
        <f>IF(K911&lt;&gt;"",VLOOKUP(K911,'Catálogo SAP'!A:F,5,FALSE),"")</f>
        <v/>
      </c>
      <c r="O911" s="160"/>
      <c r="P911" s="70" t="str">
        <f t="shared" si="282"/>
        <v>-</v>
      </c>
      <c r="Q911" s="163" t="str">
        <f t="shared" si="281"/>
        <v>-</v>
      </c>
      <c r="R911" s="44" t="str">
        <f>IF(J911&lt;&gt;"",VLOOKUP(J911,'RESUMO DR'!$B$4:$E$253,4,FALSE),"-")</f>
        <v>-</v>
      </c>
      <c r="S911" s="58" t="str">
        <f>IF(J911&lt;&gt;"",VLOOKUP(J911,'RESUMO DR'!$B$4:$E$253,3,FALSE),"-")</f>
        <v>-</v>
      </c>
      <c r="T911" s="129"/>
      <c r="U911" s="129"/>
      <c r="V911" s="129"/>
      <c r="Y911" s="38"/>
      <c r="Z911" s="38"/>
    </row>
    <row r="912" spans="1:28" ht="18" customHeight="1">
      <c r="A912" s="5">
        <v>2665</v>
      </c>
      <c r="B912" s="21">
        <v>45674</v>
      </c>
      <c r="C912" s="21" t="s">
        <v>311</v>
      </c>
      <c r="D912" s="74" t="str">
        <f t="shared" si="276"/>
        <v>sex</v>
      </c>
      <c r="E912" s="169">
        <f>IF(K912&lt;&gt;"",VLOOKUP(K912,'Catálogo SAP'!$A$1:$F$245,2,FALSE),"-")</f>
        <v>130</v>
      </c>
      <c r="F912" s="16">
        <v>1239</v>
      </c>
      <c r="G912" s="16">
        <v>1239</v>
      </c>
      <c r="H912" s="22"/>
      <c r="I912" s="133">
        <v>216</v>
      </c>
      <c r="J912" s="162" t="str">
        <f t="shared" si="280"/>
        <v>AGUIARNÓPOLIS</v>
      </c>
      <c r="K912" s="16">
        <v>130</v>
      </c>
      <c r="L912" s="167" t="str">
        <f>IF(K912&lt;&gt;"",VLOOKUP(K912,'Catálogo SAP'!A:F,3,FALSE),"")</f>
        <v>S.VP-01438</v>
      </c>
      <c r="M912" s="162" t="str">
        <f>IF(K912&lt;&gt;"",VLOOKUP(K912,'Catálogo SAP'!A:F,4,FALSE),"")</f>
        <v>Hr Improdutiva Retroescavadeira C/Operador</v>
      </c>
      <c r="N912" s="168" t="str">
        <f>IF(K912&lt;&gt;"",VLOOKUP(K912,'Catálogo SAP'!A:F,5,FALSE),"")</f>
        <v>H</v>
      </c>
      <c r="O912" s="160">
        <v>8</v>
      </c>
      <c r="P912" s="70">
        <f t="shared" si="282"/>
        <v>0</v>
      </c>
      <c r="Q912" s="163" t="e">
        <f t="shared" si="281"/>
        <v>#VALUE!</v>
      </c>
      <c r="R912" s="44" t="str">
        <f>IF(J912&lt;&gt;"",VLOOKUP(J912,'RESUMO DR'!$B$4:$E$253,4,FALSE),"-")</f>
        <v>T-02</v>
      </c>
      <c r="S912" s="58" t="str">
        <f>IF(J912&lt;&gt;"",VLOOKUP(J912,'RESUMO DR'!$B$4:$E$253,3,FALSE),"-")</f>
        <v>ARAGUAINA</v>
      </c>
      <c r="T912" s="38"/>
      <c r="U912" s="129"/>
      <c r="V912" s="129"/>
      <c r="Y912" s="38"/>
      <c r="Z912" s="38"/>
      <c r="AA912" s="38"/>
      <c r="AB912" s="172"/>
    </row>
    <row r="913" spans="1:28" ht="18" customHeight="1">
      <c r="A913" s="5"/>
      <c r="B913" s="21">
        <v>45674</v>
      </c>
      <c r="C913" s="21" t="s">
        <v>311</v>
      </c>
      <c r="D913" s="74" t="str">
        <f t="shared" si="276"/>
        <v>sex</v>
      </c>
      <c r="E913" s="169" t="str">
        <f>IF(K913&lt;&gt;"",VLOOKUP(K913,'Catálogo SAP'!$A$1:$F$245,2,FALSE),"-")</f>
        <v>-</v>
      </c>
      <c r="F913" s="16"/>
      <c r="G913" s="16"/>
      <c r="H913" s="22"/>
      <c r="I913" s="133"/>
      <c r="J913" s="162" t="str">
        <f t="shared" si="280"/>
        <v/>
      </c>
      <c r="K913" s="16"/>
      <c r="L913" s="167" t="str">
        <f>IF(K913&lt;&gt;"",VLOOKUP(K913,'Catálogo SAP'!A:F,3,FALSE),"")</f>
        <v/>
      </c>
      <c r="M913" s="162" t="str">
        <f>IF(K913&lt;&gt;"",VLOOKUP(K913,'Catálogo SAP'!A:F,4,FALSE),"")</f>
        <v/>
      </c>
      <c r="N913" s="168" t="str">
        <f>IF(K913&lt;&gt;"",VLOOKUP(K913,'Catálogo SAP'!A:F,5,FALSE),"")</f>
        <v/>
      </c>
      <c r="O913" s="160"/>
      <c r="P913" s="70" t="str">
        <f t="shared" si="282"/>
        <v>-</v>
      </c>
      <c r="Q913" s="163" t="str">
        <f t="shared" si="281"/>
        <v>-</v>
      </c>
      <c r="R913" s="44" t="str">
        <f>IF(J913&lt;&gt;"",VLOOKUP(J913,'RESUMO DR'!$B$4:$E$253,4,FALSE),"-")</f>
        <v>-</v>
      </c>
      <c r="S913" s="58" t="str">
        <f>IF(J913&lt;&gt;"",VLOOKUP(J913,'RESUMO DR'!$B$4:$E$253,3,FALSE),"-")</f>
        <v>-</v>
      </c>
      <c r="T913" s="38"/>
      <c r="U913" s="129"/>
      <c r="V913" s="129"/>
      <c r="Y913" s="38"/>
      <c r="AA913" s="38"/>
    </row>
    <row r="914" spans="1:28" ht="18" customHeight="1">
      <c r="A914" s="5">
        <v>2672</v>
      </c>
      <c r="B914" s="21">
        <v>45674</v>
      </c>
      <c r="C914" s="21" t="s">
        <v>305</v>
      </c>
      <c r="D914" s="74" t="str">
        <f t="shared" si="276"/>
        <v>sex</v>
      </c>
      <c r="E914" s="169">
        <f>IF(K914&lt;&gt;"",VLOOKUP(K914,'Catálogo SAP'!$A$1:$F$245,2,FALSE),"-")</f>
        <v>280</v>
      </c>
      <c r="F914" s="16">
        <v>269</v>
      </c>
      <c r="G914" s="16">
        <v>277</v>
      </c>
      <c r="H914" s="22"/>
      <c r="I914" s="133">
        <v>24</v>
      </c>
      <c r="J914" s="162" t="str">
        <f t="shared" si="280"/>
        <v>S.F. BREJÃO</v>
      </c>
      <c r="K914" s="16">
        <v>280</v>
      </c>
      <c r="L914" s="167" t="str">
        <f>IF(K914&lt;&gt;"",VLOOKUP(K914,'Catálogo SAP'!A:F,3,FALSE),"")</f>
        <v>S.VP-01453</v>
      </c>
      <c r="M914" s="162" t="str">
        <f>IF(K914&lt;&gt;"",VLOOKUP(K914,'Catálogo SAP'!A:F,4,FALSE),"")</f>
        <v>Hora Produtiva Motoniveladora C/Operador</v>
      </c>
      <c r="N914" s="168" t="str">
        <f>IF(K914&lt;&gt;"",VLOOKUP(K914,'Catálogo SAP'!A:F,5,FALSE),"")</f>
        <v>H</v>
      </c>
      <c r="O914" s="160">
        <v>8</v>
      </c>
      <c r="P914" s="70">
        <f t="shared" si="282"/>
        <v>8</v>
      </c>
      <c r="Q914" s="163" t="e">
        <f t="shared" si="281"/>
        <v>#VALUE!</v>
      </c>
      <c r="R914" s="44" t="str">
        <f>IF(J914&lt;&gt;"",VLOOKUP(J914,'RESUMO DR'!$B$4:$E$253,4,FALSE),"-")</f>
        <v>T-01</v>
      </c>
      <c r="S914" s="58" t="str">
        <f>IF(J914&lt;&gt;"",VLOOKUP(J914,'RESUMO DR'!$B$4:$E$253,3,FALSE),"-")</f>
        <v>IMPERATRIZ</v>
      </c>
      <c r="U914" s="129"/>
      <c r="V914" s="129"/>
      <c r="AA914" s="38"/>
      <c r="AB914" s="38"/>
    </row>
    <row r="915" spans="1:28" ht="18" customHeight="1">
      <c r="A915" s="5"/>
      <c r="B915" s="21">
        <v>45674</v>
      </c>
      <c r="C915" s="21" t="s">
        <v>305</v>
      </c>
      <c r="D915" s="74" t="str">
        <f t="shared" si="276"/>
        <v>sex</v>
      </c>
      <c r="E915" s="169" t="str">
        <f>IF(K915&lt;&gt;"",VLOOKUP(K915,'Catálogo SAP'!$A$1:$F$245,2,FALSE),"-")</f>
        <v>-</v>
      </c>
      <c r="F915" s="16"/>
      <c r="G915" s="16"/>
      <c r="H915" s="22"/>
      <c r="I915" s="133"/>
      <c r="J915" s="162" t="str">
        <f t="shared" si="280"/>
        <v/>
      </c>
      <c r="K915" s="16"/>
      <c r="L915" s="167" t="str">
        <f>IF(K915&lt;&gt;"",VLOOKUP(K915,'Catálogo SAP'!A:F,3,FALSE),"")</f>
        <v/>
      </c>
      <c r="M915" s="162" t="str">
        <f>IF(K915&lt;&gt;"",VLOOKUP(K915,'Catálogo SAP'!A:F,4,FALSE),"")</f>
        <v/>
      </c>
      <c r="N915" s="168" t="str">
        <f>IF(K915&lt;&gt;"",VLOOKUP(K915,'Catálogo SAP'!A:F,5,FALSE),"")</f>
        <v/>
      </c>
      <c r="O915" s="160"/>
      <c r="P915" s="70" t="str">
        <f t="shared" si="282"/>
        <v>-</v>
      </c>
      <c r="Q915" s="163" t="str">
        <f t="shared" si="281"/>
        <v>-</v>
      </c>
      <c r="R915" s="44" t="str">
        <f>IF(J915&lt;&gt;"",VLOOKUP(J915,'RESUMO DR'!$B$4:$E$253,4,FALSE),"-")</f>
        <v>-</v>
      </c>
      <c r="S915" s="58" t="str">
        <f>IF(J915&lt;&gt;"",VLOOKUP(J915,'RESUMO DR'!$B$4:$E$253,3,FALSE),"-")</f>
        <v>-</v>
      </c>
      <c r="U915" s="129"/>
      <c r="AA915" s="38"/>
    </row>
    <row r="916" spans="1:28" ht="18" customHeight="1">
      <c r="A916" s="5">
        <v>2667</v>
      </c>
      <c r="B916" s="21">
        <v>45674</v>
      </c>
      <c r="C916" s="21" t="s">
        <v>300</v>
      </c>
      <c r="D916" s="74" t="str">
        <f t="shared" si="276"/>
        <v>sex</v>
      </c>
      <c r="E916" s="169">
        <f>IF(K916&lt;&gt;"",VLOOKUP(K916,'Catálogo SAP'!$A$1:$F$245,2,FALSE),"-")</f>
        <v>160</v>
      </c>
      <c r="F916" s="16">
        <v>163</v>
      </c>
      <c r="G916" s="16">
        <v>167</v>
      </c>
      <c r="H916" s="22"/>
      <c r="I916" s="133">
        <v>563</v>
      </c>
      <c r="J916" s="162" t="str">
        <f t="shared" si="280"/>
        <v>Tupirama</v>
      </c>
      <c r="K916" s="16">
        <v>160</v>
      </c>
      <c r="L916" s="167" t="str">
        <f>IF(K916&lt;&gt;"",VLOOKUP(K916,'Catálogo SAP'!A:F,3,FALSE),"")</f>
        <v>S.VP-01441</v>
      </c>
      <c r="M916" s="162" t="str">
        <f>IF(K916&lt;&gt;"",VLOOKUP(K916,'Catálogo SAP'!A:F,4,FALSE),"")</f>
        <v>Hora Produtiva Pa Carregadeira C/Operador</v>
      </c>
      <c r="N916" s="168" t="str">
        <f>IF(K916&lt;&gt;"",VLOOKUP(K916,'Catálogo SAP'!A:F,5,FALSE),"")</f>
        <v>H</v>
      </c>
      <c r="O916" s="160">
        <v>4</v>
      </c>
      <c r="P916" s="70">
        <f t="shared" si="282"/>
        <v>4</v>
      </c>
      <c r="Q916" s="163" t="e">
        <f t="shared" si="281"/>
        <v>#VALUE!</v>
      </c>
      <c r="R916" s="44" t="str">
        <f>IF(J916&lt;&gt;"",VLOOKUP(J916,'RESUMO DR'!$B$4:$E$253,4,FALSE),"-")</f>
        <v>T-03</v>
      </c>
      <c r="S916" s="58" t="str">
        <f>IF(J916&lt;&gt;"",VLOOKUP(J916,'RESUMO DR'!$B$4:$E$253,3,FALSE),"-")</f>
        <v>PALMAS</v>
      </c>
      <c r="AA916" s="38"/>
      <c r="AB916" s="38"/>
    </row>
    <row r="917" spans="1:28" ht="18" customHeight="1">
      <c r="A917" s="5">
        <v>2667</v>
      </c>
      <c r="B917" s="21">
        <v>45674</v>
      </c>
      <c r="C917" s="21" t="s">
        <v>300</v>
      </c>
      <c r="D917" s="74" t="str">
        <f t="shared" si="276"/>
        <v>sex</v>
      </c>
      <c r="E917" s="169">
        <f>IF(K917&lt;&gt;"",VLOOKUP(K917,'Catálogo SAP'!$A$1:$F$245,2,FALSE),"-")</f>
        <v>170</v>
      </c>
      <c r="F917" s="16">
        <v>167</v>
      </c>
      <c r="G917" s="16">
        <v>167</v>
      </c>
      <c r="H917" s="22"/>
      <c r="I917" s="133">
        <v>563</v>
      </c>
      <c r="J917" s="162" t="str">
        <f t="shared" si="280"/>
        <v>Tupirama</v>
      </c>
      <c r="K917" s="16">
        <v>170</v>
      </c>
      <c r="L917" s="167" t="str">
        <f>IF(K917&lt;&gt;"",VLOOKUP(K917,'Catálogo SAP'!A:F,3,FALSE),"")</f>
        <v>S.VP-01442</v>
      </c>
      <c r="M917" s="162" t="str">
        <f>IF(K917&lt;&gt;"",VLOOKUP(K917,'Catálogo SAP'!A:F,4,FALSE),"")</f>
        <v>Hora Improdutiva Pa Carregadeira C/Operador</v>
      </c>
      <c r="N917" s="168" t="str">
        <f>IF(K917&lt;&gt;"",VLOOKUP(K917,'Catálogo SAP'!A:F,5,FALSE),"")</f>
        <v>H</v>
      </c>
      <c r="O917" s="160">
        <v>4</v>
      </c>
      <c r="P917" s="70">
        <f t="shared" si="282"/>
        <v>0</v>
      </c>
      <c r="Q917" s="163" t="e">
        <f t="shared" si="281"/>
        <v>#VALUE!</v>
      </c>
      <c r="R917" s="44" t="str">
        <f>IF(J917&lt;&gt;"",VLOOKUP(J917,'RESUMO DR'!$B$4:$E$253,4,FALSE),"-")</f>
        <v>T-03</v>
      </c>
      <c r="S917" s="58" t="str">
        <f>IF(J917&lt;&gt;"",VLOOKUP(J917,'RESUMO DR'!$B$4:$E$253,3,FALSE),"-")</f>
        <v>PALMAS</v>
      </c>
    </row>
    <row r="918" spans="1:28" ht="18" customHeight="1">
      <c r="A918" s="5"/>
      <c r="B918" s="21">
        <v>45674</v>
      </c>
      <c r="C918" s="21" t="s">
        <v>134</v>
      </c>
      <c r="D918" s="74" t="str">
        <f t="shared" si="276"/>
        <v>sex</v>
      </c>
      <c r="E918" s="169" t="str">
        <f>IF(K918&lt;&gt;"",VLOOKUP(K918,'Catálogo SAP'!$A$1:$F$245,2,FALSE),"-")</f>
        <v>-</v>
      </c>
      <c r="F918" s="16"/>
      <c r="G918" s="16"/>
      <c r="H918" s="22"/>
      <c r="I918" s="133"/>
      <c r="J918" s="162" t="str">
        <f t="shared" si="280"/>
        <v/>
      </c>
      <c r="K918" s="16"/>
      <c r="L918" s="167" t="str">
        <f>IF(K918&lt;&gt;"",VLOOKUP(K918,'Catálogo SAP'!A:F,3,FALSE),"")</f>
        <v/>
      </c>
      <c r="M918" s="162" t="str">
        <f>IF(K918&lt;&gt;"",VLOOKUP(K918,'Catálogo SAP'!A:F,4,FALSE),"")</f>
        <v/>
      </c>
      <c r="N918" s="168" t="str">
        <f>IF(K918&lt;&gt;"",VLOOKUP(K918,'Catálogo SAP'!A:F,5,FALSE),"")</f>
        <v/>
      </c>
      <c r="O918" s="160"/>
      <c r="P918" s="70" t="str">
        <f t="shared" si="282"/>
        <v>-</v>
      </c>
      <c r="Q918" s="163" t="str">
        <f t="shared" si="281"/>
        <v>-</v>
      </c>
      <c r="R918" s="44" t="str">
        <f>IF(J918&lt;&gt;"",VLOOKUP(J918,'RESUMO DR'!$B$4:$E$253,4,FALSE),"-")</f>
        <v>-</v>
      </c>
      <c r="S918" s="58" t="str">
        <f>IF(J918&lt;&gt;"",VLOOKUP(J918,'RESUMO DR'!$B$4:$E$253,3,FALSE),"-")</f>
        <v>-</v>
      </c>
      <c r="AB918" s="38"/>
    </row>
    <row r="919" spans="1:28" ht="13.8">
      <c r="A919" s="5"/>
      <c r="B919" s="21">
        <v>45674</v>
      </c>
      <c r="C919" s="21" t="s">
        <v>134</v>
      </c>
      <c r="D919" s="74" t="str">
        <f t="shared" si="276"/>
        <v>sex</v>
      </c>
      <c r="E919" s="169" t="str">
        <f>IF(K919&lt;&gt;"",VLOOKUP(K919,'Catálogo SAP'!$A$1:$F$245,2,FALSE),"-")</f>
        <v>-</v>
      </c>
      <c r="F919" s="16"/>
      <c r="G919" s="16"/>
      <c r="H919" s="22"/>
      <c r="I919" s="133"/>
      <c r="J919" s="162" t="str">
        <f t="shared" si="280"/>
        <v/>
      </c>
      <c r="K919" s="16"/>
      <c r="L919" s="167" t="str">
        <f>IF(K919&lt;&gt;"",VLOOKUP(K919,'Catálogo SAP'!A:F,3,FALSE),"")</f>
        <v/>
      </c>
      <c r="M919" s="162" t="str">
        <f>IF(K919&lt;&gt;"",VLOOKUP(K919,'Catálogo SAP'!A:F,4,FALSE),"")</f>
        <v/>
      </c>
      <c r="N919" s="168" t="str">
        <f>IF(K919&lt;&gt;"",VLOOKUP(K919,'Catálogo SAP'!A:F,5,FALSE),"")</f>
        <v/>
      </c>
      <c r="O919" s="160"/>
      <c r="P919" s="70" t="str">
        <f t="shared" si="282"/>
        <v>-</v>
      </c>
      <c r="Q919" s="163" t="str">
        <f t="shared" si="281"/>
        <v>-</v>
      </c>
      <c r="R919" s="44" t="str">
        <f>IF(J919&lt;&gt;"",VLOOKUP(J919,'RESUMO DR'!$B$4:$E$253,4,FALSE),"-")</f>
        <v>-</v>
      </c>
      <c r="S919" s="58" t="str">
        <f>IF(J919&lt;&gt;"",VLOOKUP(J919,'RESUMO DR'!$B$4:$E$253,3,FALSE),"-")</f>
        <v>-</v>
      </c>
      <c r="AB919" s="38"/>
    </row>
    <row r="920" spans="1:28" ht="13.8">
      <c r="A920" s="5">
        <v>2670</v>
      </c>
      <c r="B920" s="21">
        <v>45674</v>
      </c>
      <c r="C920" s="21" t="s">
        <v>315</v>
      </c>
      <c r="D920" s="74" t="str">
        <f t="shared" si="276"/>
        <v>sex</v>
      </c>
      <c r="E920" s="169">
        <f>IF(K920&lt;&gt;"",VLOOKUP(K920,'Catálogo SAP'!$A$1:$F$245,2,FALSE),"-")</f>
        <v>160</v>
      </c>
      <c r="F920" s="16">
        <v>1434</v>
      </c>
      <c r="G920" s="16">
        <v>1443</v>
      </c>
      <c r="H920" s="22"/>
      <c r="I920" s="133">
        <v>147</v>
      </c>
      <c r="J920" s="162" t="str">
        <f t="shared" si="280"/>
        <v>RIBAMAR FIQUENE</v>
      </c>
      <c r="K920" s="16">
        <v>160</v>
      </c>
      <c r="L920" s="167" t="str">
        <f>IF(K920&lt;&gt;"",VLOOKUP(K920,'Catálogo SAP'!A:F,3,FALSE),"")</f>
        <v>S.VP-01441</v>
      </c>
      <c r="M920" s="162" t="str">
        <f>IF(K920&lt;&gt;"",VLOOKUP(K920,'Catálogo SAP'!A:F,4,FALSE),"")</f>
        <v>Hora Produtiva Pa Carregadeira C/Operador</v>
      </c>
      <c r="N920" s="168" t="str">
        <f>IF(K920&lt;&gt;"",VLOOKUP(K920,'Catálogo SAP'!A:F,5,FALSE),"")</f>
        <v>H</v>
      </c>
      <c r="O920" s="160">
        <v>9</v>
      </c>
      <c r="P920" s="70">
        <f t="shared" si="282"/>
        <v>9</v>
      </c>
      <c r="Q920" s="163" t="e">
        <f t="shared" si="281"/>
        <v>#VALUE!</v>
      </c>
      <c r="R920" s="44" t="str">
        <f>IF(J920&lt;&gt;"",VLOOKUP(J920,'RESUMO DR'!$B$4:$E$253,4,FALSE),"-")</f>
        <v>T-01</v>
      </c>
      <c r="S920" s="58" t="str">
        <f>IF(J920&lt;&gt;"",VLOOKUP(J920,'RESUMO DR'!$B$4:$E$253,3,FALSE),"-")</f>
        <v>IMPERATRIZ</v>
      </c>
    </row>
    <row r="921" spans="1:28" ht="13.8">
      <c r="A921" s="5">
        <v>2663</v>
      </c>
      <c r="B921" s="21">
        <v>45674</v>
      </c>
      <c r="C921" s="21" t="s">
        <v>306</v>
      </c>
      <c r="D921" s="74" t="str">
        <f t="shared" si="276"/>
        <v>sex</v>
      </c>
      <c r="E921" s="169">
        <f>IF(K921&lt;&gt;"",VLOOKUP(K921,'Catálogo SAP'!$A$1:$F$245,2,FALSE),"-")</f>
        <v>290</v>
      </c>
      <c r="F921" s="16">
        <v>355</v>
      </c>
      <c r="G921" s="16">
        <v>355</v>
      </c>
      <c r="H921" s="22"/>
      <c r="I921" s="133">
        <v>438</v>
      </c>
      <c r="J921" s="162" t="str">
        <f t="shared" si="280"/>
        <v>Palmeirante</v>
      </c>
      <c r="K921" s="16">
        <v>290</v>
      </c>
      <c r="L921" s="167" t="str">
        <f>IF(K921&lt;&gt;"",VLOOKUP(K921,'Catálogo SAP'!A:F,3,FALSE),"")</f>
        <v>S.VP-01454</v>
      </c>
      <c r="M921" s="162" t="str">
        <f>IF(K921&lt;&gt;"",VLOOKUP(K921,'Catálogo SAP'!A:F,4,FALSE),"")</f>
        <v>Hora Improdutiva Motoniveladora C/Operador</v>
      </c>
      <c r="N921" s="168" t="str">
        <f>IF(K921&lt;&gt;"",VLOOKUP(K921,'Catálogo SAP'!A:F,5,FALSE),"")</f>
        <v>H</v>
      </c>
      <c r="O921" s="160">
        <v>8</v>
      </c>
      <c r="P921" s="70">
        <f t="shared" si="282"/>
        <v>0</v>
      </c>
      <c r="Q921" s="163" t="e">
        <f t="shared" si="281"/>
        <v>#VALUE!</v>
      </c>
      <c r="R921" s="44" t="str">
        <f>IF(J921&lt;&gt;"",VLOOKUP(J921,'RESUMO DR'!$B$4:$E$253,4,FALSE),"-")</f>
        <v>T-02</v>
      </c>
      <c r="S921" s="58" t="str">
        <f>IF(J921&lt;&gt;"",VLOOKUP(J921,'RESUMO DR'!$B$4:$E$253,3,FALSE),"-")</f>
        <v>ARAGUAINA</v>
      </c>
      <c r="AA921" s="38"/>
    </row>
    <row r="922" spans="1:28" ht="13.8">
      <c r="A922" s="5"/>
      <c r="B922" s="21">
        <v>45674</v>
      </c>
      <c r="C922" s="21" t="s">
        <v>306</v>
      </c>
      <c r="D922" s="74" t="str">
        <f t="shared" si="276"/>
        <v>sex</v>
      </c>
      <c r="E922" s="169" t="str">
        <f>IF(K922&lt;&gt;"",VLOOKUP(K922,'Catálogo SAP'!$A$1:$F$245,2,FALSE),"-")</f>
        <v>-</v>
      </c>
      <c r="F922" s="16"/>
      <c r="G922" s="16"/>
      <c r="H922" s="22"/>
      <c r="I922" s="133"/>
      <c r="J922" s="162" t="str">
        <f t="shared" si="280"/>
        <v/>
      </c>
      <c r="K922" s="16"/>
      <c r="L922" s="167" t="str">
        <f>IF(K922&lt;&gt;"",VLOOKUP(K922,'Catálogo SAP'!A:F,3,FALSE),"")</f>
        <v/>
      </c>
      <c r="M922" s="162" t="str">
        <f>IF(K922&lt;&gt;"",VLOOKUP(K922,'Catálogo SAP'!A:F,4,FALSE),"")</f>
        <v/>
      </c>
      <c r="N922" s="168" t="str">
        <f>IF(K922&lt;&gt;"",VLOOKUP(K922,'Catálogo SAP'!A:F,5,FALSE),"")</f>
        <v/>
      </c>
      <c r="O922" s="160"/>
      <c r="P922" s="70" t="str">
        <f t="shared" si="282"/>
        <v>-</v>
      </c>
      <c r="Q922" s="163" t="str">
        <f t="shared" si="281"/>
        <v>-</v>
      </c>
      <c r="R922" s="44" t="str">
        <f>IF(J922&lt;&gt;"",VLOOKUP(J922,'RESUMO DR'!$B$4:$E$253,4,FALSE),"-")</f>
        <v>-</v>
      </c>
      <c r="S922" s="58" t="str">
        <f>IF(J922&lt;&gt;"",VLOOKUP(J922,'RESUMO DR'!$B$4:$E$253,3,FALSE),"-")</f>
        <v>-</v>
      </c>
    </row>
    <row r="923" spans="1:28" ht="13.8">
      <c r="A923" s="5">
        <v>2669</v>
      </c>
      <c r="B923" s="21">
        <v>45674</v>
      </c>
      <c r="C923" s="21" t="s">
        <v>310</v>
      </c>
      <c r="D923" s="74" t="str">
        <f t="shared" si="276"/>
        <v>sex</v>
      </c>
      <c r="E923" s="169">
        <f>IF(K923&lt;&gt;"",VLOOKUP(K923,'Catálogo SAP'!$A$1:$F$245,2,FALSE),"-")</f>
        <v>120</v>
      </c>
      <c r="F923" s="16">
        <v>191</v>
      </c>
      <c r="G923" s="16">
        <v>196</v>
      </c>
      <c r="H923" s="22"/>
      <c r="I923" s="133">
        <v>475</v>
      </c>
      <c r="J923" s="162" t="str">
        <f t="shared" si="280"/>
        <v>Tupiratins</v>
      </c>
      <c r="K923" s="16">
        <v>120</v>
      </c>
      <c r="L923" s="167" t="str">
        <f>IF(K923&lt;&gt;"",VLOOKUP(K923,'Catálogo SAP'!A:F,3,FALSE),"")</f>
        <v>S.VP-01437</v>
      </c>
      <c r="M923" s="162" t="str">
        <f>IF(K923&lt;&gt;"",VLOOKUP(K923,'Catálogo SAP'!A:F,4,FALSE),"")</f>
        <v>Hr Produtiva Retroescavadeira C/Operador</v>
      </c>
      <c r="N923" s="168" t="str">
        <f>IF(K923&lt;&gt;"",VLOOKUP(K923,'Catálogo SAP'!A:F,5,FALSE),"")</f>
        <v>H</v>
      </c>
      <c r="O923" s="160">
        <v>5</v>
      </c>
      <c r="P923" s="70">
        <f t="shared" si="282"/>
        <v>5</v>
      </c>
      <c r="Q923" s="163" t="e">
        <f t="shared" si="281"/>
        <v>#VALUE!</v>
      </c>
      <c r="R923" s="44" t="str">
        <f>IF(J923&lt;&gt;"",VLOOKUP(J923,'RESUMO DR'!$B$4:$E$253,4,FALSE),"-")</f>
        <v>T-03</v>
      </c>
      <c r="S923" s="58" t="str">
        <f>IF(J923&lt;&gt;"",VLOOKUP(J923,'RESUMO DR'!$B$4:$E$253,3,FALSE),"-")</f>
        <v>PALMAS</v>
      </c>
      <c r="AA923" s="38"/>
    </row>
    <row r="924" spans="1:28" ht="13.8">
      <c r="A924" s="5">
        <v>2669</v>
      </c>
      <c r="B924" s="21">
        <v>45674</v>
      </c>
      <c r="C924" s="21" t="s">
        <v>310</v>
      </c>
      <c r="D924" s="74" t="str">
        <f t="shared" si="276"/>
        <v>sex</v>
      </c>
      <c r="E924" s="169">
        <f>IF(K924&lt;&gt;"",VLOOKUP(K924,'Catálogo SAP'!$A$1:$F$245,2,FALSE),"-")</f>
        <v>130</v>
      </c>
      <c r="F924" s="16">
        <v>196</v>
      </c>
      <c r="G924" s="16">
        <v>196</v>
      </c>
      <c r="H924" s="22"/>
      <c r="I924" s="133">
        <v>475</v>
      </c>
      <c r="J924" s="162" t="str">
        <f t="shared" si="280"/>
        <v>Tupiratins</v>
      </c>
      <c r="K924" s="16">
        <v>130</v>
      </c>
      <c r="L924" s="167" t="str">
        <f>IF(K924&lt;&gt;"",VLOOKUP(K924,'Catálogo SAP'!A:F,3,FALSE),"")</f>
        <v>S.VP-01438</v>
      </c>
      <c r="M924" s="162" t="str">
        <f>IF(K924&lt;&gt;"",VLOOKUP(K924,'Catálogo SAP'!A:F,4,FALSE),"")</f>
        <v>Hr Improdutiva Retroescavadeira C/Operador</v>
      </c>
      <c r="N924" s="168" t="str">
        <f>IF(K924&lt;&gt;"",VLOOKUP(K924,'Catálogo SAP'!A:F,5,FALSE),"")</f>
        <v>H</v>
      </c>
      <c r="O924" s="160">
        <v>3</v>
      </c>
      <c r="P924" s="70">
        <f t="shared" si="282"/>
        <v>0</v>
      </c>
      <c r="Q924" s="163" t="e">
        <f t="shared" si="281"/>
        <v>#VALUE!</v>
      </c>
      <c r="R924" s="44" t="str">
        <f>IF(J924&lt;&gt;"",VLOOKUP(J924,'RESUMO DR'!$B$4:$E$253,4,FALSE),"-")</f>
        <v>T-03</v>
      </c>
      <c r="S924" s="58" t="str">
        <f>IF(J924&lt;&gt;"",VLOOKUP(J924,'RESUMO DR'!$B$4:$E$253,3,FALSE),"-")</f>
        <v>PALMAS</v>
      </c>
    </row>
    <row r="925" spans="1:28" ht="13.8">
      <c r="A925" s="5"/>
      <c r="B925" s="21">
        <v>45674</v>
      </c>
      <c r="C925" s="21" t="s">
        <v>123</v>
      </c>
      <c r="D925" s="74" t="str">
        <f t="shared" si="276"/>
        <v>sex</v>
      </c>
      <c r="E925" s="169" t="str">
        <f>IF(K925&lt;&gt;"",VLOOKUP(K925,'Catálogo SAP'!$A$1:$F$245,2,FALSE),"-")</f>
        <v>-</v>
      </c>
      <c r="F925" s="16"/>
      <c r="G925" s="16"/>
      <c r="H925" s="22"/>
      <c r="I925" s="133"/>
      <c r="J925" s="162" t="str">
        <f t="shared" si="280"/>
        <v/>
      </c>
      <c r="K925" s="16"/>
      <c r="L925" s="167" t="str">
        <f>IF(K925&lt;&gt;"",VLOOKUP(K925,'Catálogo SAP'!A:F,3,FALSE),"")</f>
        <v/>
      </c>
      <c r="M925" s="162" t="str">
        <f>IF(K925&lt;&gt;"",VLOOKUP(K925,'Catálogo SAP'!A:F,4,FALSE),"")</f>
        <v/>
      </c>
      <c r="N925" s="168" t="str">
        <f>IF(K925&lt;&gt;"",VLOOKUP(K925,'Catálogo SAP'!A:F,5,FALSE),"")</f>
        <v/>
      </c>
      <c r="O925" s="160"/>
      <c r="P925" s="70" t="str">
        <f t="shared" si="282"/>
        <v>-</v>
      </c>
      <c r="Q925" s="163" t="str">
        <f t="shared" si="281"/>
        <v>-</v>
      </c>
      <c r="R925" s="44" t="str">
        <f>IF(J925&lt;&gt;"",VLOOKUP(J925,'RESUMO DR'!$B$4:$E$253,4,FALSE),"-")</f>
        <v>-</v>
      </c>
      <c r="S925" s="58" t="str">
        <f>IF(J925&lt;&gt;"",VLOOKUP(J925,'RESUMO DR'!$B$4:$E$253,3,FALSE),"-")</f>
        <v>-</v>
      </c>
    </row>
    <row r="926" spans="1:28" ht="13.8">
      <c r="A926" s="5">
        <v>2670</v>
      </c>
      <c r="B926" s="21">
        <v>45674</v>
      </c>
      <c r="C926" s="21" t="s">
        <v>314</v>
      </c>
      <c r="D926" s="74" t="str">
        <f t="shared" si="276"/>
        <v>sex</v>
      </c>
      <c r="E926" s="169">
        <f>IF(K926&lt;&gt;"",VLOOKUP(K926,'Catálogo SAP'!$A$1:$F$245,2,FALSE),"-")</f>
        <v>200</v>
      </c>
      <c r="F926" s="16">
        <v>68931</v>
      </c>
      <c r="G926" s="16">
        <v>69193</v>
      </c>
      <c r="H926" s="22"/>
      <c r="I926" s="133">
        <v>146</v>
      </c>
      <c r="J926" s="162" t="str">
        <f t="shared" si="280"/>
        <v>RIBAMAR FIQUENE</v>
      </c>
      <c r="K926" s="16">
        <v>200</v>
      </c>
      <c r="L926" s="167" t="str">
        <f>IF(K926&lt;&gt;"",VLOOKUP(K926,'Catálogo SAP'!A:F,3,FALSE),"")</f>
        <v>S.VP-01445</v>
      </c>
      <c r="M926" s="162" t="str">
        <f>IF(K926&lt;&gt;"",VLOOKUP(K926,'Catálogo SAP'!A:F,4,FALSE),"")</f>
        <v>Km Rodado Caminhão Basculante - C/Motorista</v>
      </c>
      <c r="N926" s="168" t="str">
        <f>IF(K926&lt;&gt;"",VLOOKUP(K926,'Catálogo SAP'!A:F,5,FALSE),"")</f>
        <v>KM</v>
      </c>
      <c r="O926" s="160">
        <v>262</v>
      </c>
      <c r="P926" s="70">
        <f t="shared" si="282"/>
        <v>262</v>
      </c>
      <c r="Q926" s="163" t="e">
        <f t="shared" si="281"/>
        <v>#VALUE!</v>
      </c>
      <c r="R926" s="44" t="str">
        <f>IF(J926&lt;&gt;"",VLOOKUP(J926,'RESUMO DR'!$B$4:$E$253,4,FALSE),"-")</f>
        <v>T-01</v>
      </c>
      <c r="S926" s="58" t="str">
        <f>IF(J926&lt;&gt;"",VLOOKUP(J926,'RESUMO DR'!$B$4:$E$253,3,FALSE),"-")</f>
        <v>IMPERATRIZ</v>
      </c>
    </row>
    <row r="927" spans="1:28" ht="13.8">
      <c r="A927" s="5"/>
      <c r="B927" s="21">
        <v>45674</v>
      </c>
      <c r="C927" s="21" t="s">
        <v>151</v>
      </c>
      <c r="D927" s="74" t="str">
        <f t="shared" si="276"/>
        <v>sex</v>
      </c>
      <c r="E927" s="169" t="str">
        <f>IF(K927&lt;&gt;"",VLOOKUP(K927,'Catálogo SAP'!$A$1:$F$245,2,FALSE),"-")</f>
        <v>-</v>
      </c>
      <c r="F927" s="16"/>
      <c r="G927" s="16"/>
      <c r="H927" s="22"/>
      <c r="I927" s="133"/>
      <c r="J927" s="162" t="str">
        <f t="shared" si="280"/>
        <v/>
      </c>
      <c r="K927" s="16"/>
      <c r="L927" s="167" t="str">
        <f>IF(K927&lt;&gt;"",VLOOKUP(K927,'Catálogo SAP'!A:F,3,FALSE),"")</f>
        <v/>
      </c>
      <c r="M927" s="162" t="str">
        <f>IF(K927&lt;&gt;"",VLOOKUP(K927,'Catálogo SAP'!A:F,4,FALSE),"")</f>
        <v/>
      </c>
      <c r="N927" s="168" t="str">
        <f>IF(K927&lt;&gt;"",VLOOKUP(K927,'Catálogo SAP'!A:F,5,FALSE),"")</f>
        <v/>
      </c>
      <c r="O927" s="160"/>
      <c r="P927" s="70" t="str">
        <f t="shared" si="282"/>
        <v>-</v>
      </c>
      <c r="Q927" s="163" t="str">
        <f t="shared" si="281"/>
        <v>-</v>
      </c>
      <c r="R927" s="44" t="str">
        <f>IF(J927&lt;&gt;"",VLOOKUP(J927,'RESUMO DR'!$B$4:$E$253,4,FALSE),"-")</f>
        <v>-</v>
      </c>
      <c r="S927" s="58" t="str">
        <f>IF(J927&lt;&gt;"",VLOOKUP(J927,'RESUMO DR'!$B$4:$E$253,3,FALSE),"-")</f>
        <v>-</v>
      </c>
    </row>
    <row r="928" spans="1:28" ht="13.8">
      <c r="A928" s="5"/>
      <c r="B928" s="21">
        <v>45674</v>
      </c>
      <c r="C928" s="21" t="s">
        <v>152</v>
      </c>
      <c r="D928" s="74" t="str">
        <f t="shared" si="276"/>
        <v>sex</v>
      </c>
      <c r="E928" s="169" t="str">
        <f>IF(K928&lt;&gt;"",VLOOKUP(K928,'Catálogo SAP'!$A$1:$F$245,2,FALSE),"-")</f>
        <v>-</v>
      </c>
      <c r="F928" s="225"/>
      <c r="G928" s="225"/>
      <c r="H928" s="226"/>
      <c r="I928" s="230"/>
      <c r="J928" s="162" t="str">
        <f t="shared" si="280"/>
        <v/>
      </c>
      <c r="K928" s="16"/>
      <c r="L928" s="167" t="str">
        <f>IF(K928&lt;&gt;"",VLOOKUP(K928,'Catálogo SAP'!A:F,3,FALSE),"")</f>
        <v/>
      </c>
      <c r="M928" s="162" t="str">
        <f>IF(K928&lt;&gt;"",VLOOKUP(K928,'Catálogo SAP'!A:F,4,FALSE),"")</f>
        <v/>
      </c>
      <c r="N928" s="168" t="str">
        <f>IF(K928&lt;&gt;"",VLOOKUP(K928,'Catálogo SAP'!A:F,5,FALSE),"")</f>
        <v/>
      </c>
      <c r="O928" s="160"/>
      <c r="P928" s="70" t="str">
        <f t="shared" si="282"/>
        <v>-</v>
      </c>
      <c r="Q928" s="163" t="str">
        <f t="shared" si="281"/>
        <v>-</v>
      </c>
      <c r="R928" s="44" t="str">
        <f>IF(J928&lt;&gt;"",VLOOKUP(J928,'RESUMO DR'!$B$4:$E$253,4,FALSE),"-")</f>
        <v>-</v>
      </c>
      <c r="S928" s="58" t="str">
        <f>IF(J928&lt;&gt;"",VLOOKUP(J928,'RESUMO DR'!$B$4:$E$253,3,FALSE),"-")</f>
        <v>-</v>
      </c>
    </row>
    <row r="929" spans="1:19" ht="13.8">
      <c r="A929" s="5"/>
      <c r="B929" s="21">
        <v>45674</v>
      </c>
      <c r="C929" s="21" t="s">
        <v>152</v>
      </c>
      <c r="D929" s="74" t="str">
        <f t="shared" ref="D929:D992" si="283">IF(B929="","-",TEXT(B929,"ddd"))</f>
        <v>sex</v>
      </c>
      <c r="E929" s="169" t="str">
        <f>IF(K929&lt;&gt;"",VLOOKUP(K929,'Catálogo SAP'!$A$1:$F$245,2,FALSE),"-")</f>
        <v>-</v>
      </c>
      <c r="F929" s="16"/>
      <c r="G929" s="16"/>
      <c r="H929" s="22"/>
      <c r="I929" s="133"/>
      <c r="J929" s="162" t="str">
        <f t="shared" si="280"/>
        <v/>
      </c>
      <c r="K929" s="16"/>
      <c r="L929" s="167" t="str">
        <f>IF(K929&lt;&gt;"",VLOOKUP(K929,'Catálogo SAP'!A:F,3,FALSE),"")</f>
        <v/>
      </c>
      <c r="M929" s="162" t="str">
        <f>IF(K929&lt;&gt;"",VLOOKUP(K929,'Catálogo SAP'!A:F,4,FALSE),"")</f>
        <v/>
      </c>
      <c r="N929" s="168" t="str">
        <f>IF(K929&lt;&gt;"",VLOOKUP(K929,'Catálogo SAP'!A:F,5,FALSE),"")</f>
        <v/>
      </c>
      <c r="O929" s="160"/>
      <c r="P929" s="70" t="str">
        <f t="shared" si="282"/>
        <v>-</v>
      </c>
      <c r="Q929" s="163" t="str">
        <f t="shared" si="281"/>
        <v>-</v>
      </c>
      <c r="R929" s="44" t="str">
        <f>IF(J929&lt;&gt;"",VLOOKUP(J929,'RESUMO DR'!$B$4:$E$253,4,FALSE),"-")</f>
        <v>-</v>
      </c>
      <c r="S929" s="58" t="str">
        <f>IF(J929&lt;&gt;"",VLOOKUP(J929,'RESUMO DR'!$B$4:$E$253,3,FALSE),"-")</f>
        <v>-</v>
      </c>
    </row>
    <row r="930" spans="1:19" ht="13.8">
      <c r="A930" s="5"/>
      <c r="B930" s="21"/>
      <c r="C930" s="21"/>
      <c r="D930" s="74" t="str">
        <f t="shared" si="283"/>
        <v>-</v>
      </c>
      <c r="E930" s="169" t="str">
        <f>IF(K930&lt;&gt;"",VLOOKUP(K930,'Catálogo SAP'!$A$1:$F$245,2,FALSE),"-")</f>
        <v>-</v>
      </c>
      <c r="F930" s="225"/>
      <c r="G930" s="225"/>
      <c r="H930" s="226"/>
      <c r="I930" s="230"/>
      <c r="J930" s="162" t="str">
        <f t="shared" si="280"/>
        <v/>
      </c>
      <c r="K930" s="16"/>
      <c r="L930" s="167" t="str">
        <f>IF(K930&lt;&gt;"",VLOOKUP(K930,'Catálogo SAP'!A:F,3,FALSE),"")</f>
        <v/>
      </c>
      <c r="M930" s="162" t="str">
        <f>IF(K930&lt;&gt;"",VLOOKUP(K930,'Catálogo SAP'!A:F,4,FALSE),"")</f>
        <v/>
      </c>
      <c r="N930" s="168" t="str">
        <f>IF(K930&lt;&gt;"",VLOOKUP(K930,'Catálogo SAP'!A:F,5,FALSE),"")</f>
        <v/>
      </c>
      <c r="O930" s="160"/>
      <c r="P930" s="70" t="str">
        <f t="shared" si="282"/>
        <v>-</v>
      </c>
      <c r="Q930" s="163" t="str">
        <f t="shared" si="281"/>
        <v>-</v>
      </c>
      <c r="R930" s="44" t="str">
        <f>IF(J930&lt;&gt;"",VLOOKUP(J930,'RESUMO DR'!$B$4:$E$253,4,FALSE),"-")</f>
        <v>-</v>
      </c>
      <c r="S930" s="58" t="str">
        <f>IF(J930&lt;&gt;"",VLOOKUP(J930,'RESUMO DR'!$B$4:$E$253,3,FALSE),"-")</f>
        <v>-</v>
      </c>
    </row>
    <row r="931" spans="1:19" ht="13.8">
      <c r="A931" s="5"/>
      <c r="B931" s="21"/>
      <c r="C931" s="21"/>
      <c r="D931" s="74" t="str">
        <f t="shared" si="283"/>
        <v>-</v>
      </c>
      <c r="E931" s="169" t="str">
        <f>IF(K931&lt;&gt;"",VLOOKUP(K931,'Catálogo SAP'!$A$1:$F$245,2,FALSE),"-")</f>
        <v>-</v>
      </c>
      <c r="F931" s="225"/>
      <c r="G931" s="225"/>
      <c r="H931" s="226"/>
      <c r="I931" s="230"/>
      <c r="J931" s="162" t="str">
        <f t="shared" si="280"/>
        <v/>
      </c>
      <c r="K931" s="16"/>
      <c r="L931" s="167" t="str">
        <f>IF(K931&lt;&gt;"",VLOOKUP(K931,'Catálogo SAP'!A:F,3,FALSE),"")</f>
        <v/>
      </c>
      <c r="M931" s="162" t="str">
        <f>IF(K931&lt;&gt;"",VLOOKUP(K931,'Catálogo SAP'!A:F,4,FALSE),"")</f>
        <v/>
      </c>
      <c r="N931" s="168" t="str">
        <f>IF(K931&lt;&gt;"",VLOOKUP(K931,'Catálogo SAP'!A:F,5,FALSE),"")</f>
        <v/>
      </c>
      <c r="O931" s="160"/>
      <c r="P931" s="70" t="str">
        <f t="shared" si="282"/>
        <v>-</v>
      </c>
      <c r="Q931" s="163" t="str">
        <f t="shared" si="281"/>
        <v>-</v>
      </c>
      <c r="R931" s="44" t="str">
        <f>IF(J931&lt;&gt;"",VLOOKUP(J931,'RESUMO DR'!$B$4:$E$253,4,FALSE),"-")</f>
        <v>-</v>
      </c>
      <c r="S931" s="58" t="str">
        <f>IF(J931&lt;&gt;"",VLOOKUP(J931,'RESUMO DR'!$B$4:$E$253,3,FALSE),"-")</f>
        <v>-</v>
      </c>
    </row>
    <row r="932" spans="1:19" ht="13.8">
      <c r="A932" s="5"/>
      <c r="B932" s="21">
        <v>45675</v>
      </c>
      <c r="C932" s="21" t="s">
        <v>121</v>
      </c>
      <c r="D932" s="74" t="str">
        <f t="shared" si="283"/>
        <v>sáb</v>
      </c>
      <c r="E932" s="169" t="str">
        <f>IF(K932&lt;&gt;"",VLOOKUP(K932,'Catálogo SAP'!$A$1:$F$245,2,FALSE),"-")</f>
        <v>-</v>
      </c>
      <c r="F932" s="16"/>
      <c r="G932" s="16"/>
      <c r="H932" s="22"/>
      <c r="I932" s="133"/>
      <c r="J932" s="162" t="str">
        <f t="shared" si="280"/>
        <v/>
      </c>
      <c r="K932" s="16"/>
      <c r="L932" s="167" t="str">
        <f>IF(K932&lt;&gt;"",VLOOKUP(K932,'Catálogo SAP'!A:F,3,FALSE),"")</f>
        <v/>
      </c>
      <c r="M932" s="162" t="str">
        <f>IF(K932&lt;&gt;"",VLOOKUP(K932,'Catálogo SAP'!A:F,4,FALSE),"")</f>
        <v/>
      </c>
      <c r="N932" s="168" t="str">
        <f>IF(K932&lt;&gt;"",VLOOKUP(K932,'Catálogo SAP'!A:F,5,FALSE),"")</f>
        <v/>
      </c>
      <c r="O932" s="160"/>
      <c r="P932" s="70" t="str">
        <f t="shared" si="282"/>
        <v>-</v>
      </c>
      <c r="Q932" s="163" t="str">
        <f t="shared" si="281"/>
        <v>-</v>
      </c>
      <c r="R932" s="44" t="str">
        <f>IF(J932&lt;&gt;"",VLOOKUP(J932,'RESUMO DR'!$B$4:$E$253,4,FALSE),"-")</f>
        <v>-</v>
      </c>
      <c r="S932" s="58" t="str">
        <f>IF(J932&lt;&gt;"",VLOOKUP(J932,'RESUMO DR'!$B$4:$E$253,3,FALSE),"-")</f>
        <v>-</v>
      </c>
    </row>
    <row r="933" spans="1:19" ht="13.8">
      <c r="A933" s="5"/>
      <c r="B933" s="21">
        <v>45675</v>
      </c>
      <c r="C933" s="21" t="s">
        <v>121</v>
      </c>
      <c r="D933" s="74" t="str">
        <f t="shared" si="283"/>
        <v>sáb</v>
      </c>
      <c r="E933" s="169" t="str">
        <f>IF(K933&lt;&gt;"",VLOOKUP(K933,'Catálogo SAP'!$A$1:$F$245,2,FALSE),"-")</f>
        <v>-</v>
      </c>
      <c r="F933" s="16"/>
      <c r="G933" s="16"/>
      <c r="H933" s="22"/>
      <c r="I933" s="133"/>
      <c r="J933" s="162" t="str">
        <f t="shared" si="280"/>
        <v/>
      </c>
      <c r="K933" s="16"/>
      <c r="L933" s="167" t="str">
        <f>IF(K933&lt;&gt;"",VLOOKUP(K933,'Catálogo SAP'!A:F,3,FALSE),"")</f>
        <v/>
      </c>
      <c r="M933" s="162" t="str">
        <f>IF(K933&lt;&gt;"",VLOOKUP(K933,'Catálogo SAP'!A:F,4,FALSE),"")</f>
        <v/>
      </c>
      <c r="N933" s="168" t="str">
        <f>IF(K933&lt;&gt;"",VLOOKUP(K933,'Catálogo SAP'!A:F,5,FALSE),"")</f>
        <v/>
      </c>
      <c r="O933" s="160"/>
      <c r="P933" s="70" t="str">
        <f t="shared" si="282"/>
        <v>-</v>
      </c>
      <c r="Q933" s="163" t="str">
        <f t="shared" si="281"/>
        <v>-</v>
      </c>
      <c r="R933" s="44" t="str">
        <f>IF(J933&lt;&gt;"",VLOOKUP(J933,'RESUMO DR'!$B$4:$E$253,4,FALSE),"-")</f>
        <v>-</v>
      </c>
      <c r="S933" s="58" t="str">
        <f>IF(J933&lt;&gt;"",VLOOKUP(J933,'RESUMO DR'!$B$4:$E$253,3,FALSE),"-")</f>
        <v>-</v>
      </c>
    </row>
    <row r="934" spans="1:19" ht="13.8">
      <c r="A934" s="5"/>
      <c r="B934" s="21">
        <v>45675</v>
      </c>
      <c r="C934" s="21" t="s">
        <v>122</v>
      </c>
      <c r="D934" s="74" t="str">
        <f t="shared" si="283"/>
        <v>sáb</v>
      </c>
      <c r="E934" s="169" t="str">
        <f>IF(K934&lt;&gt;"",VLOOKUP(K934,'Catálogo SAP'!$A$1:$F$245,2,FALSE),"-")</f>
        <v>-</v>
      </c>
      <c r="F934" s="16"/>
      <c r="G934" s="16"/>
      <c r="H934" s="22"/>
      <c r="I934" s="133"/>
      <c r="J934" s="162" t="str">
        <f t="shared" si="280"/>
        <v/>
      </c>
      <c r="K934" s="16"/>
      <c r="L934" s="167" t="str">
        <f>IF(K934&lt;&gt;"",VLOOKUP(K934,'Catálogo SAP'!A:F,3,FALSE),"")</f>
        <v/>
      </c>
      <c r="M934" s="162" t="str">
        <f>IF(K934&lt;&gt;"",VLOOKUP(K934,'Catálogo SAP'!A:F,4,FALSE),"")</f>
        <v/>
      </c>
      <c r="N934" s="168" t="str">
        <f>IF(K934&lt;&gt;"",VLOOKUP(K934,'Catálogo SAP'!A:F,5,FALSE),"")</f>
        <v/>
      </c>
      <c r="O934" s="160"/>
      <c r="P934" s="70" t="str">
        <f t="shared" si="282"/>
        <v>-</v>
      </c>
      <c r="Q934" s="163" t="str">
        <f t="shared" si="281"/>
        <v>-</v>
      </c>
      <c r="R934" s="44" t="str">
        <f>IF(J934&lt;&gt;"",VLOOKUP(J934,'RESUMO DR'!$B$4:$E$253,4,FALSE),"-")</f>
        <v>-</v>
      </c>
      <c r="S934" s="58" t="str">
        <f>IF(J934&lt;&gt;"",VLOOKUP(J934,'RESUMO DR'!$B$4:$E$253,3,FALSE),"-")</f>
        <v>-</v>
      </c>
    </row>
    <row r="935" spans="1:19" ht="13.8">
      <c r="A935" s="5"/>
      <c r="B935" s="21">
        <v>45675</v>
      </c>
      <c r="C935" s="21" t="s">
        <v>123</v>
      </c>
      <c r="D935" s="74" t="str">
        <f t="shared" si="283"/>
        <v>sáb</v>
      </c>
      <c r="E935" s="169" t="str">
        <f>IF(K935&lt;&gt;"",VLOOKUP(K935,'Catálogo SAP'!$A$1:$F$245,2,FALSE),"-")</f>
        <v>-</v>
      </c>
      <c r="F935" s="16"/>
      <c r="G935" s="16"/>
      <c r="H935" s="22"/>
      <c r="I935" s="133"/>
      <c r="J935" s="162" t="str">
        <f t="shared" si="280"/>
        <v/>
      </c>
      <c r="K935" s="16"/>
      <c r="L935" s="167" t="str">
        <f>IF(K935&lt;&gt;"",VLOOKUP(K935,'Catálogo SAP'!A:F,3,FALSE),"")</f>
        <v/>
      </c>
      <c r="M935" s="162" t="str">
        <f>IF(K935&lt;&gt;"",VLOOKUP(K935,'Catálogo SAP'!A:F,4,FALSE),"")</f>
        <v/>
      </c>
      <c r="N935" s="168" t="str">
        <f>IF(K935&lt;&gt;"",VLOOKUP(K935,'Catálogo SAP'!A:F,5,FALSE),"")</f>
        <v/>
      </c>
      <c r="O935" s="160"/>
      <c r="P935" s="70" t="str">
        <f t="shared" si="282"/>
        <v>-</v>
      </c>
      <c r="Q935" s="163" t="str">
        <f t="shared" si="281"/>
        <v>-</v>
      </c>
      <c r="R935" s="44" t="str">
        <f>IF(J935&lt;&gt;"",VLOOKUP(J935,'RESUMO DR'!$B$4:$E$253,4,FALSE),"-")</f>
        <v>-</v>
      </c>
      <c r="S935" s="58" t="str">
        <f>IF(J935&lt;&gt;"",VLOOKUP(J935,'RESUMO DR'!$B$4:$E$253,3,FALSE),"-")</f>
        <v>-</v>
      </c>
    </row>
    <row r="936" spans="1:19" ht="13.8">
      <c r="A936" s="5"/>
      <c r="B936" s="21">
        <v>45675</v>
      </c>
      <c r="C936" s="21" t="s">
        <v>124</v>
      </c>
      <c r="D936" s="74" t="str">
        <f t="shared" si="283"/>
        <v>sáb</v>
      </c>
      <c r="E936" s="169" t="str">
        <f>IF(K936&lt;&gt;"",VLOOKUP(K936,'Catálogo SAP'!$A$1:$F$245,2,FALSE),"-")</f>
        <v>-</v>
      </c>
      <c r="F936" s="225"/>
      <c r="G936" s="225"/>
      <c r="H936" s="226"/>
      <c r="I936" s="230"/>
      <c r="J936" s="162" t="str">
        <f t="shared" si="280"/>
        <v/>
      </c>
      <c r="K936" s="16"/>
      <c r="L936" s="167" t="str">
        <f>IF(K936&lt;&gt;"",VLOOKUP(K936,'Catálogo SAP'!A:F,3,FALSE),"")</f>
        <v/>
      </c>
      <c r="M936" s="162" t="str">
        <f>IF(K936&lt;&gt;"",VLOOKUP(K936,'Catálogo SAP'!A:F,4,FALSE),"")</f>
        <v/>
      </c>
      <c r="N936" s="168" t="str">
        <f>IF(K936&lt;&gt;"",VLOOKUP(K936,'Catálogo SAP'!A:F,5,FALSE),"")</f>
        <v/>
      </c>
      <c r="O936" s="160"/>
      <c r="P936" s="70" t="str">
        <f t="shared" si="282"/>
        <v>-</v>
      </c>
      <c r="Q936" s="163" t="str">
        <f t="shared" si="281"/>
        <v>-</v>
      </c>
      <c r="R936" s="44" t="str">
        <f>IF(J936&lt;&gt;"",VLOOKUP(J936,'RESUMO DR'!$B$4:$E$253,4,FALSE),"-")</f>
        <v>-</v>
      </c>
      <c r="S936" s="58" t="str">
        <f>IF(J936&lt;&gt;"",VLOOKUP(J936,'RESUMO DR'!$B$4:$E$253,3,FALSE),"-")</f>
        <v>-</v>
      </c>
    </row>
    <row r="937" spans="1:19" ht="13.8">
      <c r="A937" s="5"/>
      <c r="B937" s="21">
        <v>45675</v>
      </c>
      <c r="C937" s="21" t="s">
        <v>124</v>
      </c>
      <c r="D937" s="74" t="str">
        <f t="shared" si="283"/>
        <v>sáb</v>
      </c>
      <c r="E937" s="169" t="str">
        <f>IF(K937&lt;&gt;"",VLOOKUP(K937,'Catálogo SAP'!$A$1:$F$245,2,FALSE),"-")</f>
        <v>-</v>
      </c>
      <c r="F937" s="225"/>
      <c r="G937" s="225"/>
      <c r="H937" s="226"/>
      <c r="I937" s="230"/>
      <c r="J937" s="162" t="str">
        <f t="shared" si="280"/>
        <v/>
      </c>
      <c r="K937" s="16"/>
      <c r="L937" s="167" t="str">
        <f>IF(K937&lt;&gt;"",VLOOKUP(K937,'Catálogo SAP'!A:F,3,FALSE),"")</f>
        <v/>
      </c>
      <c r="M937" s="162" t="str">
        <f>IF(K937&lt;&gt;"",VLOOKUP(K937,'Catálogo SAP'!A:F,4,FALSE),"")</f>
        <v/>
      </c>
      <c r="N937" s="168" t="str">
        <f>IF(K937&lt;&gt;"",VLOOKUP(K937,'Catálogo SAP'!A:F,5,FALSE),"")</f>
        <v/>
      </c>
      <c r="O937" s="160"/>
      <c r="P937" s="70" t="str">
        <f t="shared" si="282"/>
        <v>-</v>
      </c>
      <c r="Q937" s="163" t="str">
        <f t="shared" si="281"/>
        <v>-</v>
      </c>
      <c r="R937" s="44" t="str">
        <f>IF(J937&lt;&gt;"",VLOOKUP(J937,'RESUMO DR'!$B$4:$E$253,4,FALSE),"-")</f>
        <v>-</v>
      </c>
      <c r="S937" s="58" t="str">
        <f>IF(J937&lt;&gt;"",VLOOKUP(J937,'RESUMO DR'!$B$4:$E$253,3,FALSE),"-")</f>
        <v>-</v>
      </c>
    </row>
    <row r="938" spans="1:19" ht="13.8">
      <c r="A938" s="5">
        <v>2673</v>
      </c>
      <c r="B938" s="21">
        <v>45675</v>
      </c>
      <c r="C938" s="21" t="s">
        <v>307</v>
      </c>
      <c r="D938" s="74" t="str">
        <f t="shared" si="283"/>
        <v>sáb</v>
      </c>
      <c r="E938" s="169">
        <f>IF(K938&lt;&gt;"",VLOOKUP(K938,'Catálogo SAP'!$A$1:$F$245,2,FALSE),"-")</f>
        <v>200</v>
      </c>
      <c r="F938" s="225">
        <v>69929</v>
      </c>
      <c r="G938" s="225">
        <v>70262</v>
      </c>
      <c r="H938" s="226"/>
      <c r="I938" s="230">
        <v>144</v>
      </c>
      <c r="J938" s="162" t="str">
        <f t="shared" si="280"/>
        <v>RIBAMAR FIQUENE</v>
      </c>
      <c r="K938" s="16">
        <v>200</v>
      </c>
      <c r="L938" s="167" t="str">
        <f>IF(K938&lt;&gt;"",VLOOKUP(K938,'Catálogo SAP'!A:F,3,FALSE),"")</f>
        <v>S.VP-01445</v>
      </c>
      <c r="M938" s="162" t="str">
        <f>IF(K938&lt;&gt;"",VLOOKUP(K938,'Catálogo SAP'!A:F,4,FALSE),"")</f>
        <v>Km Rodado Caminhão Basculante - C/Motorista</v>
      </c>
      <c r="N938" s="168" t="str">
        <f>IF(K938&lt;&gt;"",VLOOKUP(K938,'Catálogo SAP'!A:F,5,FALSE),"")</f>
        <v>KM</v>
      </c>
      <c r="O938" s="160">
        <v>333</v>
      </c>
      <c r="P938" s="70">
        <f t="shared" si="282"/>
        <v>333</v>
      </c>
      <c r="Q938" s="163" t="e">
        <f t="shared" si="281"/>
        <v>#VALUE!</v>
      </c>
      <c r="R938" s="44" t="str">
        <f>IF(J938&lt;&gt;"",VLOOKUP(J938,'RESUMO DR'!$B$4:$E$253,4,FALSE),"-")</f>
        <v>T-01</v>
      </c>
      <c r="S938" s="58" t="str">
        <f>IF(J938&lt;&gt;"",VLOOKUP(J938,'RESUMO DR'!$B$4:$E$253,3,FALSE),"-")</f>
        <v>IMPERATRIZ</v>
      </c>
    </row>
    <row r="939" spans="1:19" ht="13.8">
      <c r="A939" s="5">
        <v>2673</v>
      </c>
      <c r="B939" s="21">
        <v>45675</v>
      </c>
      <c r="C939" s="21" t="s">
        <v>308</v>
      </c>
      <c r="D939" s="74" t="str">
        <f t="shared" si="283"/>
        <v>sáb</v>
      </c>
      <c r="E939" s="169">
        <f>IF(K939&lt;&gt;"",VLOOKUP(K939,'Catálogo SAP'!$A$1:$F$245,2,FALSE),"-")</f>
        <v>200</v>
      </c>
      <c r="F939" s="16">
        <v>69042</v>
      </c>
      <c r="G939" s="16">
        <v>69334</v>
      </c>
      <c r="H939" s="22"/>
      <c r="I939" s="133">
        <v>144</v>
      </c>
      <c r="J939" s="162" t="str">
        <f t="shared" si="280"/>
        <v>RIBAMAR FIQUENE</v>
      </c>
      <c r="K939" s="16">
        <v>200</v>
      </c>
      <c r="L939" s="167" t="str">
        <f>IF(K939&lt;&gt;"",VLOOKUP(K939,'Catálogo SAP'!A:F,3,FALSE),"")</f>
        <v>S.VP-01445</v>
      </c>
      <c r="M939" s="162" t="str">
        <f>IF(K939&lt;&gt;"",VLOOKUP(K939,'Catálogo SAP'!A:F,4,FALSE),"")</f>
        <v>Km Rodado Caminhão Basculante - C/Motorista</v>
      </c>
      <c r="N939" s="168" t="str">
        <f>IF(K939&lt;&gt;"",VLOOKUP(K939,'Catálogo SAP'!A:F,5,FALSE),"")</f>
        <v>KM</v>
      </c>
      <c r="O939" s="160">
        <v>292</v>
      </c>
      <c r="P939" s="70">
        <f t="shared" si="282"/>
        <v>292</v>
      </c>
      <c r="Q939" s="163" t="e">
        <f t="shared" si="281"/>
        <v>#VALUE!</v>
      </c>
      <c r="R939" s="44" t="str">
        <f>IF(J939&lt;&gt;"",VLOOKUP(J939,'RESUMO DR'!$B$4:$E$253,4,FALSE),"-")</f>
        <v>T-01</v>
      </c>
      <c r="S939" s="58" t="str">
        <f>IF(J939&lt;&gt;"",VLOOKUP(J939,'RESUMO DR'!$B$4:$E$253,3,FALSE),"-")</f>
        <v>IMPERATRIZ</v>
      </c>
    </row>
    <row r="940" spans="1:19" ht="13.8">
      <c r="A940" s="5"/>
      <c r="B940" s="21">
        <v>45675</v>
      </c>
      <c r="C940" s="21" t="s">
        <v>127</v>
      </c>
      <c r="D940" s="74" t="str">
        <f t="shared" si="283"/>
        <v>sáb</v>
      </c>
      <c r="E940" s="169" t="str">
        <f>IF(K940&lt;&gt;"",VLOOKUP(K940,'Catálogo SAP'!$A$1:$F$245,2,FALSE),"-")</f>
        <v>-</v>
      </c>
      <c r="F940" s="16"/>
      <c r="G940" s="16"/>
      <c r="H940" s="22"/>
      <c r="I940" s="133"/>
      <c r="J940" s="162" t="str">
        <f t="shared" si="280"/>
        <v/>
      </c>
      <c r="K940" s="16"/>
      <c r="L940" s="167" t="str">
        <f>IF(K940&lt;&gt;"",VLOOKUP(K940,'Catálogo SAP'!A:F,3,FALSE),"")</f>
        <v/>
      </c>
      <c r="M940" s="162" t="str">
        <f>IF(K940&lt;&gt;"",VLOOKUP(K940,'Catálogo SAP'!A:F,4,FALSE),"")</f>
        <v/>
      </c>
      <c r="N940" s="168" t="str">
        <f>IF(K940&lt;&gt;"",VLOOKUP(K940,'Catálogo SAP'!A:F,5,FALSE),"")</f>
        <v/>
      </c>
      <c r="O940" s="160"/>
      <c r="P940" s="70" t="str">
        <f t="shared" si="282"/>
        <v>-</v>
      </c>
      <c r="Q940" s="163" t="str">
        <f t="shared" si="281"/>
        <v>-</v>
      </c>
      <c r="R940" s="44" t="str">
        <f>IF(J940&lt;&gt;"",VLOOKUP(J940,'RESUMO DR'!$B$4:$E$253,4,FALSE),"-")</f>
        <v>-</v>
      </c>
      <c r="S940" s="58" t="str">
        <f>IF(J940&lt;&gt;"",VLOOKUP(J940,'RESUMO DR'!$B$4:$E$253,3,FALSE),"-")</f>
        <v>-</v>
      </c>
    </row>
    <row r="941" spans="1:19" ht="13.8">
      <c r="A941" s="5">
        <v>2673</v>
      </c>
      <c r="B941" s="21">
        <v>45675</v>
      </c>
      <c r="C941" s="21" t="s">
        <v>313</v>
      </c>
      <c r="D941" s="74" t="str">
        <f t="shared" si="283"/>
        <v>sáb</v>
      </c>
      <c r="E941" s="169">
        <f>IF(K941&lt;&gt;"",VLOOKUP(K941,'Catálogo SAP'!$A$1:$F$245,2,FALSE),"-")</f>
        <v>200</v>
      </c>
      <c r="F941" s="16">
        <v>64773</v>
      </c>
      <c r="G941" s="16">
        <v>65123</v>
      </c>
      <c r="H941" s="22"/>
      <c r="I941" s="133">
        <v>147</v>
      </c>
      <c r="J941" s="162" t="str">
        <f t="shared" si="280"/>
        <v>RIBAMAR FIQUENE</v>
      </c>
      <c r="K941" s="16">
        <v>200</v>
      </c>
      <c r="L941" s="167" t="str">
        <f>IF(K941&lt;&gt;"",VLOOKUP(K941,'Catálogo SAP'!A:F,3,FALSE),"")</f>
        <v>S.VP-01445</v>
      </c>
      <c r="M941" s="162" t="str">
        <f>IF(K941&lt;&gt;"",VLOOKUP(K941,'Catálogo SAP'!A:F,4,FALSE),"")</f>
        <v>Km Rodado Caminhão Basculante - C/Motorista</v>
      </c>
      <c r="N941" s="168" t="str">
        <f>IF(K941&lt;&gt;"",VLOOKUP(K941,'Catálogo SAP'!A:F,5,FALSE),"")</f>
        <v>KM</v>
      </c>
      <c r="O941" s="160">
        <v>350</v>
      </c>
      <c r="P941" s="70">
        <f t="shared" si="282"/>
        <v>350</v>
      </c>
      <c r="Q941" s="163" t="e">
        <f t="shared" si="281"/>
        <v>#VALUE!</v>
      </c>
      <c r="R941" s="44" t="str">
        <f>IF(J941&lt;&gt;"",VLOOKUP(J941,'RESUMO DR'!$B$4:$E$253,4,FALSE),"-")</f>
        <v>T-01</v>
      </c>
      <c r="S941" s="58" t="str">
        <f>IF(J941&lt;&gt;"",VLOOKUP(J941,'RESUMO DR'!$B$4:$E$253,3,FALSE),"-")</f>
        <v>IMPERATRIZ</v>
      </c>
    </row>
    <row r="942" spans="1:19" ht="13.8">
      <c r="A942" s="5"/>
      <c r="B942" s="21">
        <v>45675</v>
      </c>
      <c r="C942" s="21" t="s">
        <v>312</v>
      </c>
      <c r="D942" s="74" t="str">
        <f t="shared" si="283"/>
        <v>sáb</v>
      </c>
      <c r="E942" s="169" t="str">
        <f>IF(K942&lt;&gt;"",VLOOKUP(K942,'Catálogo SAP'!$A$1:$F$245,2,FALSE),"-")</f>
        <v>-</v>
      </c>
      <c r="F942" s="16"/>
      <c r="G942" s="16"/>
      <c r="H942" s="22"/>
      <c r="I942" s="133"/>
      <c r="J942" s="162" t="str">
        <f t="shared" si="280"/>
        <v/>
      </c>
      <c r="K942" s="16"/>
      <c r="L942" s="167" t="str">
        <f>IF(K942&lt;&gt;"",VLOOKUP(K942,'Catálogo SAP'!A:F,3,FALSE),"")</f>
        <v/>
      </c>
      <c r="M942" s="162" t="str">
        <f>IF(K942&lt;&gt;"",VLOOKUP(K942,'Catálogo SAP'!A:F,4,FALSE),"")</f>
        <v/>
      </c>
      <c r="N942" s="168" t="str">
        <f>IF(K942&lt;&gt;"",VLOOKUP(K942,'Catálogo SAP'!A:F,5,FALSE),"")</f>
        <v/>
      </c>
      <c r="O942" s="160"/>
      <c r="P942" s="70" t="str">
        <f t="shared" si="282"/>
        <v>-</v>
      </c>
      <c r="Q942" s="163" t="str">
        <f t="shared" si="281"/>
        <v>-</v>
      </c>
      <c r="R942" s="44" t="str">
        <f>IF(J942&lt;&gt;"",VLOOKUP(J942,'RESUMO DR'!$B$4:$E$253,4,FALSE),"-")</f>
        <v>-</v>
      </c>
      <c r="S942" s="58" t="str">
        <f>IF(J942&lt;&gt;"",VLOOKUP(J942,'RESUMO DR'!$B$4:$E$253,3,FALSE),"-")</f>
        <v>-</v>
      </c>
    </row>
    <row r="943" spans="1:19" ht="13.8">
      <c r="A943" s="5"/>
      <c r="B943" s="21">
        <v>45675</v>
      </c>
      <c r="C943" s="21" t="s">
        <v>129</v>
      </c>
      <c r="D943" s="74" t="str">
        <f t="shared" si="283"/>
        <v>sáb</v>
      </c>
      <c r="E943" s="169" t="str">
        <f>IF(K943&lt;&gt;"",VLOOKUP(K943,'Catálogo SAP'!$A$1:$F$245,2,FALSE),"-")</f>
        <v>-</v>
      </c>
      <c r="F943" s="16"/>
      <c r="G943" s="16"/>
      <c r="H943" s="22"/>
      <c r="I943" s="133"/>
      <c r="J943" s="162" t="str">
        <f t="shared" si="280"/>
        <v/>
      </c>
      <c r="K943" s="16"/>
      <c r="L943" s="167" t="str">
        <f>IF(K943&lt;&gt;"",VLOOKUP(K943,'Catálogo SAP'!A:F,3,FALSE),"")</f>
        <v/>
      </c>
      <c r="M943" s="162" t="str">
        <f>IF(K943&lt;&gt;"",VLOOKUP(K943,'Catálogo SAP'!A:F,4,FALSE),"")</f>
        <v/>
      </c>
      <c r="N943" s="168" t="str">
        <f>IF(K943&lt;&gt;"",VLOOKUP(K943,'Catálogo SAP'!A:F,5,FALSE),"")</f>
        <v/>
      </c>
      <c r="O943" s="160"/>
      <c r="P943" s="70" t="str">
        <f t="shared" si="282"/>
        <v>-</v>
      </c>
      <c r="Q943" s="163" t="str">
        <f t="shared" si="281"/>
        <v>-</v>
      </c>
      <c r="R943" s="44" t="str">
        <f>IF(J943&lt;&gt;"",VLOOKUP(J943,'RESUMO DR'!$B$4:$E$253,4,FALSE),"-")</f>
        <v>-</v>
      </c>
      <c r="S943" s="58" t="str">
        <f>IF(J943&lt;&gt;"",VLOOKUP(J943,'RESUMO DR'!$B$4:$E$253,3,FALSE),"-")</f>
        <v>-</v>
      </c>
    </row>
    <row r="944" spans="1:19" ht="13.8">
      <c r="A944" s="5">
        <v>2673</v>
      </c>
      <c r="B944" s="21">
        <v>45675</v>
      </c>
      <c r="C944" s="21" t="s">
        <v>298</v>
      </c>
      <c r="D944" s="74" t="str">
        <f t="shared" si="283"/>
        <v>sáb</v>
      </c>
      <c r="E944" s="169">
        <f>IF(K944&lt;&gt;"",VLOOKUP(K944,'Catálogo SAP'!$A$1:$F$245,2,FALSE),"-")</f>
        <v>160</v>
      </c>
      <c r="F944" s="16">
        <v>620</v>
      </c>
      <c r="G944" s="16">
        <v>629</v>
      </c>
      <c r="H944" s="22"/>
      <c r="I944" s="133">
        <v>143</v>
      </c>
      <c r="J944" s="162" t="str">
        <f t="shared" si="280"/>
        <v>RIBAMAR FIQUENE</v>
      </c>
      <c r="K944" s="16">
        <v>160</v>
      </c>
      <c r="L944" s="167" t="str">
        <f>IF(K944&lt;&gt;"",VLOOKUP(K944,'Catálogo SAP'!A:F,3,FALSE),"")</f>
        <v>S.VP-01441</v>
      </c>
      <c r="M944" s="162" t="str">
        <f>IF(K944&lt;&gt;"",VLOOKUP(K944,'Catálogo SAP'!A:F,4,FALSE),"")</f>
        <v>Hora Produtiva Pa Carregadeira C/Operador</v>
      </c>
      <c r="N944" s="168" t="str">
        <f>IF(K944&lt;&gt;"",VLOOKUP(K944,'Catálogo SAP'!A:F,5,FALSE),"")</f>
        <v>H</v>
      </c>
      <c r="O944" s="160">
        <v>9</v>
      </c>
      <c r="P944" s="70">
        <f t="shared" si="282"/>
        <v>9</v>
      </c>
      <c r="Q944" s="163" t="e">
        <f t="shared" si="281"/>
        <v>#VALUE!</v>
      </c>
      <c r="R944" s="44" t="str">
        <f>IF(J944&lt;&gt;"",VLOOKUP(J944,'RESUMO DR'!$B$4:$E$253,4,FALSE),"-")</f>
        <v>T-01</v>
      </c>
      <c r="S944" s="58" t="str">
        <f>IF(J944&lt;&gt;"",VLOOKUP(J944,'RESUMO DR'!$B$4:$E$253,3,FALSE),"-")</f>
        <v>IMPERATRIZ</v>
      </c>
    </row>
    <row r="945" spans="1:19" ht="13.8">
      <c r="A945" s="5"/>
      <c r="B945" s="21">
        <v>45675</v>
      </c>
      <c r="C945" s="21" t="s">
        <v>298</v>
      </c>
      <c r="D945" s="74" t="str">
        <f t="shared" si="283"/>
        <v>sáb</v>
      </c>
      <c r="E945" s="169" t="str">
        <f>IF(K945&lt;&gt;"",VLOOKUP(K945,'Catálogo SAP'!$A$1:$F$245,2,FALSE),"-")</f>
        <v>-</v>
      </c>
      <c r="F945" s="16"/>
      <c r="G945" s="16"/>
      <c r="H945" s="22"/>
      <c r="I945" s="133"/>
      <c r="J945" s="162" t="str">
        <f t="shared" si="280"/>
        <v/>
      </c>
      <c r="K945" s="16"/>
      <c r="L945" s="167" t="str">
        <f>IF(K945&lt;&gt;"",VLOOKUP(K945,'Catálogo SAP'!A:F,3,FALSE),"")</f>
        <v/>
      </c>
      <c r="M945" s="162" t="str">
        <f>IF(K945&lt;&gt;"",VLOOKUP(K945,'Catálogo SAP'!A:F,4,FALSE),"")</f>
        <v/>
      </c>
      <c r="N945" s="168" t="str">
        <f>IF(K945&lt;&gt;"",VLOOKUP(K945,'Catálogo SAP'!A:F,5,FALSE),"")</f>
        <v/>
      </c>
      <c r="O945" s="160"/>
      <c r="P945" s="70" t="str">
        <f t="shared" si="282"/>
        <v>-</v>
      </c>
      <c r="Q945" s="163" t="str">
        <f t="shared" si="281"/>
        <v>-</v>
      </c>
      <c r="R945" s="44" t="str">
        <f>IF(J945&lt;&gt;"",VLOOKUP(J945,'RESUMO DR'!$B$4:$E$253,4,FALSE),"-")</f>
        <v>-</v>
      </c>
      <c r="S945" s="58" t="str">
        <f>IF(J945&lt;&gt;"",VLOOKUP(J945,'RESUMO DR'!$B$4:$E$253,3,FALSE),"-")</f>
        <v>-</v>
      </c>
    </row>
    <row r="946" spans="1:19" ht="13.8">
      <c r="A946" s="5">
        <v>1890</v>
      </c>
      <c r="B946" s="21">
        <v>45675</v>
      </c>
      <c r="C946" s="21" t="s">
        <v>131</v>
      </c>
      <c r="D946" s="74" t="str">
        <f t="shared" si="283"/>
        <v>sáb</v>
      </c>
      <c r="E946" s="169">
        <f>IF(K946&lt;&gt;"",VLOOKUP(K946,'Catálogo SAP'!$A$1:$F$245,2,FALSE),"-")</f>
        <v>520</v>
      </c>
      <c r="F946" s="16">
        <v>10702</v>
      </c>
      <c r="G946" s="16">
        <v>10711</v>
      </c>
      <c r="H946" s="22"/>
      <c r="I946" s="133">
        <v>195</v>
      </c>
      <c r="J946" s="162" t="str">
        <f t="shared" si="280"/>
        <v>PORTO FRANCO</v>
      </c>
      <c r="K946" s="16">
        <v>520</v>
      </c>
      <c r="L946" s="167" t="str">
        <f>IF(K946&lt;&gt;"",VLOOKUP(K946,'Catálogo SAP'!A:F,3,FALSE),"")</f>
        <v>S.VP-01469</v>
      </c>
      <c r="M946" s="162" t="str">
        <f>IF(K946&lt;&gt;"",VLOOKUP(K946,'Catálogo SAP'!A:F,4,FALSE),"")</f>
        <v>Hora Produtiva Escavadeira Hidraulica</v>
      </c>
      <c r="N946" s="168" t="str">
        <f>IF(K946&lt;&gt;"",VLOOKUP(K946,'Catálogo SAP'!A:F,5,FALSE),"")</f>
        <v>H</v>
      </c>
      <c r="O946" s="160">
        <v>9</v>
      </c>
      <c r="P946" s="70">
        <f t="shared" si="282"/>
        <v>9</v>
      </c>
      <c r="Q946" s="163" t="e">
        <f t="shared" si="281"/>
        <v>#VALUE!</v>
      </c>
      <c r="R946" s="44" t="str">
        <f>IF(J946&lt;&gt;"",VLOOKUP(J946,'RESUMO DR'!$B$4:$E$253,4,FALSE),"-")</f>
        <v>T-01</v>
      </c>
      <c r="S946" s="58" t="str">
        <f>IF(J946&lt;&gt;"",VLOOKUP(J946,'RESUMO DR'!$B$4:$E$253,3,FALSE),"-")</f>
        <v>IMPERATRIZ</v>
      </c>
    </row>
    <row r="947" spans="1:19" ht="13.8">
      <c r="A947" s="5"/>
      <c r="B947" s="21">
        <v>45675</v>
      </c>
      <c r="C947" s="21" t="s">
        <v>131</v>
      </c>
      <c r="D947" s="74" t="str">
        <f t="shared" si="283"/>
        <v>sáb</v>
      </c>
      <c r="E947" s="169" t="str">
        <f>IF(K947&lt;&gt;"",VLOOKUP(K947,'Catálogo SAP'!$A$1:$F$245,2,FALSE),"-")</f>
        <v>-</v>
      </c>
      <c r="F947" s="16"/>
      <c r="G947" s="16"/>
      <c r="H947" s="22"/>
      <c r="I947" s="133"/>
      <c r="J947" s="162" t="str">
        <f t="shared" si="280"/>
        <v/>
      </c>
      <c r="K947" s="16"/>
      <c r="L947" s="167" t="str">
        <f>IF(K947&lt;&gt;"",VLOOKUP(K947,'Catálogo SAP'!A:F,3,FALSE),"")</f>
        <v/>
      </c>
      <c r="M947" s="162" t="str">
        <f>IF(K947&lt;&gt;"",VLOOKUP(K947,'Catálogo SAP'!A:F,4,FALSE),"")</f>
        <v/>
      </c>
      <c r="N947" s="168" t="str">
        <f>IF(K947&lt;&gt;"",VLOOKUP(K947,'Catálogo SAP'!A:F,5,FALSE),"")</f>
        <v/>
      </c>
      <c r="O947" s="160"/>
      <c r="P947" s="70" t="str">
        <f t="shared" si="282"/>
        <v>-</v>
      </c>
      <c r="Q947" s="163" t="str">
        <f t="shared" si="281"/>
        <v>-</v>
      </c>
      <c r="R947" s="44" t="str">
        <f>IF(J947&lt;&gt;"",VLOOKUP(J947,'RESUMO DR'!$B$4:$E$253,4,FALSE),"-")</f>
        <v>-</v>
      </c>
      <c r="S947" s="58" t="str">
        <f>IF(J947&lt;&gt;"",VLOOKUP(J947,'RESUMO DR'!$B$4:$E$253,3,FALSE),"-")</f>
        <v>-</v>
      </c>
    </row>
    <row r="948" spans="1:19" ht="13.8">
      <c r="A948" s="5"/>
      <c r="B948" s="21">
        <v>45675</v>
      </c>
      <c r="C948" s="21" t="s">
        <v>311</v>
      </c>
      <c r="D948" s="74" t="str">
        <f t="shared" si="283"/>
        <v>sáb</v>
      </c>
      <c r="E948" s="169" t="str">
        <f>IF(K948&lt;&gt;"",VLOOKUP(K948,'Catálogo SAP'!$A$1:$F$245,2,FALSE),"-")</f>
        <v>-</v>
      </c>
      <c r="F948" s="16"/>
      <c r="G948" s="16"/>
      <c r="H948" s="22"/>
      <c r="I948" s="133"/>
      <c r="J948" s="162" t="str">
        <f t="shared" si="280"/>
        <v/>
      </c>
      <c r="K948" s="16"/>
      <c r="L948" s="167" t="str">
        <f>IF(K948&lt;&gt;"",VLOOKUP(K948,'Catálogo SAP'!A:F,3,FALSE),"")</f>
        <v/>
      </c>
      <c r="M948" s="162" t="str">
        <f>IF(K948&lt;&gt;"",VLOOKUP(K948,'Catálogo SAP'!A:F,4,FALSE),"")</f>
        <v/>
      </c>
      <c r="N948" s="168" t="str">
        <f>IF(K948&lt;&gt;"",VLOOKUP(K948,'Catálogo SAP'!A:F,5,FALSE),"")</f>
        <v/>
      </c>
      <c r="O948" s="160"/>
      <c r="P948" s="70" t="str">
        <f t="shared" si="282"/>
        <v>-</v>
      </c>
      <c r="Q948" s="163" t="str">
        <f t="shared" si="281"/>
        <v>-</v>
      </c>
      <c r="R948" s="44" t="str">
        <f>IF(J948&lt;&gt;"",VLOOKUP(J948,'RESUMO DR'!$B$4:$E$253,4,FALSE),"-")</f>
        <v>-</v>
      </c>
      <c r="S948" s="58" t="str">
        <f>IF(J948&lt;&gt;"",VLOOKUP(J948,'RESUMO DR'!$B$4:$E$253,3,FALSE),"-")</f>
        <v>-</v>
      </c>
    </row>
    <row r="949" spans="1:19" ht="13.8">
      <c r="A949" s="5"/>
      <c r="B949" s="21">
        <v>45675</v>
      </c>
      <c r="C949" s="21" t="s">
        <v>311</v>
      </c>
      <c r="D949" s="74" t="str">
        <f t="shared" si="283"/>
        <v>sáb</v>
      </c>
      <c r="E949" s="169" t="str">
        <f>IF(K949&lt;&gt;"",VLOOKUP(K949,'Catálogo SAP'!$A$1:$F$245,2,FALSE),"-")</f>
        <v>-</v>
      </c>
      <c r="F949" s="16"/>
      <c r="G949" s="16"/>
      <c r="H949" s="22"/>
      <c r="I949" s="133"/>
      <c r="J949" s="162" t="str">
        <f t="shared" si="280"/>
        <v/>
      </c>
      <c r="K949" s="16"/>
      <c r="L949" s="167" t="str">
        <f>IF(K949&lt;&gt;"",VLOOKUP(K949,'Catálogo SAP'!A:F,3,FALSE),"")</f>
        <v/>
      </c>
      <c r="M949" s="162" t="str">
        <f>IF(K949&lt;&gt;"",VLOOKUP(K949,'Catálogo SAP'!A:F,4,FALSE),"")</f>
        <v/>
      </c>
      <c r="N949" s="168" t="str">
        <f>IF(K949&lt;&gt;"",VLOOKUP(K949,'Catálogo SAP'!A:F,5,FALSE),"")</f>
        <v/>
      </c>
      <c r="O949" s="160"/>
      <c r="P949" s="70" t="str">
        <f t="shared" si="282"/>
        <v>-</v>
      </c>
      <c r="Q949" s="163" t="str">
        <f t="shared" si="281"/>
        <v>-</v>
      </c>
      <c r="R949" s="44" t="str">
        <f>IF(J949&lt;&gt;"",VLOOKUP(J949,'RESUMO DR'!$B$4:$E$253,4,FALSE),"-")</f>
        <v>-</v>
      </c>
      <c r="S949" s="58" t="str">
        <f>IF(J949&lt;&gt;"",VLOOKUP(J949,'RESUMO DR'!$B$4:$E$253,3,FALSE),"-")</f>
        <v>-</v>
      </c>
    </row>
    <row r="950" spans="1:19" ht="13.8">
      <c r="A950" s="5"/>
      <c r="B950" s="21">
        <v>45675</v>
      </c>
      <c r="C950" s="21" t="s">
        <v>305</v>
      </c>
      <c r="D950" s="74" t="str">
        <f t="shared" si="283"/>
        <v>sáb</v>
      </c>
      <c r="E950" s="169" t="str">
        <f>IF(K950&lt;&gt;"",VLOOKUP(K950,'Catálogo SAP'!$A$1:$F$245,2,FALSE),"-")</f>
        <v>-</v>
      </c>
      <c r="F950" s="16"/>
      <c r="G950" s="16"/>
      <c r="H950" s="22"/>
      <c r="I950" s="133"/>
      <c r="J950" s="162" t="str">
        <f t="shared" si="280"/>
        <v/>
      </c>
      <c r="K950" s="16"/>
      <c r="L950" s="167" t="str">
        <f>IF(K950&lt;&gt;"",VLOOKUP(K950,'Catálogo SAP'!A:F,3,FALSE),"")</f>
        <v/>
      </c>
      <c r="M950" s="162" t="str">
        <f>IF(K950&lt;&gt;"",VLOOKUP(K950,'Catálogo SAP'!A:F,4,FALSE),"")</f>
        <v/>
      </c>
      <c r="N950" s="168" t="str">
        <f>IF(K950&lt;&gt;"",VLOOKUP(K950,'Catálogo SAP'!A:F,5,FALSE),"")</f>
        <v/>
      </c>
      <c r="O950" s="160"/>
      <c r="P950" s="70" t="str">
        <f t="shared" si="282"/>
        <v>-</v>
      </c>
      <c r="Q950" s="163" t="str">
        <f t="shared" si="281"/>
        <v>-</v>
      </c>
      <c r="R950" s="44" t="str">
        <f>IF(J950&lt;&gt;"",VLOOKUP(J950,'RESUMO DR'!$B$4:$E$253,4,FALSE),"-")</f>
        <v>-</v>
      </c>
      <c r="S950" s="58" t="str">
        <f>IF(J950&lt;&gt;"",VLOOKUP(J950,'RESUMO DR'!$B$4:$E$253,3,FALSE),"-")</f>
        <v>-</v>
      </c>
    </row>
    <row r="951" spans="1:19" ht="13.8">
      <c r="A951" s="5"/>
      <c r="B951" s="21">
        <v>45675</v>
      </c>
      <c r="C951" s="21" t="s">
        <v>305</v>
      </c>
      <c r="D951" s="74" t="str">
        <f t="shared" si="283"/>
        <v>sáb</v>
      </c>
      <c r="E951" s="169" t="str">
        <f>IF(K951&lt;&gt;"",VLOOKUP(K951,'Catálogo SAP'!$A$1:$F$245,2,FALSE),"-")</f>
        <v>-</v>
      </c>
      <c r="F951" s="16"/>
      <c r="G951" s="16"/>
      <c r="H951" s="22"/>
      <c r="I951" s="133"/>
      <c r="J951" s="162" t="str">
        <f t="shared" si="280"/>
        <v/>
      </c>
      <c r="K951" s="16"/>
      <c r="L951" s="167" t="str">
        <f>IF(K951&lt;&gt;"",VLOOKUP(K951,'Catálogo SAP'!A:F,3,FALSE),"")</f>
        <v/>
      </c>
      <c r="M951" s="162" t="str">
        <f>IF(K951&lt;&gt;"",VLOOKUP(K951,'Catálogo SAP'!A:F,4,FALSE),"")</f>
        <v/>
      </c>
      <c r="N951" s="168" t="str">
        <f>IF(K951&lt;&gt;"",VLOOKUP(K951,'Catálogo SAP'!A:F,5,FALSE),"")</f>
        <v/>
      </c>
      <c r="O951" s="160"/>
      <c r="P951" s="70" t="str">
        <f t="shared" si="282"/>
        <v>-</v>
      </c>
      <c r="Q951" s="163" t="str">
        <f t="shared" si="281"/>
        <v>-</v>
      </c>
      <c r="R951" s="44" t="str">
        <f>IF(J951&lt;&gt;"",VLOOKUP(J951,'RESUMO DR'!$B$4:$E$253,4,FALSE),"-")</f>
        <v>-</v>
      </c>
      <c r="S951" s="58" t="str">
        <f>IF(J951&lt;&gt;"",VLOOKUP(J951,'RESUMO DR'!$B$4:$E$253,3,FALSE),"-")</f>
        <v>-</v>
      </c>
    </row>
    <row r="952" spans="1:19" ht="13.8">
      <c r="A952" s="5"/>
      <c r="B952" s="21">
        <v>45675</v>
      </c>
      <c r="C952" s="21" t="s">
        <v>300</v>
      </c>
      <c r="D952" s="74" t="str">
        <f t="shared" si="283"/>
        <v>sáb</v>
      </c>
      <c r="E952" s="169" t="str">
        <f>IF(K952&lt;&gt;"",VLOOKUP(K952,'Catálogo SAP'!$A$1:$F$245,2,FALSE),"-")</f>
        <v>-</v>
      </c>
      <c r="F952" s="16"/>
      <c r="G952" s="16"/>
      <c r="H952" s="22"/>
      <c r="I952" s="133"/>
      <c r="J952" s="162" t="str">
        <f t="shared" si="280"/>
        <v/>
      </c>
      <c r="K952" s="16"/>
      <c r="L952" s="167" t="str">
        <f>IF(K952&lt;&gt;"",VLOOKUP(K952,'Catálogo SAP'!A:F,3,FALSE),"")</f>
        <v/>
      </c>
      <c r="M952" s="162" t="str">
        <f>IF(K952&lt;&gt;"",VLOOKUP(K952,'Catálogo SAP'!A:F,4,FALSE),"")</f>
        <v/>
      </c>
      <c r="N952" s="168" t="str">
        <f>IF(K952&lt;&gt;"",VLOOKUP(K952,'Catálogo SAP'!A:F,5,FALSE),"")</f>
        <v/>
      </c>
      <c r="O952" s="160"/>
      <c r="P952" s="70" t="str">
        <f t="shared" si="282"/>
        <v>-</v>
      </c>
      <c r="Q952" s="163" t="str">
        <f t="shared" si="281"/>
        <v>-</v>
      </c>
      <c r="R952" s="44" t="str">
        <f>IF(J952&lt;&gt;"",VLOOKUP(J952,'RESUMO DR'!$B$4:$E$253,4,FALSE),"-")</f>
        <v>-</v>
      </c>
      <c r="S952" s="58" t="str">
        <f>IF(J952&lt;&gt;"",VLOOKUP(J952,'RESUMO DR'!$B$4:$E$253,3,FALSE),"-")</f>
        <v>-</v>
      </c>
    </row>
    <row r="953" spans="1:19" ht="13.8">
      <c r="A953" s="5"/>
      <c r="B953" s="21">
        <v>45675</v>
      </c>
      <c r="C953" s="21" t="s">
        <v>300</v>
      </c>
      <c r="D953" s="74" t="str">
        <f t="shared" si="283"/>
        <v>sáb</v>
      </c>
      <c r="E953" s="169" t="str">
        <f>IF(K953&lt;&gt;"",VLOOKUP(K953,'Catálogo SAP'!$A$1:$F$245,2,FALSE),"-")</f>
        <v>-</v>
      </c>
      <c r="F953" s="16"/>
      <c r="G953" s="16"/>
      <c r="H953" s="22"/>
      <c r="I953" s="133"/>
      <c r="J953" s="162" t="str">
        <f t="shared" si="280"/>
        <v/>
      </c>
      <c r="K953" s="16"/>
      <c r="L953" s="167" t="str">
        <f>IF(K953&lt;&gt;"",VLOOKUP(K953,'Catálogo SAP'!A:F,3,FALSE),"")</f>
        <v/>
      </c>
      <c r="M953" s="162" t="str">
        <f>IF(K953&lt;&gt;"",VLOOKUP(K953,'Catálogo SAP'!A:F,4,FALSE),"")</f>
        <v/>
      </c>
      <c r="N953" s="168" t="str">
        <f>IF(K953&lt;&gt;"",VLOOKUP(K953,'Catálogo SAP'!A:F,5,FALSE),"")</f>
        <v/>
      </c>
      <c r="O953" s="160"/>
      <c r="P953" s="70" t="str">
        <f t="shared" si="282"/>
        <v>-</v>
      </c>
      <c r="Q953" s="163" t="str">
        <f t="shared" si="281"/>
        <v>-</v>
      </c>
      <c r="R953" s="44" t="str">
        <f>IF(J953&lt;&gt;"",VLOOKUP(J953,'RESUMO DR'!$B$4:$E$253,4,FALSE),"-")</f>
        <v>-</v>
      </c>
      <c r="S953" s="58" t="str">
        <f>IF(J953&lt;&gt;"",VLOOKUP(J953,'RESUMO DR'!$B$4:$E$253,3,FALSE),"-")</f>
        <v>-</v>
      </c>
    </row>
    <row r="954" spans="1:19" ht="13.8">
      <c r="A954" s="5"/>
      <c r="B954" s="21">
        <v>45675</v>
      </c>
      <c r="C954" s="21" t="s">
        <v>134</v>
      </c>
      <c r="D954" s="74" t="str">
        <f t="shared" si="283"/>
        <v>sáb</v>
      </c>
      <c r="E954" s="169" t="str">
        <f>IF(K954&lt;&gt;"",VLOOKUP(K954,'Catálogo SAP'!$A$1:$F$245,2,FALSE),"-")</f>
        <v>-</v>
      </c>
      <c r="F954" s="16"/>
      <c r="G954" s="16"/>
      <c r="H954" s="22"/>
      <c r="I954" s="133"/>
      <c r="J954" s="162" t="str">
        <f t="shared" si="280"/>
        <v/>
      </c>
      <c r="K954" s="16"/>
      <c r="L954" s="167" t="str">
        <f>IF(K954&lt;&gt;"",VLOOKUP(K954,'Catálogo SAP'!A:F,3,FALSE),"")</f>
        <v/>
      </c>
      <c r="M954" s="162" t="str">
        <f>IF(K954&lt;&gt;"",VLOOKUP(K954,'Catálogo SAP'!A:F,4,FALSE),"")</f>
        <v/>
      </c>
      <c r="N954" s="168" t="str">
        <f>IF(K954&lt;&gt;"",VLOOKUP(K954,'Catálogo SAP'!A:F,5,FALSE),"")</f>
        <v/>
      </c>
      <c r="O954" s="160"/>
      <c r="P954" s="70" t="str">
        <f t="shared" si="282"/>
        <v>-</v>
      </c>
      <c r="Q954" s="163" t="str">
        <f t="shared" si="281"/>
        <v>-</v>
      </c>
      <c r="R954" s="44" t="str">
        <f>IF(J954&lt;&gt;"",VLOOKUP(J954,'RESUMO DR'!$B$4:$E$253,4,FALSE),"-")</f>
        <v>-</v>
      </c>
      <c r="S954" s="58" t="str">
        <f>IF(J954&lt;&gt;"",VLOOKUP(J954,'RESUMO DR'!$B$4:$E$253,3,FALSE),"-")</f>
        <v>-</v>
      </c>
    </row>
    <row r="955" spans="1:19" ht="13.8">
      <c r="A955" s="5"/>
      <c r="B955" s="21">
        <v>45675</v>
      </c>
      <c r="C955" s="21" t="s">
        <v>134</v>
      </c>
      <c r="D955" s="74" t="str">
        <f t="shared" si="283"/>
        <v>sáb</v>
      </c>
      <c r="E955" s="169" t="str">
        <f>IF(K955&lt;&gt;"",VLOOKUP(K955,'Catálogo SAP'!$A$1:$F$245,2,FALSE),"-")</f>
        <v>-</v>
      </c>
      <c r="F955" s="16"/>
      <c r="G955" s="16"/>
      <c r="H955" s="22"/>
      <c r="I955" s="133"/>
      <c r="J955" s="162" t="str">
        <f t="shared" si="280"/>
        <v/>
      </c>
      <c r="K955" s="16"/>
      <c r="L955" s="167" t="str">
        <f>IF(K955&lt;&gt;"",VLOOKUP(K955,'Catálogo SAP'!A:F,3,FALSE),"")</f>
        <v/>
      </c>
      <c r="M955" s="162" t="str">
        <f>IF(K955&lt;&gt;"",VLOOKUP(K955,'Catálogo SAP'!A:F,4,FALSE),"")</f>
        <v/>
      </c>
      <c r="N955" s="168" t="str">
        <f>IF(K955&lt;&gt;"",VLOOKUP(K955,'Catálogo SAP'!A:F,5,FALSE),"")</f>
        <v/>
      </c>
      <c r="O955" s="160"/>
      <c r="P955" s="70" t="str">
        <f t="shared" si="282"/>
        <v>-</v>
      </c>
      <c r="Q955" s="163" t="str">
        <f t="shared" si="281"/>
        <v>-</v>
      </c>
      <c r="R955" s="44" t="str">
        <f>IF(J955&lt;&gt;"",VLOOKUP(J955,'RESUMO DR'!$B$4:$E$253,4,FALSE),"-")</f>
        <v>-</v>
      </c>
      <c r="S955" s="58" t="str">
        <f>IF(J955&lt;&gt;"",VLOOKUP(J955,'RESUMO DR'!$B$4:$E$253,3,FALSE),"-")</f>
        <v>-</v>
      </c>
    </row>
    <row r="956" spans="1:19" ht="13.8">
      <c r="A956" s="5">
        <v>2673</v>
      </c>
      <c r="B956" s="21">
        <v>45675</v>
      </c>
      <c r="C956" s="21" t="s">
        <v>315</v>
      </c>
      <c r="D956" s="74" t="str">
        <f t="shared" si="283"/>
        <v>sáb</v>
      </c>
      <c r="E956" s="169">
        <f>IF(K956&lt;&gt;"",VLOOKUP(K956,'Catálogo SAP'!$A$1:$F$245,2,FALSE),"-")</f>
        <v>160</v>
      </c>
      <c r="F956" s="16">
        <v>1443</v>
      </c>
      <c r="G956" s="16">
        <v>1452</v>
      </c>
      <c r="H956" s="22"/>
      <c r="I956" s="133">
        <v>144</v>
      </c>
      <c r="J956" s="162" t="str">
        <f t="shared" si="280"/>
        <v>RIBAMAR FIQUENE</v>
      </c>
      <c r="K956" s="16">
        <v>160</v>
      </c>
      <c r="L956" s="167" t="str">
        <f>IF(K956&lt;&gt;"",VLOOKUP(K956,'Catálogo SAP'!A:F,3,FALSE),"")</f>
        <v>S.VP-01441</v>
      </c>
      <c r="M956" s="162" t="str">
        <f>IF(K956&lt;&gt;"",VLOOKUP(K956,'Catálogo SAP'!A:F,4,FALSE),"")</f>
        <v>Hora Produtiva Pa Carregadeira C/Operador</v>
      </c>
      <c r="N956" s="168" t="str">
        <f>IF(K956&lt;&gt;"",VLOOKUP(K956,'Catálogo SAP'!A:F,5,FALSE),"")</f>
        <v>H</v>
      </c>
      <c r="O956" s="160">
        <v>9</v>
      </c>
      <c r="P956" s="70">
        <f t="shared" si="282"/>
        <v>9</v>
      </c>
      <c r="Q956" s="163" t="e">
        <f t="shared" si="281"/>
        <v>#VALUE!</v>
      </c>
      <c r="R956" s="44" t="str">
        <f>IF(J956&lt;&gt;"",VLOOKUP(J956,'RESUMO DR'!$B$4:$E$253,4,FALSE),"-")</f>
        <v>T-01</v>
      </c>
      <c r="S956" s="58" t="str">
        <f>IF(J956&lt;&gt;"",VLOOKUP(J956,'RESUMO DR'!$B$4:$E$253,3,FALSE),"-")</f>
        <v>IMPERATRIZ</v>
      </c>
    </row>
    <row r="957" spans="1:19" ht="13.8">
      <c r="B957" s="21">
        <v>45675</v>
      </c>
      <c r="C957" s="21" t="s">
        <v>306</v>
      </c>
      <c r="D957" s="74" t="str">
        <f t="shared" si="283"/>
        <v>sáb</v>
      </c>
      <c r="E957" s="169" t="str">
        <f>IF(K957&lt;&gt;"",VLOOKUP(K957,'Catálogo SAP'!$A$1:$F$245,2,FALSE),"-")</f>
        <v>-</v>
      </c>
      <c r="F957" s="16"/>
      <c r="G957" s="16"/>
      <c r="H957" s="22"/>
      <c r="I957" s="133"/>
      <c r="J957" s="162" t="str">
        <f t="shared" si="280"/>
        <v/>
      </c>
      <c r="K957" s="16"/>
      <c r="L957" s="167" t="str">
        <f>IF(K957&lt;&gt;"",VLOOKUP(K957,'Catálogo SAP'!A:F,3,FALSE),"")</f>
        <v/>
      </c>
      <c r="M957" s="162" t="str">
        <f>IF(K957&lt;&gt;"",VLOOKUP(K957,'Catálogo SAP'!A:F,4,FALSE),"")</f>
        <v/>
      </c>
      <c r="N957" s="168" t="str">
        <f>IF(K957&lt;&gt;"",VLOOKUP(K957,'Catálogo SAP'!A:F,5,FALSE),"")</f>
        <v/>
      </c>
      <c r="O957" s="160"/>
      <c r="P957" s="70" t="str">
        <f t="shared" si="282"/>
        <v>-</v>
      </c>
      <c r="Q957" s="163" t="str">
        <f t="shared" si="281"/>
        <v>-</v>
      </c>
      <c r="R957" s="44" t="str">
        <f>IF(J957&lt;&gt;"",VLOOKUP(J957,'RESUMO DR'!$B$4:$E$253,4,FALSE),"-")</f>
        <v>-</v>
      </c>
      <c r="S957" s="58" t="str">
        <f>IF(J957&lt;&gt;"",VLOOKUP(J957,'RESUMO DR'!$B$4:$E$253,3,FALSE),"-")</f>
        <v>-</v>
      </c>
    </row>
    <row r="958" spans="1:19" ht="13.8">
      <c r="A958" s="233"/>
      <c r="B958" s="21">
        <v>45675</v>
      </c>
      <c r="C958" s="21" t="s">
        <v>306</v>
      </c>
      <c r="D958" s="74" t="str">
        <f t="shared" si="283"/>
        <v>sáb</v>
      </c>
      <c r="E958" s="169" t="str">
        <f>IF(K958&lt;&gt;"",VLOOKUP(K958,'Catálogo SAP'!$A$1:$F$245,2,FALSE),"-")</f>
        <v>-</v>
      </c>
      <c r="F958" s="16"/>
      <c r="G958" s="16"/>
      <c r="H958" s="22"/>
      <c r="I958" s="133"/>
      <c r="J958" s="162" t="str">
        <f t="shared" si="280"/>
        <v/>
      </c>
      <c r="K958" s="16"/>
      <c r="L958" s="167" t="str">
        <f>IF(K958&lt;&gt;"",VLOOKUP(K958,'Catálogo SAP'!A:F,3,FALSE),"")</f>
        <v/>
      </c>
      <c r="M958" s="162" t="str">
        <f>IF(K958&lt;&gt;"",VLOOKUP(K958,'Catálogo SAP'!A:F,4,FALSE),"")</f>
        <v/>
      </c>
      <c r="N958" s="168" t="str">
        <f>IF(K958&lt;&gt;"",VLOOKUP(K958,'Catálogo SAP'!A:F,5,FALSE),"")</f>
        <v/>
      </c>
      <c r="O958" s="160"/>
      <c r="P958" s="70" t="str">
        <f t="shared" si="282"/>
        <v>-</v>
      </c>
      <c r="Q958" s="163" t="str">
        <f t="shared" si="281"/>
        <v>-</v>
      </c>
      <c r="R958" s="44" t="str">
        <f>IF(J958&lt;&gt;"",VLOOKUP(J958,'RESUMO DR'!$B$4:$E$253,4,FALSE),"-")</f>
        <v>-</v>
      </c>
      <c r="S958" s="58" t="str">
        <f>IF(J958&lt;&gt;"",VLOOKUP(J958,'RESUMO DR'!$B$4:$E$253,3,FALSE),"-")</f>
        <v>-</v>
      </c>
    </row>
    <row r="959" spans="1:19" ht="13.8">
      <c r="A959" s="233"/>
      <c r="B959" s="21">
        <v>45675</v>
      </c>
      <c r="C959" s="21" t="s">
        <v>137</v>
      </c>
      <c r="D959" s="74" t="str">
        <f t="shared" si="283"/>
        <v>sáb</v>
      </c>
      <c r="E959" s="169" t="str">
        <f>IF(K959&lt;&gt;"",VLOOKUP(K959,'Catálogo SAP'!$A$1:$F$245,2,FALSE),"-")</f>
        <v>-</v>
      </c>
      <c r="F959" s="16"/>
      <c r="G959" s="16"/>
      <c r="H959" s="22"/>
      <c r="I959" s="133"/>
      <c r="J959" s="162" t="str">
        <f t="shared" si="280"/>
        <v/>
      </c>
      <c r="K959" s="16"/>
      <c r="L959" s="167" t="str">
        <f>IF(K959&lt;&gt;"",VLOOKUP(K959,'Catálogo SAP'!A:F,3,FALSE),"")</f>
        <v/>
      </c>
      <c r="M959" s="162" t="str">
        <f>IF(K959&lt;&gt;"",VLOOKUP(K959,'Catálogo SAP'!A:F,4,FALSE),"")</f>
        <v/>
      </c>
      <c r="N959" s="168" t="str">
        <f>IF(K959&lt;&gt;"",VLOOKUP(K959,'Catálogo SAP'!A:F,5,FALSE),"")</f>
        <v/>
      </c>
      <c r="O959" s="160"/>
      <c r="P959" s="70" t="str">
        <f t="shared" si="282"/>
        <v>-</v>
      </c>
      <c r="Q959" s="163" t="str">
        <f t="shared" si="281"/>
        <v>-</v>
      </c>
      <c r="R959" s="44" t="str">
        <f>IF(J959&lt;&gt;"",VLOOKUP(J959,'RESUMO DR'!$B$4:$E$253,4,FALSE),"-")</f>
        <v>-</v>
      </c>
      <c r="S959" s="58" t="str">
        <f>IF(J959&lt;&gt;"",VLOOKUP(J959,'RESUMO DR'!$B$4:$E$253,3,FALSE),"-")</f>
        <v>-</v>
      </c>
    </row>
    <row r="960" spans="1:19" ht="13.8">
      <c r="A960" s="233"/>
      <c r="B960" s="21">
        <v>45675</v>
      </c>
      <c r="C960" s="21" t="s">
        <v>137</v>
      </c>
      <c r="D960" s="74" t="str">
        <f t="shared" si="283"/>
        <v>sáb</v>
      </c>
      <c r="E960" s="169" t="str">
        <f>IF(K960&lt;&gt;"",VLOOKUP(K960,'Catálogo SAP'!$A$1:$F$245,2,FALSE),"-")</f>
        <v>-</v>
      </c>
      <c r="F960" s="16"/>
      <c r="G960" s="16"/>
      <c r="H960" s="22"/>
      <c r="I960" s="133"/>
      <c r="J960" s="162" t="str">
        <f t="shared" si="280"/>
        <v/>
      </c>
      <c r="K960" s="16"/>
      <c r="L960" s="167" t="str">
        <f>IF(K960&lt;&gt;"",VLOOKUP(K960,'Catálogo SAP'!A:F,3,FALSE),"")</f>
        <v/>
      </c>
      <c r="M960" s="162" t="str">
        <f>IF(K960&lt;&gt;"",VLOOKUP(K960,'Catálogo SAP'!A:F,4,FALSE),"")</f>
        <v/>
      </c>
      <c r="N960" s="168" t="str">
        <f>IF(K960&lt;&gt;"",VLOOKUP(K960,'Catálogo SAP'!A:F,5,FALSE),"")</f>
        <v/>
      </c>
      <c r="O960" s="160"/>
      <c r="P960" s="70" t="str">
        <f t="shared" si="282"/>
        <v>-</v>
      </c>
      <c r="Q960" s="163" t="str">
        <f t="shared" si="281"/>
        <v>-</v>
      </c>
      <c r="R960" s="44" t="str">
        <f>IF(J960&lt;&gt;"",VLOOKUP(J960,'RESUMO DR'!$B$4:$E$253,4,FALSE),"-")</f>
        <v>-</v>
      </c>
      <c r="S960" s="58" t="str">
        <f>IF(J960&lt;&gt;"",VLOOKUP(J960,'RESUMO DR'!$B$4:$E$253,3,FALSE),"-")</f>
        <v>-</v>
      </c>
    </row>
    <row r="961" spans="1:19" ht="13.8">
      <c r="A961" s="233"/>
      <c r="B961" s="21">
        <v>45675</v>
      </c>
      <c r="C961" s="21" t="s">
        <v>123</v>
      </c>
      <c r="D961" s="74" t="str">
        <f t="shared" si="283"/>
        <v>sáb</v>
      </c>
      <c r="E961" s="169" t="str">
        <f>IF(K961&lt;&gt;"",VLOOKUP(K961,'Catálogo SAP'!$A$1:$F$245,2,FALSE),"-")</f>
        <v>-</v>
      </c>
      <c r="F961" s="16"/>
      <c r="G961" s="16"/>
      <c r="H961" s="22"/>
      <c r="I961" s="133"/>
      <c r="J961" s="162" t="str">
        <f t="shared" si="280"/>
        <v/>
      </c>
      <c r="K961" s="16"/>
      <c r="L961" s="167" t="str">
        <f>IF(K961&lt;&gt;"",VLOOKUP(K961,'Catálogo SAP'!A:F,3,FALSE),"")</f>
        <v/>
      </c>
      <c r="M961" s="162" t="str">
        <f>IF(K961&lt;&gt;"",VLOOKUP(K961,'Catálogo SAP'!A:F,4,FALSE),"")</f>
        <v/>
      </c>
      <c r="N961" s="168" t="str">
        <f>IF(K961&lt;&gt;"",VLOOKUP(K961,'Catálogo SAP'!A:F,5,FALSE),"")</f>
        <v/>
      </c>
      <c r="O961" s="160"/>
      <c r="P961" s="70" t="str">
        <f t="shared" si="282"/>
        <v>-</v>
      </c>
      <c r="Q961" s="163" t="str">
        <f t="shared" si="281"/>
        <v>-</v>
      </c>
      <c r="R961" s="44" t="str">
        <f>IF(J961&lt;&gt;"",VLOOKUP(J961,'RESUMO DR'!$B$4:$E$253,4,FALSE),"-")</f>
        <v>-</v>
      </c>
      <c r="S961" s="58" t="str">
        <f>IF(J961&lt;&gt;"",VLOOKUP(J961,'RESUMO DR'!$B$4:$E$253,3,FALSE),"-")</f>
        <v>-</v>
      </c>
    </row>
    <row r="962" spans="1:19" ht="13.8">
      <c r="A962" s="5">
        <v>2673</v>
      </c>
      <c r="B962" s="21">
        <v>45675</v>
      </c>
      <c r="C962" s="21" t="s">
        <v>314</v>
      </c>
      <c r="D962" s="74" t="str">
        <f t="shared" si="283"/>
        <v>sáb</v>
      </c>
      <c r="E962" s="169">
        <f>IF(K962&lt;&gt;"",VLOOKUP(K962,'Catálogo SAP'!$A$1:$F$245,2,FALSE),"-")</f>
        <v>200</v>
      </c>
      <c r="F962" s="16">
        <v>69193</v>
      </c>
      <c r="G962" s="16">
        <v>69541</v>
      </c>
      <c r="H962" s="22"/>
      <c r="I962" s="133">
        <v>143</v>
      </c>
      <c r="J962" s="162" t="str">
        <f t="shared" si="280"/>
        <v>RIBAMAR FIQUENE</v>
      </c>
      <c r="K962" s="16">
        <v>200</v>
      </c>
      <c r="L962" s="167" t="str">
        <f>IF(K962&lt;&gt;"",VLOOKUP(K962,'Catálogo SAP'!A:F,3,FALSE),"")</f>
        <v>S.VP-01445</v>
      </c>
      <c r="M962" s="162" t="str">
        <f>IF(K962&lt;&gt;"",VLOOKUP(K962,'Catálogo SAP'!A:F,4,FALSE),"")</f>
        <v>Km Rodado Caminhão Basculante - C/Motorista</v>
      </c>
      <c r="N962" s="168" t="str">
        <f>IF(K962&lt;&gt;"",VLOOKUP(K962,'Catálogo SAP'!A:F,5,FALSE),"")</f>
        <v>KM</v>
      </c>
      <c r="O962" s="160">
        <v>348</v>
      </c>
      <c r="P962" s="70">
        <f t="shared" si="282"/>
        <v>348</v>
      </c>
      <c r="Q962" s="163" t="e">
        <f t="shared" si="281"/>
        <v>#VALUE!</v>
      </c>
      <c r="R962" s="44" t="str">
        <f>IF(J962&lt;&gt;"",VLOOKUP(J962,'RESUMO DR'!$B$4:$E$253,4,FALSE),"-")</f>
        <v>T-01</v>
      </c>
      <c r="S962" s="58" t="str">
        <f>IF(J962&lt;&gt;"",VLOOKUP(J962,'RESUMO DR'!$B$4:$E$253,3,FALSE),"-")</f>
        <v>IMPERATRIZ</v>
      </c>
    </row>
    <row r="963" spans="1:19" ht="13.8">
      <c r="A963" s="233"/>
      <c r="B963" s="21">
        <v>45675</v>
      </c>
      <c r="C963" s="21" t="s">
        <v>151</v>
      </c>
      <c r="D963" s="74" t="str">
        <f t="shared" si="283"/>
        <v>sáb</v>
      </c>
      <c r="E963" s="169" t="str">
        <f>IF(K963&lt;&gt;"",VLOOKUP(K963,'Catálogo SAP'!$A$1:$F$245,2,FALSE),"-")</f>
        <v>-</v>
      </c>
      <c r="F963" s="16"/>
      <c r="G963" s="16"/>
      <c r="H963" s="22"/>
      <c r="I963" s="133"/>
      <c r="J963" s="162" t="str">
        <f t="shared" si="280"/>
        <v/>
      </c>
      <c r="K963" s="16"/>
      <c r="L963" s="167" t="str">
        <f>IF(K963&lt;&gt;"",VLOOKUP(K963,'Catálogo SAP'!A:F,3,FALSE),"")</f>
        <v/>
      </c>
      <c r="M963" s="162" t="str">
        <f>IF(K963&lt;&gt;"",VLOOKUP(K963,'Catálogo SAP'!A:F,4,FALSE),"")</f>
        <v/>
      </c>
      <c r="N963" s="168" t="str">
        <f>IF(K963&lt;&gt;"",VLOOKUP(K963,'Catálogo SAP'!A:F,5,FALSE),"")</f>
        <v/>
      </c>
      <c r="O963" s="160"/>
      <c r="P963" s="70" t="str">
        <f t="shared" si="282"/>
        <v>-</v>
      </c>
      <c r="Q963" s="163" t="str">
        <f t="shared" si="281"/>
        <v>-</v>
      </c>
      <c r="R963" s="44" t="str">
        <f>IF(J963&lt;&gt;"",VLOOKUP(J963,'RESUMO DR'!$B$4:$E$253,4,FALSE),"-")</f>
        <v>-</v>
      </c>
      <c r="S963" s="58" t="str">
        <f>IF(J963&lt;&gt;"",VLOOKUP(J963,'RESUMO DR'!$B$4:$E$253,3,FALSE),"-")</f>
        <v>-</v>
      </c>
    </row>
    <row r="964" spans="1:19" ht="13.8">
      <c r="A964" s="233"/>
      <c r="B964" s="21">
        <v>45675</v>
      </c>
      <c r="C964" s="21" t="s">
        <v>152</v>
      </c>
      <c r="D964" s="74" t="str">
        <f t="shared" si="283"/>
        <v>sáb</v>
      </c>
      <c r="E964" s="169" t="str">
        <f>IF(K964&lt;&gt;"",VLOOKUP(K964,'Catálogo SAP'!$A$1:$F$245,2,FALSE),"-")</f>
        <v>-</v>
      </c>
      <c r="F964" s="16"/>
      <c r="G964" s="16"/>
      <c r="H964" s="22"/>
      <c r="I964" s="133"/>
      <c r="J964" s="162" t="str">
        <f t="shared" ref="J964:J994" si="284">IF(AND(I964&gt;=0.001,I964&lt;=16),"AÇAILÂNDIA","")&amp;IF(AND(I964&gt;=16.001,I964&lt;=44),"S.F. BREJÃO","")&amp;IF(AND(I964&gt;=44.001,I964&lt;=78),"JOÃO LISBOA","")&amp;IF(AND(I964&gt;=78.001,I964&lt;=96.397),"IMPERATRIZ","")&amp;IF(AND(I964&gt;=96.398,I964&lt;=122.82),"EDSON LOBÃO","")&amp;IF(AND(I964&gt;=122.821,I964&lt;=152.303),"RIBAMAR FIQUENE","")&amp;IF(AND(I964&gt;=152.304,I964&lt;=172.403),"CAMPESTRE","")&amp;IF(AND(I964&gt;=172.404,I964&lt;=195),"PORTO FRANCO","")&amp;IF(AND(I964&gt;=300,I964&lt;=300),"SAO LUIS","")&amp;IF(AND(I964&gt;=385.4,I964&lt;=465.4),"Palmeirante","")&amp;IF(AND(I964&gt;=465.401,I964&lt;=520.455),"Tupiratins","")&amp;IF(AND(I964&gt;=520.456,I964&lt;=536.741),"Guaraí","")&amp;IF(AND(I964&gt;=536.742,I964&lt;=580.293),"Tupirama","")&amp;IF(AND(I964&gt;=580.294,I964&lt;=608.637),"Rio dos Bois","")&amp;IF(AND(I964&gt;=608.638,I964&lt;=698.981),"Miracema","")&amp;IF(AND(I964&gt;=698.982,I964&lt;=735.6),"Porto Nacional","")&amp;IF(AND(I964&gt;=195.1,I964&lt;=213.603),"ESTREITO","")&amp;IF(AND(I964&gt;=213.604,I964&lt;=218.976),"AGUIARNÓPOLIS","")&amp;IF(AND(I964&gt;=218.977,I964&lt;=253.5),"PALMEIRAS DO TOCANTINS","")&amp;IF(AND(I964&gt;=253.501,I964&lt;=274.15),"DARCINÓPOLIS","")&amp;IF(AND(I964&gt;=274.151,I964&lt;=299.999),"BABAÇULÂNDIA","")&amp;IF(AND(I964&gt;=356.62,I964&lt;=385.4),"ARAGUAÍNA","")&amp;IF(AND(I964&gt;=300.001,I964&lt;=356.619),"BABAÇULÂNDIA","")&amp;IF(AND(I964&gt;=900,I964&lt;=902),"ENG. VLI","")</f>
        <v/>
      </c>
      <c r="K964" s="16"/>
      <c r="L964" s="167" t="str">
        <f>IF(K964&lt;&gt;"",VLOOKUP(K964,'Catálogo SAP'!A:F,3,FALSE),"")</f>
        <v/>
      </c>
      <c r="M964" s="162" t="str">
        <f>IF(K964&lt;&gt;"",VLOOKUP(K964,'Catálogo SAP'!A:F,4,FALSE),"")</f>
        <v/>
      </c>
      <c r="N964" s="168" t="str">
        <f>IF(K964&lt;&gt;"",VLOOKUP(K964,'Catálogo SAP'!A:F,5,FALSE),"")</f>
        <v/>
      </c>
      <c r="O964" s="160"/>
      <c r="P964" s="70" t="str">
        <f t="shared" si="282"/>
        <v>-</v>
      </c>
      <c r="Q964" s="163" t="str">
        <f t="shared" ref="Q964:Q994" si="285">IF(K964="","-",N964*O964)</f>
        <v>-</v>
      </c>
      <c r="R964" s="44" t="str">
        <f>IF(J964&lt;&gt;"",VLOOKUP(J964,'RESUMO DR'!$B$4:$E$253,4,FALSE),"-")</f>
        <v>-</v>
      </c>
      <c r="S964" s="58" t="str">
        <f>IF(J964&lt;&gt;"",VLOOKUP(J964,'RESUMO DR'!$B$4:$E$253,3,FALSE),"-")</f>
        <v>-</v>
      </c>
    </row>
    <row r="965" spans="1:19" ht="13.8">
      <c r="A965" s="233"/>
      <c r="B965" s="21">
        <v>45675</v>
      </c>
      <c r="C965" s="21" t="s">
        <v>152</v>
      </c>
      <c r="D965" s="74" t="str">
        <f t="shared" si="283"/>
        <v>sáb</v>
      </c>
      <c r="E965" s="169" t="str">
        <f>IF(K965&lt;&gt;"",VLOOKUP(K965,'Catálogo SAP'!$A$1:$F$245,2,FALSE),"-")</f>
        <v>-</v>
      </c>
      <c r="F965" s="16"/>
      <c r="G965" s="16"/>
      <c r="H965" s="22"/>
      <c r="I965" s="133"/>
      <c r="J965" s="162" t="str">
        <f t="shared" si="284"/>
        <v/>
      </c>
      <c r="K965" s="16"/>
      <c r="L965" s="167" t="str">
        <f>IF(K965&lt;&gt;"",VLOOKUP(K965,'Catálogo SAP'!A:F,3,FALSE),"")</f>
        <v/>
      </c>
      <c r="M965" s="162" t="str">
        <f>IF(K965&lt;&gt;"",VLOOKUP(K965,'Catálogo SAP'!A:F,4,FALSE),"")</f>
        <v/>
      </c>
      <c r="N965" s="168" t="str">
        <f>IF(K965&lt;&gt;"",VLOOKUP(K965,'Catálogo SAP'!A:F,5,FALSE),"")</f>
        <v/>
      </c>
      <c r="O965" s="160"/>
      <c r="P965" s="70" t="str">
        <f t="shared" si="282"/>
        <v>-</v>
      </c>
      <c r="Q965" s="163" t="str">
        <f t="shared" si="285"/>
        <v>-</v>
      </c>
      <c r="R965" s="44" t="str">
        <f>IF(J965&lt;&gt;"",VLOOKUP(J965,'RESUMO DR'!$B$4:$E$253,4,FALSE),"-")</f>
        <v>-</v>
      </c>
      <c r="S965" s="58" t="str">
        <f>IF(J965&lt;&gt;"",VLOOKUP(J965,'RESUMO DR'!$B$4:$E$253,3,FALSE),"-")</f>
        <v>-</v>
      </c>
    </row>
    <row r="966" spans="1:19" ht="13.8">
      <c r="A966" s="233"/>
      <c r="B966" s="21"/>
      <c r="C966" s="21"/>
      <c r="D966" s="74" t="str">
        <f t="shared" si="283"/>
        <v>-</v>
      </c>
      <c r="E966" s="169" t="str">
        <f>IF(K966&lt;&gt;"",VLOOKUP(K966,'Catálogo SAP'!$A$1:$F$245,2,FALSE),"-")</f>
        <v>-</v>
      </c>
      <c r="F966" s="16"/>
      <c r="G966" s="16"/>
      <c r="H966" s="22"/>
      <c r="I966" s="133"/>
      <c r="J966" s="162" t="str">
        <f t="shared" si="284"/>
        <v/>
      </c>
      <c r="K966" s="16"/>
      <c r="L966" s="167" t="str">
        <f>IF(K966&lt;&gt;"",VLOOKUP(K966,'Catálogo SAP'!A:F,3,FALSE),"")</f>
        <v/>
      </c>
      <c r="M966" s="162" t="str">
        <f>IF(K966&lt;&gt;"",VLOOKUP(K966,'Catálogo SAP'!A:F,4,FALSE),"")</f>
        <v/>
      </c>
      <c r="N966" s="168" t="str">
        <f>IF(K966&lt;&gt;"",VLOOKUP(K966,'Catálogo SAP'!A:F,5,FALSE),"")</f>
        <v/>
      </c>
      <c r="O966" s="160"/>
      <c r="P966" s="70" t="str">
        <f t="shared" ref="P966:P1004" si="286">IF(G966="","-",G966-F966)</f>
        <v>-</v>
      </c>
      <c r="Q966" s="163" t="str">
        <f t="shared" si="285"/>
        <v>-</v>
      </c>
      <c r="R966" s="44" t="str">
        <f>IF(J966&lt;&gt;"",VLOOKUP(J966,'RESUMO DR'!$B$4:$E$253,4,FALSE),"-")</f>
        <v>-</v>
      </c>
      <c r="S966" s="58" t="str">
        <f>IF(J966&lt;&gt;"",VLOOKUP(J966,'RESUMO DR'!$B$4:$E$253,3,FALSE),"-")</f>
        <v>-</v>
      </c>
    </row>
    <row r="967" spans="1:19" ht="13.8">
      <c r="A967" s="233"/>
      <c r="B967" s="21"/>
      <c r="C967" s="21"/>
      <c r="D967" s="74" t="str">
        <f t="shared" si="283"/>
        <v>-</v>
      </c>
      <c r="E967" s="169" t="str">
        <f>IF(K967&lt;&gt;"",VLOOKUP(K967,'Catálogo SAP'!$A$1:$F$245,2,FALSE),"-")</f>
        <v>-</v>
      </c>
      <c r="F967" s="16"/>
      <c r="G967" s="16"/>
      <c r="H967" s="22"/>
      <c r="I967" s="133"/>
      <c r="J967" s="162" t="str">
        <f t="shared" si="284"/>
        <v/>
      </c>
      <c r="K967" s="16"/>
      <c r="L967" s="167" t="str">
        <f>IF(K967&lt;&gt;"",VLOOKUP(K967,'Catálogo SAP'!A:F,3,FALSE),"")</f>
        <v/>
      </c>
      <c r="M967" s="162" t="str">
        <f>IF(K967&lt;&gt;"",VLOOKUP(K967,'Catálogo SAP'!A:F,4,FALSE),"")</f>
        <v/>
      </c>
      <c r="N967" s="168" t="str">
        <f>IF(K967&lt;&gt;"",VLOOKUP(K967,'Catálogo SAP'!A:F,5,FALSE),"")</f>
        <v/>
      </c>
      <c r="O967" s="160"/>
      <c r="P967" s="70" t="str">
        <f t="shared" si="286"/>
        <v>-</v>
      </c>
      <c r="Q967" s="163" t="str">
        <f t="shared" si="285"/>
        <v>-</v>
      </c>
      <c r="R967" s="44" t="str">
        <f>IF(J967&lt;&gt;"",VLOOKUP(J967,'RESUMO DR'!$B$4:$E$253,4,FALSE),"-")</f>
        <v>-</v>
      </c>
      <c r="S967" s="58" t="str">
        <f>IF(J967&lt;&gt;"",VLOOKUP(J967,'RESUMO DR'!$B$4:$E$253,3,FALSE),"-")</f>
        <v>-</v>
      </c>
    </row>
    <row r="968" spans="1:19" ht="13.8">
      <c r="A968" s="233">
        <v>1579</v>
      </c>
      <c r="B968" s="21">
        <v>45677</v>
      </c>
      <c r="C968" s="21" t="s">
        <v>121</v>
      </c>
      <c r="D968" s="74" t="str">
        <f t="shared" si="283"/>
        <v>seg</v>
      </c>
      <c r="E968" s="169">
        <f>IF(K968&lt;&gt;"",VLOOKUP(K968,'Catálogo SAP'!$A$1:$F$245,2,FALSE),"-")</f>
        <v>120</v>
      </c>
      <c r="F968" s="16">
        <v>8778</v>
      </c>
      <c r="G968" s="16">
        <v>8785</v>
      </c>
      <c r="H968" s="22"/>
      <c r="I968" s="133">
        <v>300</v>
      </c>
      <c r="J968" s="162" t="str">
        <f t="shared" si="284"/>
        <v>SAO LUIS</v>
      </c>
      <c r="K968" s="16">
        <v>120</v>
      </c>
      <c r="L968" s="167" t="str">
        <f>IF(K968&lt;&gt;"",VLOOKUP(K968,'Catálogo SAP'!A:F,3,FALSE),"")</f>
        <v>S.VP-01437</v>
      </c>
      <c r="M968" s="162" t="str">
        <f>IF(K968&lt;&gt;"",VLOOKUP(K968,'Catálogo SAP'!A:F,4,FALSE),"")</f>
        <v>Hr Produtiva Retroescavadeira C/Operador</v>
      </c>
      <c r="N968" s="168" t="str">
        <f>IF(K968&lt;&gt;"",VLOOKUP(K968,'Catálogo SAP'!A:F,5,FALSE),"")</f>
        <v>H</v>
      </c>
      <c r="O968" s="160">
        <v>7</v>
      </c>
      <c r="P968" s="70">
        <f t="shared" si="286"/>
        <v>7</v>
      </c>
      <c r="Q968" s="163" t="e">
        <f t="shared" si="285"/>
        <v>#VALUE!</v>
      </c>
      <c r="R968" s="44" t="str">
        <f>IF(J968&lt;&gt;"",VLOOKUP(J968,'RESUMO DR'!$B$4:$E$253,4,FALSE),"-")</f>
        <v>T-02</v>
      </c>
      <c r="S968" s="58" t="str">
        <f>IF(J968&lt;&gt;"",VLOOKUP(J968,'RESUMO DR'!$B$4:$E$253,3,FALSE),"-")</f>
        <v>ARAGUAINA</v>
      </c>
    </row>
    <row r="969" spans="1:19" ht="13.8">
      <c r="A969" s="233">
        <v>1579</v>
      </c>
      <c r="B969" s="21">
        <v>45677</v>
      </c>
      <c r="C969" s="21" t="s">
        <v>121</v>
      </c>
      <c r="D969" s="74" t="str">
        <f t="shared" si="283"/>
        <v>seg</v>
      </c>
      <c r="E969" s="169">
        <f>IF(K969&lt;&gt;"",VLOOKUP(K969,'Catálogo SAP'!$A$1:$F$245,2,FALSE),"-")</f>
        <v>130</v>
      </c>
      <c r="F969" s="16">
        <v>8785</v>
      </c>
      <c r="G969" s="16">
        <v>8785</v>
      </c>
      <c r="H969" s="22"/>
      <c r="I969" s="133">
        <v>300</v>
      </c>
      <c r="J969" s="162" t="str">
        <f t="shared" si="284"/>
        <v>SAO LUIS</v>
      </c>
      <c r="K969" s="16">
        <v>130</v>
      </c>
      <c r="L969" s="167" t="str">
        <f>IF(K969&lt;&gt;"",VLOOKUP(K969,'Catálogo SAP'!A:F,3,FALSE),"")</f>
        <v>S.VP-01438</v>
      </c>
      <c r="M969" s="162" t="str">
        <f>IF(K969&lt;&gt;"",VLOOKUP(K969,'Catálogo SAP'!A:F,4,FALSE),"")</f>
        <v>Hr Improdutiva Retroescavadeira C/Operador</v>
      </c>
      <c r="N969" s="168" t="str">
        <f>IF(K969&lt;&gt;"",VLOOKUP(K969,'Catálogo SAP'!A:F,5,FALSE),"")</f>
        <v>H</v>
      </c>
      <c r="O969" s="160">
        <v>2</v>
      </c>
      <c r="P969" s="70">
        <f t="shared" si="286"/>
        <v>0</v>
      </c>
      <c r="Q969" s="163" t="e">
        <f t="shared" si="285"/>
        <v>#VALUE!</v>
      </c>
      <c r="R969" s="44" t="str">
        <f>IF(J969&lt;&gt;"",VLOOKUP(J969,'RESUMO DR'!$B$4:$E$253,4,FALSE),"-")</f>
        <v>T-02</v>
      </c>
      <c r="S969" s="58" t="str">
        <f>IF(J969&lt;&gt;"",VLOOKUP(J969,'RESUMO DR'!$B$4:$E$253,3,FALSE),"-")</f>
        <v>ARAGUAINA</v>
      </c>
    </row>
    <row r="970" spans="1:19" ht="13.8">
      <c r="A970" s="233">
        <v>2686</v>
      </c>
      <c r="B970" s="21">
        <v>45677</v>
      </c>
      <c r="C970" s="21" t="s">
        <v>122</v>
      </c>
      <c r="D970" s="74" t="str">
        <f t="shared" si="283"/>
        <v>seg</v>
      </c>
      <c r="E970" s="169">
        <f>IF(K970&lt;&gt;"",VLOOKUP(K970,'Catálogo SAP'!$A$1:$F$245,2,FALSE),"-")</f>
        <v>120</v>
      </c>
      <c r="F970" s="16">
        <v>3954</v>
      </c>
      <c r="G970" s="16">
        <v>3963</v>
      </c>
      <c r="H970" s="22"/>
      <c r="I970" s="133">
        <v>318</v>
      </c>
      <c r="J970" s="162" t="str">
        <f t="shared" si="284"/>
        <v>BABAÇULÂNDIA</v>
      </c>
      <c r="K970" s="16">
        <v>120</v>
      </c>
      <c r="L970" s="167" t="str">
        <f>IF(K970&lt;&gt;"",VLOOKUP(K970,'Catálogo SAP'!A:F,3,FALSE),"")</f>
        <v>S.VP-01437</v>
      </c>
      <c r="M970" s="162" t="str">
        <f>IF(K970&lt;&gt;"",VLOOKUP(K970,'Catálogo SAP'!A:F,4,FALSE),"")</f>
        <v>Hr Produtiva Retroescavadeira C/Operador</v>
      </c>
      <c r="N970" s="168" t="str">
        <f>IF(K970&lt;&gt;"",VLOOKUP(K970,'Catálogo SAP'!A:F,5,FALSE),"")</f>
        <v>H</v>
      </c>
      <c r="O970" s="160">
        <v>9</v>
      </c>
      <c r="P970" s="70">
        <f t="shared" si="286"/>
        <v>9</v>
      </c>
      <c r="Q970" s="163" t="e">
        <f t="shared" si="285"/>
        <v>#VALUE!</v>
      </c>
      <c r="R970" s="44" t="str">
        <f>IF(J970&lt;&gt;"",VLOOKUP(J970,'RESUMO DR'!$B$4:$E$253,4,FALSE),"-")</f>
        <v>T-02</v>
      </c>
      <c r="S970" s="58" t="str">
        <f>IF(J970&lt;&gt;"",VLOOKUP(J970,'RESUMO DR'!$B$4:$E$253,3,FALSE),"-")</f>
        <v>ARAGUAINA</v>
      </c>
    </row>
    <row r="971" spans="1:19" ht="13.8">
      <c r="A971" s="233">
        <v>2687</v>
      </c>
      <c r="B971" s="21">
        <v>45677</v>
      </c>
      <c r="C971" s="21" t="s">
        <v>123</v>
      </c>
      <c r="D971" s="74" t="str">
        <f t="shared" si="283"/>
        <v>seg</v>
      </c>
      <c r="E971" s="169">
        <f>IF(K971&lt;&gt;"",VLOOKUP(K971,'Catálogo SAP'!$A$1:$F$245,2,FALSE),"-")</f>
        <v>120</v>
      </c>
      <c r="F971" s="16">
        <v>5927</v>
      </c>
      <c r="G971" s="16">
        <v>5936</v>
      </c>
      <c r="H971" s="22"/>
      <c r="I971" s="133">
        <v>438</v>
      </c>
      <c r="J971" s="162" t="str">
        <f t="shared" si="284"/>
        <v>Palmeirante</v>
      </c>
      <c r="K971" s="16">
        <v>120</v>
      </c>
      <c r="L971" s="167" t="str">
        <f>IF(K971&lt;&gt;"",VLOOKUP(K971,'Catálogo SAP'!A:F,3,FALSE),"")</f>
        <v>S.VP-01437</v>
      </c>
      <c r="M971" s="162" t="str">
        <f>IF(K971&lt;&gt;"",VLOOKUP(K971,'Catálogo SAP'!A:F,4,FALSE),"")</f>
        <v>Hr Produtiva Retroescavadeira C/Operador</v>
      </c>
      <c r="N971" s="168" t="str">
        <f>IF(K971&lt;&gt;"",VLOOKUP(K971,'Catálogo SAP'!A:F,5,FALSE),"")</f>
        <v>H</v>
      </c>
      <c r="O971" s="160">
        <v>9</v>
      </c>
      <c r="P971" s="70">
        <f t="shared" si="286"/>
        <v>9</v>
      </c>
      <c r="Q971" s="163" t="e">
        <f t="shared" si="285"/>
        <v>#VALUE!</v>
      </c>
      <c r="R971" s="44" t="str">
        <f>IF(J971&lt;&gt;"",VLOOKUP(J971,'RESUMO DR'!$B$4:$E$253,4,FALSE),"-")</f>
        <v>T-02</v>
      </c>
      <c r="S971" s="58" t="str">
        <f>IF(J971&lt;&gt;"",VLOOKUP(J971,'RESUMO DR'!$B$4:$E$253,3,FALSE),"-")</f>
        <v>ARAGUAINA</v>
      </c>
    </row>
    <row r="972" spans="1:19" ht="13.8">
      <c r="A972" s="233"/>
      <c r="B972" s="21">
        <v>45677</v>
      </c>
      <c r="C972" s="21" t="s">
        <v>124</v>
      </c>
      <c r="D972" s="74" t="str">
        <f t="shared" si="283"/>
        <v>seg</v>
      </c>
      <c r="E972" s="169" t="str">
        <f>IF(K972&lt;&gt;"",VLOOKUP(K972,'Catálogo SAP'!$A$1:$F$245,2,FALSE),"-")</f>
        <v>-</v>
      </c>
      <c r="F972" s="16"/>
      <c r="G972" s="16"/>
      <c r="H972" s="22"/>
      <c r="I972" s="133"/>
      <c r="J972" s="162" t="str">
        <f t="shared" si="284"/>
        <v/>
      </c>
      <c r="K972" s="16"/>
      <c r="L972" s="167" t="str">
        <f>IF(K972&lt;&gt;"",VLOOKUP(K972,'Catálogo SAP'!A:F,3,FALSE),"")</f>
        <v/>
      </c>
      <c r="M972" s="162" t="str">
        <f>IF(K972&lt;&gt;"",VLOOKUP(K972,'Catálogo SAP'!A:F,4,FALSE),"")</f>
        <v/>
      </c>
      <c r="N972" s="168" t="str">
        <f>IF(K972&lt;&gt;"",VLOOKUP(K972,'Catálogo SAP'!A:F,5,FALSE),"")</f>
        <v/>
      </c>
      <c r="O972" s="160"/>
      <c r="P972" s="70" t="str">
        <f t="shared" si="286"/>
        <v>-</v>
      </c>
      <c r="Q972" s="163" t="str">
        <f t="shared" si="285"/>
        <v>-</v>
      </c>
      <c r="R972" s="44" t="str">
        <f>IF(J972&lt;&gt;"",VLOOKUP(J972,'RESUMO DR'!$B$4:$E$253,4,FALSE),"-")</f>
        <v>-</v>
      </c>
      <c r="S972" s="58" t="str">
        <f>IF(J972&lt;&gt;"",VLOOKUP(J972,'RESUMO DR'!$B$4:$E$253,3,FALSE),"-")</f>
        <v>-</v>
      </c>
    </row>
    <row r="973" spans="1:19" ht="13.8">
      <c r="A973" s="233"/>
      <c r="B973" s="21">
        <v>45677</v>
      </c>
      <c r="C973" s="21" t="s">
        <v>124</v>
      </c>
      <c r="D973" s="74" t="str">
        <f t="shared" si="283"/>
        <v>seg</v>
      </c>
      <c r="E973" s="169" t="str">
        <f>IF(K973&lt;&gt;"",VLOOKUP(K973,'Catálogo SAP'!$A$1:$F$245,2,FALSE),"-")</f>
        <v>-</v>
      </c>
      <c r="F973" s="16"/>
      <c r="G973" s="16"/>
      <c r="H973" s="22"/>
      <c r="I973" s="133"/>
      <c r="J973" s="162" t="str">
        <f t="shared" si="284"/>
        <v/>
      </c>
      <c r="K973" s="16"/>
      <c r="L973" s="167" t="str">
        <f>IF(K973&lt;&gt;"",VLOOKUP(K973,'Catálogo SAP'!A:F,3,FALSE),"")</f>
        <v/>
      </c>
      <c r="M973" s="162" t="str">
        <f>IF(K973&lt;&gt;"",VLOOKUP(K973,'Catálogo SAP'!A:F,4,FALSE),"")</f>
        <v/>
      </c>
      <c r="N973" s="168" t="str">
        <f>IF(K973&lt;&gt;"",VLOOKUP(K973,'Catálogo SAP'!A:F,5,FALSE),"")</f>
        <v/>
      </c>
      <c r="O973" s="160"/>
      <c r="P973" s="70" t="str">
        <f t="shared" si="286"/>
        <v>-</v>
      </c>
      <c r="Q973" s="163" t="str">
        <f t="shared" si="285"/>
        <v>-</v>
      </c>
      <c r="R973" s="44" t="str">
        <f>IF(J973&lt;&gt;"",VLOOKUP(J973,'RESUMO DR'!$B$4:$E$253,4,FALSE),"-")</f>
        <v>-</v>
      </c>
      <c r="S973" s="58" t="str">
        <f>IF(J973&lt;&gt;"",VLOOKUP(J973,'RESUMO DR'!$B$4:$E$253,3,FALSE),"-")</f>
        <v>-</v>
      </c>
    </row>
    <row r="974" spans="1:19" ht="13.8">
      <c r="A974" s="233">
        <v>2683</v>
      </c>
      <c r="B974" s="21">
        <v>45677</v>
      </c>
      <c r="C974" s="21" t="s">
        <v>307</v>
      </c>
      <c r="D974" s="74" t="str">
        <f t="shared" si="283"/>
        <v>seg</v>
      </c>
      <c r="E974" s="169">
        <f>IF(K974&lt;&gt;"",VLOOKUP(K974,'Catálogo SAP'!$A$1:$F$245,2,FALSE),"-")</f>
        <v>200</v>
      </c>
      <c r="F974" s="16">
        <v>70262</v>
      </c>
      <c r="G974" s="16">
        <v>70608</v>
      </c>
      <c r="H974" s="22"/>
      <c r="I974" s="133">
        <v>146</v>
      </c>
      <c r="J974" s="162" t="str">
        <f t="shared" si="284"/>
        <v>RIBAMAR FIQUENE</v>
      </c>
      <c r="K974" s="16">
        <v>200</v>
      </c>
      <c r="L974" s="167" t="str">
        <f>IF(K974&lt;&gt;"",VLOOKUP(K974,'Catálogo SAP'!A:F,3,FALSE),"")</f>
        <v>S.VP-01445</v>
      </c>
      <c r="M974" s="162" t="str">
        <f>IF(K974&lt;&gt;"",VLOOKUP(K974,'Catálogo SAP'!A:F,4,FALSE),"")</f>
        <v>Km Rodado Caminhão Basculante - C/Motorista</v>
      </c>
      <c r="N974" s="168" t="str">
        <f>IF(K974&lt;&gt;"",VLOOKUP(K974,'Catálogo SAP'!A:F,5,FALSE),"")</f>
        <v>KM</v>
      </c>
      <c r="O974" s="160">
        <v>346</v>
      </c>
      <c r="P974" s="70">
        <f t="shared" si="286"/>
        <v>346</v>
      </c>
      <c r="Q974" s="163" t="e">
        <f t="shared" si="285"/>
        <v>#VALUE!</v>
      </c>
      <c r="R974" s="44" t="str">
        <f>IF(J974&lt;&gt;"",VLOOKUP(J974,'RESUMO DR'!$B$4:$E$253,4,FALSE),"-")</f>
        <v>T-01</v>
      </c>
      <c r="S974" s="58" t="str">
        <f>IF(J974&lt;&gt;"",VLOOKUP(J974,'RESUMO DR'!$B$4:$E$253,3,FALSE),"-")</f>
        <v>IMPERATRIZ</v>
      </c>
    </row>
    <row r="975" spans="1:19" ht="13.8">
      <c r="A975" s="233">
        <v>2683</v>
      </c>
      <c r="B975" s="21">
        <v>45677</v>
      </c>
      <c r="C975" s="21" t="s">
        <v>308</v>
      </c>
      <c r="D975" s="74" t="str">
        <f t="shared" si="283"/>
        <v>seg</v>
      </c>
      <c r="E975" s="169">
        <f>IF(K975&lt;&gt;"",VLOOKUP(K975,'Catálogo SAP'!$A$1:$F$245,2,FALSE),"-")</f>
        <v>200</v>
      </c>
      <c r="F975" s="16">
        <v>69334</v>
      </c>
      <c r="G975" s="16">
        <v>69696</v>
      </c>
      <c r="H975" s="22"/>
      <c r="I975" s="133">
        <v>146</v>
      </c>
      <c r="J975" s="162" t="str">
        <f t="shared" si="284"/>
        <v>RIBAMAR FIQUENE</v>
      </c>
      <c r="K975" s="16">
        <v>200</v>
      </c>
      <c r="L975" s="167" t="str">
        <f>IF(K975&lt;&gt;"",VLOOKUP(K975,'Catálogo SAP'!A:F,3,FALSE),"")</f>
        <v>S.VP-01445</v>
      </c>
      <c r="M975" s="162" t="str">
        <f>IF(K975&lt;&gt;"",VLOOKUP(K975,'Catálogo SAP'!A:F,4,FALSE),"")</f>
        <v>Km Rodado Caminhão Basculante - C/Motorista</v>
      </c>
      <c r="N975" s="168" t="str">
        <f>IF(K975&lt;&gt;"",VLOOKUP(K975,'Catálogo SAP'!A:F,5,FALSE),"")</f>
        <v>KM</v>
      </c>
      <c r="O975" s="160">
        <v>362</v>
      </c>
      <c r="P975" s="70">
        <f t="shared" si="286"/>
        <v>362</v>
      </c>
      <c r="Q975" s="163" t="e">
        <f t="shared" si="285"/>
        <v>#VALUE!</v>
      </c>
      <c r="R975" s="44" t="str">
        <f>IF(J975&lt;&gt;"",VLOOKUP(J975,'RESUMO DR'!$B$4:$E$253,4,FALSE),"-")</f>
        <v>T-01</v>
      </c>
      <c r="S975" s="58" t="str">
        <f>IF(J975&lt;&gt;"",VLOOKUP(J975,'RESUMO DR'!$B$4:$E$253,3,FALSE),"-")</f>
        <v>IMPERATRIZ</v>
      </c>
    </row>
    <row r="976" spans="1:19" ht="13.8">
      <c r="A976" s="233">
        <v>2685</v>
      </c>
      <c r="B976" s="21">
        <v>45677</v>
      </c>
      <c r="C976" s="21" t="s">
        <v>127</v>
      </c>
      <c r="D976" s="74" t="str">
        <f t="shared" si="283"/>
        <v>seg</v>
      </c>
      <c r="E976" s="169">
        <f>IF(K976&lt;&gt;"",VLOOKUP(K976,'Catálogo SAP'!$A$1:$F$245,2,FALSE),"-")</f>
        <v>200</v>
      </c>
      <c r="F976" s="16">
        <v>50850</v>
      </c>
      <c r="G976" s="16">
        <v>50870</v>
      </c>
      <c r="H976" s="22"/>
      <c r="I976" s="133">
        <v>20</v>
      </c>
      <c r="J976" s="162" t="str">
        <f t="shared" si="284"/>
        <v>S.F. BREJÃO</v>
      </c>
      <c r="K976" s="16">
        <v>200</v>
      </c>
      <c r="L976" s="167" t="str">
        <f>IF(K976&lt;&gt;"",VLOOKUP(K976,'Catálogo SAP'!A:F,3,FALSE),"")</f>
        <v>S.VP-01445</v>
      </c>
      <c r="M976" s="162" t="str">
        <f>IF(K976&lt;&gt;"",VLOOKUP(K976,'Catálogo SAP'!A:F,4,FALSE),"")</f>
        <v>Km Rodado Caminhão Basculante - C/Motorista</v>
      </c>
      <c r="N976" s="168" t="str">
        <f>IF(K976&lt;&gt;"",VLOOKUP(K976,'Catálogo SAP'!A:F,5,FALSE),"")</f>
        <v>KM</v>
      </c>
      <c r="O976" s="160">
        <v>20</v>
      </c>
      <c r="P976" s="70">
        <f t="shared" si="286"/>
        <v>20</v>
      </c>
      <c r="Q976" s="163" t="e">
        <f t="shared" si="285"/>
        <v>#VALUE!</v>
      </c>
      <c r="R976" s="44" t="str">
        <f>IF(J976&lt;&gt;"",VLOOKUP(J976,'RESUMO DR'!$B$4:$E$253,4,FALSE),"-")</f>
        <v>T-01</v>
      </c>
      <c r="S976" s="58" t="str">
        <f>IF(J976&lt;&gt;"",VLOOKUP(J976,'RESUMO DR'!$B$4:$E$253,3,FALSE),"-")</f>
        <v>IMPERATRIZ</v>
      </c>
    </row>
    <row r="977" spans="1:19" ht="13.8">
      <c r="A977" s="233">
        <v>2683</v>
      </c>
      <c r="B977" s="21">
        <v>45677</v>
      </c>
      <c r="C977" s="21" t="s">
        <v>313</v>
      </c>
      <c r="D977" s="74" t="str">
        <f t="shared" si="283"/>
        <v>seg</v>
      </c>
      <c r="E977" s="169">
        <f>IF(K977&lt;&gt;"",VLOOKUP(K977,'Catálogo SAP'!$A$1:$F$245,2,FALSE),"-")</f>
        <v>200</v>
      </c>
      <c r="F977" s="16">
        <v>65123</v>
      </c>
      <c r="G977" s="16">
        <v>65380</v>
      </c>
      <c r="H977" s="22"/>
      <c r="I977" s="133">
        <v>147</v>
      </c>
      <c r="J977" s="162" t="str">
        <f t="shared" si="284"/>
        <v>RIBAMAR FIQUENE</v>
      </c>
      <c r="K977" s="16">
        <v>200</v>
      </c>
      <c r="L977" s="167" t="str">
        <f>IF(K977&lt;&gt;"",VLOOKUP(K977,'Catálogo SAP'!A:F,3,FALSE),"")</f>
        <v>S.VP-01445</v>
      </c>
      <c r="M977" s="162" t="str">
        <f>IF(K977&lt;&gt;"",VLOOKUP(K977,'Catálogo SAP'!A:F,4,FALSE),"")</f>
        <v>Km Rodado Caminhão Basculante - C/Motorista</v>
      </c>
      <c r="N977" s="168" t="str">
        <f>IF(K977&lt;&gt;"",VLOOKUP(K977,'Catálogo SAP'!A:F,5,FALSE),"")</f>
        <v>KM</v>
      </c>
      <c r="O977" s="160">
        <v>257</v>
      </c>
      <c r="P977" s="70">
        <f t="shared" si="286"/>
        <v>257</v>
      </c>
      <c r="Q977" s="163" t="e">
        <f t="shared" si="285"/>
        <v>#VALUE!</v>
      </c>
      <c r="R977" s="44" t="str">
        <f>IF(J977&lt;&gt;"",VLOOKUP(J977,'RESUMO DR'!$B$4:$E$253,4,FALSE),"-")</f>
        <v>T-01</v>
      </c>
      <c r="S977" s="58" t="str">
        <f>IF(J977&lt;&gt;"",VLOOKUP(J977,'RESUMO DR'!$B$4:$E$253,3,FALSE),"-")</f>
        <v>IMPERATRIZ</v>
      </c>
    </row>
    <row r="978" spans="1:19" ht="13.8">
      <c r="A978" s="233">
        <v>2605</v>
      </c>
      <c r="B978" s="21">
        <v>45677</v>
      </c>
      <c r="C978" s="21" t="s">
        <v>312</v>
      </c>
      <c r="D978" s="74" t="str">
        <f t="shared" si="283"/>
        <v>seg</v>
      </c>
      <c r="E978" s="169">
        <f>IF(K978&lt;&gt;"",VLOOKUP(K978,'Catálogo SAP'!$A$1:$F$245,2,FALSE),"-")</f>
        <v>200</v>
      </c>
      <c r="F978" s="16">
        <v>78202</v>
      </c>
      <c r="G978" s="16">
        <v>78610</v>
      </c>
      <c r="H978" s="22"/>
      <c r="I978" s="133">
        <v>195</v>
      </c>
      <c r="J978" s="162" t="str">
        <f t="shared" si="284"/>
        <v>PORTO FRANCO</v>
      </c>
      <c r="K978" s="16">
        <v>200</v>
      </c>
      <c r="L978" s="167" t="str">
        <f>IF(K978&lt;&gt;"",VLOOKUP(K978,'Catálogo SAP'!A:F,3,FALSE),"")</f>
        <v>S.VP-01445</v>
      </c>
      <c r="M978" s="162" t="str">
        <f>IF(K978&lt;&gt;"",VLOOKUP(K978,'Catálogo SAP'!A:F,4,FALSE),"")</f>
        <v>Km Rodado Caminhão Basculante - C/Motorista</v>
      </c>
      <c r="N978" s="168" t="str">
        <f>IF(K978&lt;&gt;"",VLOOKUP(K978,'Catálogo SAP'!A:F,5,FALSE),"")</f>
        <v>KM</v>
      </c>
      <c r="O978" s="160">
        <v>408</v>
      </c>
      <c r="P978" s="70">
        <f t="shared" si="286"/>
        <v>408</v>
      </c>
      <c r="Q978" s="163" t="e">
        <f t="shared" si="285"/>
        <v>#VALUE!</v>
      </c>
      <c r="R978" s="44" t="s">
        <v>180</v>
      </c>
      <c r="S978" s="58" t="s">
        <v>144</v>
      </c>
    </row>
    <row r="979" spans="1:19" ht="13.8">
      <c r="A979" s="233">
        <v>2687</v>
      </c>
      <c r="B979" s="21">
        <v>45677</v>
      </c>
      <c r="C979" s="21" t="s">
        <v>129</v>
      </c>
      <c r="D979" s="74" t="str">
        <f t="shared" si="283"/>
        <v>seg</v>
      </c>
      <c r="E979" s="169">
        <f>IF(K979&lt;&gt;"",VLOOKUP(K979,'Catálogo SAP'!$A$1:$F$245,2,FALSE),"-")</f>
        <v>200</v>
      </c>
      <c r="F979" s="16">
        <v>81386</v>
      </c>
      <c r="G979" s="16">
        <v>81426</v>
      </c>
      <c r="H979" s="22"/>
      <c r="I979" s="133">
        <v>438</v>
      </c>
      <c r="J979" s="162" t="str">
        <f t="shared" si="284"/>
        <v>Palmeirante</v>
      </c>
      <c r="K979" s="16">
        <v>200</v>
      </c>
      <c r="L979" s="167" t="str">
        <f>IF(K979&lt;&gt;"",VLOOKUP(K979,'Catálogo SAP'!A:F,3,FALSE),"")</f>
        <v>S.VP-01445</v>
      </c>
      <c r="M979" s="162" t="str">
        <f>IF(K979&lt;&gt;"",VLOOKUP(K979,'Catálogo SAP'!A:F,4,FALSE),"")</f>
        <v>Km Rodado Caminhão Basculante - C/Motorista</v>
      </c>
      <c r="N979" s="168" t="str">
        <f>IF(K979&lt;&gt;"",VLOOKUP(K979,'Catálogo SAP'!A:F,5,FALSE),"")</f>
        <v>KM</v>
      </c>
      <c r="O979" s="160">
        <v>40</v>
      </c>
      <c r="P979" s="70">
        <f t="shared" si="286"/>
        <v>40</v>
      </c>
      <c r="Q979" s="163" t="e">
        <f t="shared" si="285"/>
        <v>#VALUE!</v>
      </c>
      <c r="R979" s="44" t="str">
        <f>IF(J979&lt;&gt;"",VLOOKUP(J979,'RESUMO DR'!$B$4:$E$253,4,FALSE),"-")</f>
        <v>T-02</v>
      </c>
      <c r="S979" s="58" t="str">
        <f>IF(J979&lt;&gt;"",VLOOKUP(J979,'RESUMO DR'!$B$4:$E$253,3,FALSE),"-")</f>
        <v>ARAGUAINA</v>
      </c>
    </row>
    <row r="980" spans="1:19" ht="13.8">
      <c r="A980" s="233">
        <v>2683</v>
      </c>
      <c r="B980" s="21">
        <v>45677</v>
      </c>
      <c r="C980" s="21" t="s">
        <v>298</v>
      </c>
      <c r="D980" s="74" t="str">
        <f t="shared" si="283"/>
        <v>seg</v>
      </c>
      <c r="E980" s="169">
        <f>IF(K980&lt;&gt;"",VLOOKUP(K980,'Catálogo SAP'!$A$1:$F$245,2,FALSE),"-")</f>
        <v>160</v>
      </c>
      <c r="F980" s="16">
        <v>629</v>
      </c>
      <c r="G980" s="16">
        <v>638</v>
      </c>
      <c r="H980" s="22"/>
      <c r="I980" s="133">
        <v>146</v>
      </c>
      <c r="J980" s="162" t="str">
        <f t="shared" si="284"/>
        <v>RIBAMAR FIQUENE</v>
      </c>
      <c r="K980" s="16">
        <v>160</v>
      </c>
      <c r="L980" s="167" t="str">
        <f>IF(K980&lt;&gt;"",VLOOKUP(K980,'Catálogo SAP'!A:F,3,FALSE),"")</f>
        <v>S.VP-01441</v>
      </c>
      <c r="M980" s="162" t="str">
        <f>IF(K980&lt;&gt;"",VLOOKUP(K980,'Catálogo SAP'!A:F,4,FALSE),"")</f>
        <v>Hora Produtiva Pa Carregadeira C/Operador</v>
      </c>
      <c r="N980" s="168" t="str">
        <f>IF(K980&lt;&gt;"",VLOOKUP(K980,'Catálogo SAP'!A:F,5,FALSE),"")</f>
        <v>H</v>
      </c>
      <c r="O980" s="160">
        <v>9</v>
      </c>
      <c r="P980" s="70">
        <f t="shared" si="286"/>
        <v>9</v>
      </c>
      <c r="Q980" s="163" t="e">
        <f t="shared" si="285"/>
        <v>#VALUE!</v>
      </c>
      <c r="R980" s="44" t="str">
        <f>IF(J980&lt;&gt;"",VLOOKUP(J980,'RESUMO DR'!$B$4:$E$253,4,FALSE),"-")</f>
        <v>T-01</v>
      </c>
      <c r="S980" s="58" t="str">
        <f>IF(J980&lt;&gt;"",VLOOKUP(J980,'RESUMO DR'!$B$4:$E$253,3,FALSE),"-")</f>
        <v>IMPERATRIZ</v>
      </c>
    </row>
    <row r="981" spans="1:19" ht="13.8">
      <c r="A981" s="233"/>
      <c r="B981" s="21">
        <v>45677</v>
      </c>
      <c r="C981" s="21" t="s">
        <v>298</v>
      </c>
      <c r="D981" s="74" t="str">
        <f t="shared" si="283"/>
        <v>seg</v>
      </c>
      <c r="E981" s="169" t="str">
        <f>IF(K981&lt;&gt;"",VLOOKUP(K981,'Catálogo SAP'!$A$1:$F$245,2,FALSE),"-")</f>
        <v>-</v>
      </c>
      <c r="F981" s="16"/>
      <c r="G981" s="16"/>
      <c r="H981" s="22"/>
      <c r="I981" s="133"/>
      <c r="J981" s="162" t="str">
        <f t="shared" si="284"/>
        <v/>
      </c>
      <c r="K981" s="16"/>
      <c r="L981" s="167" t="str">
        <f>IF(K981&lt;&gt;"",VLOOKUP(K981,'Catálogo SAP'!A:F,3,FALSE),"")</f>
        <v/>
      </c>
      <c r="M981" s="162" t="str">
        <f>IF(K981&lt;&gt;"",VLOOKUP(K981,'Catálogo SAP'!A:F,4,FALSE),"")</f>
        <v/>
      </c>
      <c r="N981" s="168" t="str">
        <f>IF(K981&lt;&gt;"",VLOOKUP(K981,'Catálogo SAP'!A:F,5,FALSE),"")</f>
        <v/>
      </c>
      <c r="O981" s="160"/>
      <c r="P981" s="70" t="str">
        <f t="shared" si="286"/>
        <v>-</v>
      </c>
      <c r="Q981" s="163" t="str">
        <f t="shared" si="285"/>
        <v>-</v>
      </c>
      <c r="R981" s="44" t="str">
        <f>IF(J981&lt;&gt;"",VLOOKUP(J981,'RESUMO DR'!$B$4:$E$253,4,FALSE),"-")</f>
        <v>-</v>
      </c>
      <c r="S981" s="58" t="str">
        <f>IF(J981&lt;&gt;"",VLOOKUP(J981,'RESUMO DR'!$B$4:$E$253,3,FALSE),"-")</f>
        <v>-</v>
      </c>
    </row>
    <row r="982" spans="1:19" ht="13.8">
      <c r="A982" s="233">
        <v>2690</v>
      </c>
      <c r="B982" s="21">
        <v>45677</v>
      </c>
      <c r="C982" s="21" t="s">
        <v>131</v>
      </c>
      <c r="D982" s="74" t="str">
        <f t="shared" si="283"/>
        <v>seg</v>
      </c>
      <c r="E982" s="169">
        <f>IF(K982&lt;&gt;"",VLOOKUP(K982,'Catálogo SAP'!$A$1:$F$245,2,FALSE),"-")</f>
        <v>520</v>
      </c>
      <c r="F982" s="16">
        <v>10711</v>
      </c>
      <c r="G982" s="16">
        <v>10719</v>
      </c>
      <c r="H982" s="22"/>
      <c r="I982" s="133">
        <v>195</v>
      </c>
      <c r="J982" s="162" t="str">
        <f t="shared" si="284"/>
        <v>PORTO FRANCO</v>
      </c>
      <c r="K982" s="16">
        <v>520</v>
      </c>
      <c r="L982" s="167" t="str">
        <f>IF(K982&lt;&gt;"",VLOOKUP(K982,'Catálogo SAP'!A:F,3,FALSE),"")</f>
        <v>S.VP-01469</v>
      </c>
      <c r="M982" s="162" t="str">
        <f>IF(K982&lt;&gt;"",VLOOKUP(K982,'Catálogo SAP'!A:F,4,FALSE),"")</f>
        <v>Hora Produtiva Escavadeira Hidraulica</v>
      </c>
      <c r="N982" s="168" t="str">
        <f>IF(K982&lt;&gt;"",VLOOKUP(K982,'Catálogo SAP'!A:F,5,FALSE),"")</f>
        <v>H</v>
      </c>
      <c r="O982" s="160">
        <v>8</v>
      </c>
      <c r="P982" s="70">
        <f t="shared" si="286"/>
        <v>8</v>
      </c>
      <c r="Q982" s="163" t="e">
        <f t="shared" si="285"/>
        <v>#VALUE!</v>
      </c>
      <c r="R982" s="44" t="str">
        <f>IF(J982&lt;&gt;"",VLOOKUP(J982,'RESUMO DR'!$B$4:$E$253,4,FALSE),"-")</f>
        <v>T-01</v>
      </c>
      <c r="S982" s="58" t="str">
        <f>IF(J982&lt;&gt;"",VLOOKUP(J982,'RESUMO DR'!$B$4:$E$253,3,FALSE),"-")</f>
        <v>IMPERATRIZ</v>
      </c>
    </row>
    <row r="983" spans="1:19" ht="13.8">
      <c r="A983" s="233">
        <v>2690</v>
      </c>
      <c r="B983" s="21">
        <v>45677</v>
      </c>
      <c r="C983" s="21" t="s">
        <v>131</v>
      </c>
      <c r="D983" s="74" t="str">
        <f t="shared" si="283"/>
        <v>seg</v>
      </c>
      <c r="E983" s="169">
        <f>IF(K983&lt;&gt;"",VLOOKUP(K983,'Catálogo SAP'!$A$1:$F$245,2,FALSE),"-")</f>
        <v>530</v>
      </c>
      <c r="F983" s="16">
        <v>10719</v>
      </c>
      <c r="G983" s="16">
        <v>10719</v>
      </c>
      <c r="H983" s="22"/>
      <c r="I983" s="133">
        <v>195</v>
      </c>
      <c r="J983" s="162" t="str">
        <f t="shared" si="284"/>
        <v>PORTO FRANCO</v>
      </c>
      <c r="K983" s="16">
        <v>530</v>
      </c>
      <c r="L983" s="167" t="str">
        <f>IF(K983&lt;&gt;"",VLOOKUP(K983,'Catálogo SAP'!A:F,3,FALSE),"")</f>
        <v>S.VP-01470</v>
      </c>
      <c r="M983" s="162" t="str">
        <f>IF(K983&lt;&gt;"",VLOOKUP(K983,'Catálogo SAP'!A:F,4,FALSE),"")</f>
        <v>Hora Improdutiva Escavadeira Hidraulica</v>
      </c>
      <c r="N983" s="168" t="str">
        <f>IF(K983&lt;&gt;"",VLOOKUP(K983,'Catálogo SAP'!A:F,5,FALSE),"")</f>
        <v>H</v>
      </c>
      <c r="O983" s="160">
        <v>1</v>
      </c>
      <c r="P983" s="70">
        <f t="shared" si="286"/>
        <v>0</v>
      </c>
      <c r="Q983" s="163" t="e">
        <f t="shared" si="285"/>
        <v>#VALUE!</v>
      </c>
      <c r="R983" s="44" t="str">
        <f>IF(J983&lt;&gt;"",VLOOKUP(J983,'RESUMO DR'!$B$4:$E$253,4,FALSE),"-")</f>
        <v>T-01</v>
      </c>
      <c r="S983" s="58" t="str">
        <f>IF(J983&lt;&gt;"",VLOOKUP(J983,'RESUMO DR'!$B$4:$E$253,3,FALSE),"-")</f>
        <v>IMPERATRIZ</v>
      </c>
    </row>
    <row r="984" spans="1:19" ht="13.8">
      <c r="A984" s="233">
        <v>2685</v>
      </c>
      <c r="B984" s="21">
        <v>45677</v>
      </c>
      <c r="C984" s="21" t="s">
        <v>311</v>
      </c>
      <c r="D984" s="74" t="str">
        <f t="shared" si="283"/>
        <v>seg</v>
      </c>
      <c r="E984" s="169">
        <f>IF(K984&lt;&gt;"",VLOOKUP(K984,'Catálogo SAP'!$A$1:$F$245,2,FALSE),"-")</f>
        <v>120</v>
      </c>
      <c r="F984" s="16">
        <v>1238</v>
      </c>
      <c r="G984" s="16">
        <v>1247</v>
      </c>
      <c r="H984" s="22"/>
      <c r="I984" s="133">
        <v>20</v>
      </c>
      <c r="J984" s="162" t="str">
        <f t="shared" si="284"/>
        <v>S.F. BREJÃO</v>
      </c>
      <c r="K984" s="16">
        <v>120</v>
      </c>
      <c r="L984" s="167" t="str">
        <f>IF(K984&lt;&gt;"",VLOOKUP(K984,'Catálogo SAP'!A:F,3,FALSE),"")</f>
        <v>S.VP-01437</v>
      </c>
      <c r="M984" s="162" t="str">
        <f>IF(K984&lt;&gt;"",VLOOKUP(K984,'Catálogo SAP'!A:F,4,FALSE),"")</f>
        <v>Hr Produtiva Retroescavadeira C/Operador</v>
      </c>
      <c r="N984" s="168" t="str">
        <f>IF(K984&lt;&gt;"",VLOOKUP(K984,'Catálogo SAP'!A:F,5,FALSE),"")</f>
        <v>H</v>
      </c>
      <c r="O984" s="160">
        <v>9</v>
      </c>
      <c r="P984" s="70">
        <f t="shared" si="286"/>
        <v>9</v>
      </c>
      <c r="Q984" s="163" t="e">
        <f t="shared" si="285"/>
        <v>#VALUE!</v>
      </c>
      <c r="R984" s="44" t="str">
        <f>IF(J984&lt;&gt;"",VLOOKUP(J984,'RESUMO DR'!$B$4:$E$253,4,FALSE),"-")</f>
        <v>T-01</v>
      </c>
      <c r="S984" s="58" t="str">
        <f>IF(J984&lt;&gt;"",VLOOKUP(J984,'RESUMO DR'!$B$4:$E$253,3,FALSE),"-")</f>
        <v>IMPERATRIZ</v>
      </c>
    </row>
    <row r="985" spans="1:19" ht="13.8">
      <c r="A985" s="233"/>
      <c r="B985" s="21">
        <v>45677</v>
      </c>
      <c r="C985" s="21" t="s">
        <v>311</v>
      </c>
      <c r="D985" s="74" t="str">
        <f t="shared" si="283"/>
        <v>seg</v>
      </c>
      <c r="E985" s="169" t="str">
        <f>IF(K985&lt;&gt;"",VLOOKUP(K985,'Catálogo SAP'!$A$1:$F$245,2,FALSE),"-")</f>
        <v>-</v>
      </c>
      <c r="F985" s="16"/>
      <c r="G985" s="16"/>
      <c r="H985" s="22"/>
      <c r="I985" s="133"/>
      <c r="J985" s="162" t="str">
        <f t="shared" si="284"/>
        <v/>
      </c>
      <c r="K985" s="16"/>
      <c r="L985" s="167" t="str">
        <f>IF(K985&lt;&gt;"",VLOOKUP(K985,'Catálogo SAP'!A:F,3,FALSE),"")</f>
        <v/>
      </c>
      <c r="M985" s="162" t="str">
        <f>IF(K985&lt;&gt;"",VLOOKUP(K985,'Catálogo SAP'!A:F,4,FALSE),"")</f>
        <v/>
      </c>
      <c r="N985" s="168" t="str">
        <f>IF(K985&lt;&gt;"",VLOOKUP(K985,'Catálogo SAP'!A:F,5,FALSE),"")</f>
        <v/>
      </c>
      <c r="O985" s="160"/>
      <c r="P985" s="70" t="str">
        <f t="shared" si="286"/>
        <v>-</v>
      </c>
      <c r="Q985" s="163" t="str">
        <f t="shared" si="285"/>
        <v>-</v>
      </c>
      <c r="R985" s="44" t="str">
        <f>IF(J985&lt;&gt;"",VLOOKUP(J985,'RESUMO DR'!$B$4:$E$253,4,FALSE),"-")</f>
        <v>-</v>
      </c>
      <c r="S985" s="58" t="str">
        <f>IF(J985&lt;&gt;"",VLOOKUP(J985,'RESUMO DR'!$B$4:$E$253,3,FALSE),"-")</f>
        <v>-</v>
      </c>
    </row>
    <row r="986" spans="1:19" ht="13.8">
      <c r="A986" s="233">
        <v>2685</v>
      </c>
      <c r="B986" s="21">
        <v>45677</v>
      </c>
      <c r="C986" s="21" t="s">
        <v>305</v>
      </c>
      <c r="D986" s="74" t="str">
        <f t="shared" si="283"/>
        <v>seg</v>
      </c>
      <c r="E986" s="169">
        <f>IF(K986&lt;&gt;"",VLOOKUP(K986,'Catálogo SAP'!$A$1:$F$245,2,FALSE),"-")</f>
        <v>280</v>
      </c>
      <c r="F986" s="16">
        <v>277</v>
      </c>
      <c r="G986" s="16">
        <v>282</v>
      </c>
      <c r="H986" s="22"/>
      <c r="I986" s="133">
        <v>20</v>
      </c>
      <c r="J986" s="162" t="str">
        <f t="shared" si="284"/>
        <v>S.F. BREJÃO</v>
      </c>
      <c r="K986" s="16">
        <v>280</v>
      </c>
      <c r="L986" s="167" t="str">
        <f>IF(K986&lt;&gt;"",VLOOKUP(K986,'Catálogo SAP'!A:F,3,FALSE),"")</f>
        <v>S.VP-01453</v>
      </c>
      <c r="M986" s="162" t="str">
        <f>IF(K986&lt;&gt;"",VLOOKUP(K986,'Catálogo SAP'!A:F,4,FALSE),"")</f>
        <v>Hora Produtiva Motoniveladora C/Operador</v>
      </c>
      <c r="N986" s="168" t="str">
        <f>IF(K986&lt;&gt;"",VLOOKUP(K986,'Catálogo SAP'!A:F,5,FALSE),"")</f>
        <v>H</v>
      </c>
      <c r="O986" s="160">
        <v>5</v>
      </c>
      <c r="P986" s="70">
        <f t="shared" si="286"/>
        <v>5</v>
      </c>
      <c r="Q986" s="163" t="e">
        <f t="shared" si="285"/>
        <v>#VALUE!</v>
      </c>
      <c r="R986" s="44" t="str">
        <f>IF(J986&lt;&gt;"",VLOOKUP(J986,'RESUMO DR'!$B$4:$E$253,4,FALSE),"-")</f>
        <v>T-01</v>
      </c>
      <c r="S986" s="58" t="str">
        <f>IF(J986&lt;&gt;"",VLOOKUP(J986,'RESUMO DR'!$B$4:$E$253,3,FALSE),"-")</f>
        <v>IMPERATRIZ</v>
      </c>
    </row>
    <row r="987" spans="1:19" ht="13.8">
      <c r="A987" s="233">
        <v>2685</v>
      </c>
      <c r="B987" s="21">
        <v>45677</v>
      </c>
      <c r="C987" s="21" t="s">
        <v>305</v>
      </c>
      <c r="D987" s="74" t="str">
        <f t="shared" si="283"/>
        <v>seg</v>
      </c>
      <c r="E987" s="169">
        <f>IF(K987&lt;&gt;"",VLOOKUP(K987,'Catálogo SAP'!$A$1:$F$245,2,FALSE),"-")</f>
        <v>290</v>
      </c>
      <c r="F987" s="16">
        <v>282</v>
      </c>
      <c r="G987" s="16">
        <v>282</v>
      </c>
      <c r="H987" s="22"/>
      <c r="I987" s="133">
        <v>20</v>
      </c>
      <c r="J987" s="162" t="str">
        <f t="shared" si="284"/>
        <v>S.F. BREJÃO</v>
      </c>
      <c r="K987" s="16">
        <v>290</v>
      </c>
      <c r="L987" s="167" t="str">
        <f>IF(K987&lt;&gt;"",VLOOKUP(K987,'Catálogo SAP'!A:F,3,FALSE),"")</f>
        <v>S.VP-01454</v>
      </c>
      <c r="M987" s="162" t="str">
        <f>IF(K987&lt;&gt;"",VLOOKUP(K987,'Catálogo SAP'!A:F,4,FALSE),"")</f>
        <v>Hora Improdutiva Motoniveladora C/Operador</v>
      </c>
      <c r="N987" s="168" t="str">
        <f>IF(K987&lt;&gt;"",VLOOKUP(K987,'Catálogo SAP'!A:F,5,FALSE),"")</f>
        <v>H</v>
      </c>
      <c r="O987" s="160">
        <v>4</v>
      </c>
      <c r="P987" s="70">
        <f t="shared" si="286"/>
        <v>0</v>
      </c>
      <c r="Q987" s="163" t="e">
        <f t="shared" si="285"/>
        <v>#VALUE!</v>
      </c>
      <c r="R987" s="44" t="str">
        <f>IF(J987&lt;&gt;"",VLOOKUP(J987,'RESUMO DR'!$B$4:$E$253,4,FALSE),"-")</f>
        <v>T-01</v>
      </c>
      <c r="S987" s="58" t="str">
        <f>IF(J987&lt;&gt;"",VLOOKUP(J987,'RESUMO DR'!$B$4:$E$253,3,FALSE),"-")</f>
        <v>IMPERATRIZ</v>
      </c>
    </row>
    <row r="988" spans="1:19" ht="13.8">
      <c r="A988" s="233">
        <v>2689</v>
      </c>
      <c r="B988" s="21">
        <v>45677</v>
      </c>
      <c r="C988" s="21" t="s">
        <v>300</v>
      </c>
      <c r="D988" s="74" t="str">
        <f t="shared" si="283"/>
        <v>seg</v>
      </c>
      <c r="E988" s="169">
        <f>IF(K988&lt;&gt;"",VLOOKUP(K988,'Catálogo SAP'!$A$1:$F$245,2,FALSE),"-")</f>
        <v>160</v>
      </c>
      <c r="F988" s="16">
        <v>167</v>
      </c>
      <c r="G988" s="16">
        <v>170</v>
      </c>
      <c r="H988" s="22"/>
      <c r="I988" s="133">
        <v>563</v>
      </c>
      <c r="J988" s="162" t="str">
        <f t="shared" si="284"/>
        <v>Tupirama</v>
      </c>
      <c r="K988" s="16">
        <v>160</v>
      </c>
      <c r="L988" s="167" t="str">
        <f>IF(K988&lt;&gt;"",VLOOKUP(K988,'Catálogo SAP'!A:F,3,FALSE),"")</f>
        <v>S.VP-01441</v>
      </c>
      <c r="M988" s="162" t="str">
        <f>IF(K988&lt;&gt;"",VLOOKUP(K988,'Catálogo SAP'!A:F,4,FALSE),"")</f>
        <v>Hora Produtiva Pa Carregadeira C/Operador</v>
      </c>
      <c r="N988" s="168" t="str">
        <f>IF(K988&lt;&gt;"",VLOOKUP(K988,'Catálogo SAP'!A:F,5,FALSE),"")</f>
        <v>H</v>
      </c>
      <c r="O988" s="160">
        <v>3</v>
      </c>
      <c r="P988" s="70">
        <f t="shared" si="286"/>
        <v>3</v>
      </c>
      <c r="Q988" s="163" t="e">
        <f t="shared" si="285"/>
        <v>#VALUE!</v>
      </c>
      <c r="R988" s="44" t="str">
        <f>IF(J988&lt;&gt;"",VLOOKUP(J988,'RESUMO DR'!$B$4:$E$253,4,FALSE),"-")</f>
        <v>T-03</v>
      </c>
      <c r="S988" s="58" t="str">
        <f>IF(J988&lt;&gt;"",VLOOKUP(J988,'RESUMO DR'!$B$4:$E$253,3,FALSE),"-")</f>
        <v>PALMAS</v>
      </c>
    </row>
    <row r="989" spans="1:19" ht="13.8">
      <c r="A989" s="233">
        <v>2689</v>
      </c>
      <c r="B989" s="21">
        <v>45677</v>
      </c>
      <c r="C989" s="21" t="s">
        <v>300</v>
      </c>
      <c r="D989" s="74" t="str">
        <f t="shared" si="283"/>
        <v>seg</v>
      </c>
      <c r="E989" s="169">
        <f>IF(K989&lt;&gt;"",VLOOKUP(K989,'Catálogo SAP'!$A$1:$F$245,2,FALSE),"-")</f>
        <v>170</v>
      </c>
      <c r="F989" s="16">
        <v>170</v>
      </c>
      <c r="G989" s="16">
        <v>170</v>
      </c>
      <c r="H989" s="22"/>
      <c r="I989" s="133">
        <v>563</v>
      </c>
      <c r="J989" s="162" t="str">
        <f t="shared" si="284"/>
        <v>Tupirama</v>
      </c>
      <c r="K989" s="16">
        <v>170</v>
      </c>
      <c r="L989" s="167" t="str">
        <f>IF(K989&lt;&gt;"",VLOOKUP(K989,'Catálogo SAP'!A:F,3,FALSE),"")</f>
        <v>S.VP-01442</v>
      </c>
      <c r="M989" s="162" t="str">
        <f>IF(K989&lt;&gt;"",VLOOKUP(K989,'Catálogo SAP'!A:F,4,FALSE),"")</f>
        <v>Hora Improdutiva Pa Carregadeira C/Operador</v>
      </c>
      <c r="N989" s="168" t="str">
        <f>IF(K989&lt;&gt;"",VLOOKUP(K989,'Catálogo SAP'!A:F,5,FALSE),"")</f>
        <v>H</v>
      </c>
      <c r="O989" s="160">
        <v>6</v>
      </c>
      <c r="P989" s="70">
        <f t="shared" si="286"/>
        <v>0</v>
      </c>
      <c r="Q989" s="163" t="e">
        <f t="shared" si="285"/>
        <v>#VALUE!</v>
      </c>
      <c r="R989" s="44" t="str">
        <f>IF(J989&lt;&gt;"",VLOOKUP(J989,'RESUMO DR'!$B$4:$E$253,4,FALSE),"-")</f>
        <v>T-03</v>
      </c>
      <c r="S989" s="58" t="str">
        <f>IF(J989&lt;&gt;"",VLOOKUP(J989,'RESUMO DR'!$B$4:$E$253,3,FALSE),"-")</f>
        <v>PALMAS</v>
      </c>
    </row>
    <row r="990" spans="1:19" ht="13.8">
      <c r="A990" s="233"/>
      <c r="B990" s="21">
        <v>45677</v>
      </c>
      <c r="C990" s="21" t="s">
        <v>134</v>
      </c>
      <c r="D990" s="74" t="str">
        <f t="shared" si="283"/>
        <v>seg</v>
      </c>
      <c r="E990" s="169" t="str">
        <f>IF(K990&lt;&gt;"",VLOOKUP(K990,'Catálogo SAP'!$A$1:$F$245,2,FALSE),"-")</f>
        <v>-</v>
      </c>
      <c r="F990" s="16"/>
      <c r="G990" s="16"/>
      <c r="H990" s="22"/>
      <c r="I990" s="133"/>
      <c r="J990" s="162" t="str">
        <f t="shared" si="284"/>
        <v/>
      </c>
      <c r="K990" s="16"/>
      <c r="L990" s="167" t="str">
        <f>IF(K990&lt;&gt;"",VLOOKUP(K990,'Catálogo SAP'!A:F,3,FALSE),"")</f>
        <v/>
      </c>
      <c r="M990" s="162" t="str">
        <f>IF(K990&lt;&gt;"",VLOOKUP(K990,'Catálogo SAP'!A:F,4,FALSE),"")</f>
        <v/>
      </c>
      <c r="N990" s="168" t="str">
        <f>IF(K990&lt;&gt;"",VLOOKUP(K990,'Catálogo SAP'!A:F,5,FALSE),"")</f>
        <v/>
      </c>
      <c r="O990" s="160"/>
      <c r="P990" s="70" t="str">
        <f t="shared" si="286"/>
        <v>-</v>
      </c>
      <c r="Q990" s="163" t="str">
        <f t="shared" si="285"/>
        <v>-</v>
      </c>
      <c r="R990" s="44" t="str">
        <f>IF(J990&lt;&gt;"",VLOOKUP(J990,'RESUMO DR'!$B$4:$E$253,4,FALSE),"-")</f>
        <v>-</v>
      </c>
      <c r="S990" s="58" t="str">
        <f>IF(J990&lt;&gt;"",VLOOKUP(J990,'RESUMO DR'!$B$4:$E$253,3,FALSE),"-")</f>
        <v>-</v>
      </c>
    </row>
    <row r="991" spans="1:19" ht="13.8">
      <c r="A991" s="233"/>
      <c r="B991" s="21">
        <v>45677</v>
      </c>
      <c r="C991" s="21" t="s">
        <v>134</v>
      </c>
      <c r="D991" s="74" t="str">
        <f t="shared" si="283"/>
        <v>seg</v>
      </c>
      <c r="E991" s="169" t="str">
        <f>IF(K991&lt;&gt;"",VLOOKUP(K991,'Catálogo SAP'!$A$1:$F$245,2,FALSE),"-")</f>
        <v>-</v>
      </c>
      <c r="F991" s="16"/>
      <c r="G991" s="16"/>
      <c r="H991" s="22"/>
      <c r="I991" s="133"/>
      <c r="J991" s="162" t="str">
        <f t="shared" si="284"/>
        <v/>
      </c>
      <c r="K991" s="16"/>
      <c r="L991" s="167" t="str">
        <f>IF(K991&lt;&gt;"",VLOOKUP(K991,'Catálogo SAP'!A:F,3,FALSE),"")</f>
        <v/>
      </c>
      <c r="M991" s="162" t="str">
        <f>IF(K991&lt;&gt;"",VLOOKUP(K991,'Catálogo SAP'!A:F,4,FALSE),"")</f>
        <v/>
      </c>
      <c r="N991" s="168" t="str">
        <f>IF(K991&lt;&gt;"",VLOOKUP(K991,'Catálogo SAP'!A:F,5,FALSE),"")</f>
        <v/>
      </c>
      <c r="O991" s="160"/>
      <c r="P991" s="70" t="str">
        <f t="shared" si="286"/>
        <v>-</v>
      </c>
      <c r="Q991" s="163" t="str">
        <f t="shared" si="285"/>
        <v>-</v>
      </c>
      <c r="R991" s="44" t="str">
        <f>IF(J991&lt;&gt;"",VLOOKUP(J991,'RESUMO DR'!$B$4:$E$253,4,FALSE),"-")</f>
        <v>-</v>
      </c>
      <c r="S991" s="58" t="str">
        <f>IF(J991&lt;&gt;"",VLOOKUP(J991,'RESUMO DR'!$B$4:$E$253,3,FALSE),"-")</f>
        <v>-</v>
      </c>
    </row>
    <row r="992" spans="1:19" ht="13.8">
      <c r="A992" s="233">
        <v>2683</v>
      </c>
      <c r="B992" s="21">
        <v>45677</v>
      </c>
      <c r="C992" s="21" t="s">
        <v>315</v>
      </c>
      <c r="D992" s="74" t="str">
        <f t="shared" si="283"/>
        <v>seg</v>
      </c>
      <c r="E992" s="169">
        <f>IF(K992&lt;&gt;"",VLOOKUP(K992,'Catálogo SAP'!$A$1:$F$245,2,FALSE),"-")</f>
        <v>160</v>
      </c>
      <c r="F992" s="16">
        <v>1452</v>
      </c>
      <c r="G992" s="16">
        <v>1461</v>
      </c>
      <c r="H992" s="22"/>
      <c r="I992" s="133">
        <v>142</v>
      </c>
      <c r="J992" s="162" t="str">
        <f t="shared" si="284"/>
        <v>RIBAMAR FIQUENE</v>
      </c>
      <c r="K992" s="16">
        <v>160</v>
      </c>
      <c r="L992" s="167" t="str">
        <f>IF(K992&lt;&gt;"",VLOOKUP(K992,'Catálogo SAP'!A:F,3,FALSE),"")</f>
        <v>S.VP-01441</v>
      </c>
      <c r="M992" s="162" t="str">
        <f>IF(K992&lt;&gt;"",VLOOKUP(K992,'Catálogo SAP'!A:F,4,FALSE),"")</f>
        <v>Hora Produtiva Pa Carregadeira C/Operador</v>
      </c>
      <c r="N992" s="168" t="str">
        <f>IF(K992&lt;&gt;"",VLOOKUP(K992,'Catálogo SAP'!A:F,5,FALSE),"")</f>
        <v>H</v>
      </c>
      <c r="O992" s="160">
        <v>9</v>
      </c>
      <c r="P992" s="70">
        <f t="shared" si="286"/>
        <v>9</v>
      </c>
      <c r="Q992" s="163" t="e">
        <f t="shared" si="285"/>
        <v>#VALUE!</v>
      </c>
      <c r="R992" s="44" t="str">
        <f>IF(J992&lt;&gt;"",VLOOKUP(J992,'RESUMO DR'!$B$4:$E$253,4,FALSE),"-")</f>
        <v>T-01</v>
      </c>
      <c r="S992" s="58" t="str">
        <f>IF(J992&lt;&gt;"",VLOOKUP(J992,'RESUMO DR'!$B$4:$E$253,3,FALSE),"-")</f>
        <v>IMPERATRIZ</v>
      </c>
    </row>
    <row r="993" spans="1:19" ht="13.8">
      <c r="A993" s="233">
        <v>2687</v>
      </c>
      <c r="B993" s="21">
        <v>45677</v>
      </c>
      <c r="C993" s="21" t="s">
        <v>306</v>
      </c>
      <c r="D993" s="74" t="str">
        <f t="shared" ref="D993:D994" si="287">IF(B993="","-",TEXT(B993,"ddd"))</f>
        <v>seg</v>
      </c>
      <c r="E993" s="169">
        <f>IF(K993&lt;&gt;"",VLOOKUP(K993,'Catálogo SAP'!$A$1:$F$245,2,FALSE),"-")</f>
        <v>280</v>
      </c>
      <c r="F993" s="16">
        <v>355</v>
      </c>
      <c r="G993" s="16">
        <v>364</v>
      </c>
      <c r="H993" s="22"/>
      <c r="I993" s="133">
        <v>438</v>
      </c>
      <c r="J993" s="162" t="str">
        <f t="shared" si="284"/>
        <v>Palmeirante</v>
      </c>
      <c r="K993" s="16">
        <v>280</v>
      </c>
      <c r="L993" s="167" t="str">
        <f>IF(K993&lt;&gt;"",VLOOKUP(K993,'Catálogo SAP'!A:F,3,FALSE),"")</f>
        <v>S.VP-01453</v>
      </c>
      <c r="M993" s="162" t="str">
        <f>IF(K993&lt;&gt;"",VLOOKUP(K993,'Catálogo SAP'!A:F,4,FALSE),"")</f>
        <v>Hora Produtiva Motoniveladora C/Operador</v>
      </c>
      <c r="N993" s="168" t="str">
        <f>IF(K993&lt;&gt;"",VLOOKUP(K993,'Catálogo SAP'!A:F,5,FALSE),"")</f>
        <v>H</v>
      </c>
      <c r="O993" s="160">
        <v>9</v>
      </c>
      <c r="P993" s="70">
        <f t="shared" si="286"/>
        <v>9</v>
      </c>
      <c r="Q993" s="163" t="e">
        <f t="shared" si="285"/>
        <v>#VALUE!</v>
      </c>
      <c r="R993" s="44" t="str">
        <f>IF(J993&lt;&gt;"",VLOOKUP(J993,'RESUMO DR'!$B$4:$E$253,4,FALSE),"-")</f>
        <v>T-02</v>
      </c>
      <c r="S993" s="58" t="str">
        <f>IF(J993&lt;&gt;"",VLOOKUP(J993,'RESUMO DR'!$B$4:$E$253,3,FALSE),"-")</f>
        <v>ARAGUAINA</v>
      </c>
    </row>
    <row r="994" spans="1:19" ht="13.8">
      <c r="A994" s="233"/>
      <c r="B994" s="21">
        <v>45677</v>
      </c>
      <c r="C994" s="21" t="s">
        <v>306</v>
      </c>
      <c r="D994" s="74" t="str">
        <f t="shared" si="287"/>
        <v>seg</v>
      </c>
      <c r="E994" s="169" t="str">
        <f>IF(K994&lt;&gt;"",VLOOKUP(K994,'Catálogo SAP'!$A$1:$F$245,2,FALSE),"-")</f>
        <v>-</v>
      </c>
      <c r="F994" s="16"/>
      <c r="G994" s="16"/>
      <c r="H994" s="22"/>
      <c r="I994" s="133"/>
      <c r="J994" s="162" t="str">
        <f t="shared" si="284"/>
        <v/>
      </c>
      <c r="K994" s="16"/>
      <c r="L994" s="167" t="str">
        <f>IF(K994&lt;&gt;"",VLOOKUP(K994,'Catálogo SAP'!A:F,3,FALSE),"")</f>
        <v/>
      </c>
      <c r="M994" s="162" t="str">
        <f>IF(K994&lt;&gt;"",VLOOKUP(K994,'Catálogo SAP'!A:F,4,FALSE),"")</f>
        <v/>
      </c>
      <c r="N994" s="168" t="str">
        <f>IF(K994&lt;&gt;"",VLOOKUP(K994,'Catálogo SAP'!A:F,5,FALSE),"")</f>
        <v/>
      </c>
      <c r="O994" s="160"/>
      <c r="P994" s="70" t="str">
        <f t="shared" si="286"/>
        <v>-</v>
      </c>
      <c r="Q994" s="163" t="str">
        <f t="shared" si="285"/>
        <v>-</v>
      </c>
      <c r="R994" s="44" t="str">
        <f>IF(J994&lt;&gt;"",VLOOKUP(J994,'RESUMO DR'!$B$4:$E$253,4,FALSE),"-")</f>
        <v>-</v>
      </c>
      <c r="S994" s="58" t="str">
        <f>IF(J994&lt;&gt;"",VLOOKUP(J994,'RESUMO DR'!$B$4:$E$253,3,FALSE),"-")</f>
        <v>-</v>
      </c>
    </row>
    <row r="995" spans="1:19" ht="13.8">
      <c r="A995" s="233">
        <v>2688</v>
      </c>
      <c r="B995" s="21">
        <v>45677</v>
      </c>
      <c r="C995" s="21" t="s">
        <v>310</v>
      </c>
      <c r="D995" s="74" t="str">
        <f t="shared" ref="D995:D1004" si="288">IF(B995="","-",TEXT(B995,"ddd"))</f>
        <v>seg</v>
      </c>
      <c r="E995" s="169">
        <f>IF(K995&lt;&gt;"",VLOOKUP(K995,'Catálogo SAP'!$A$1:$F$245,2,FALSE),"-")</f>
        <v>120</v>
      </c>
      <c r="F995" s="16">
        <v>196</v>
      </c>
      <c r="G995" s="16">
        <v>199</v>
      </c>
      <c r="H995" s="22"/>
      <c r="I995" s="133">
        <v>475</v>
      </c>
      <c r="J995" s="162" t="str">
        <f t="shared" ref="J995:J1004" si="289">IF(AND(I995&gt;=0.001,I995&lt;=16),"AÇAILÂNDIA","")&amp;IF(AND(I995&gt;=16.001,I995&lt;=44),"S.F. BREJÃO","")&amp;IF(AND(I995&gt;=44.001,I995&lt;=78),"JOÃO LISBOA","")&amp;IF(AND(I995&gt;=78.001,I995&lt;=96.397),"IMPERATRIZ","")&amp;IF(AND(I995&gt;=96.398,I995&lt;=122.82),"EDSON LOBÃO","")&amp;IF(AND(I995&gt;=122.821,I995&lt;=152.303),"RIBAMAR FIQUENE","")&amp;IF(AND(I995&gt;=152.304,I995&lt;=172.403),"CAMPESTRE","")&amp;IF(AND(I995&gt;=172.404,I995&lt;=195),"PORTO FRANCO","")&amp;IF(AND(I995&gt;=300,I995&lt;=300),"SAO LUIS","")&amp;IF(AND(I995&gt;=385.4,I995&lt;=465.4),"Palmeirante","")&amp;IF(AND(I995&gt;=465.401,I995&lt;=520.455),"Tupiratins","")&amp;IF(AND(I995&gt;=520.456,I995&lt;=536.741),"Guaraí","")&amp;IF(AND(I995&gt;=536.742,I995&lt;=580.293),"Tupirama","")&amp;IF(AND(I995&gt;=580.294,I995&lt;=608.637),"Rio dos Bois","")&amp;IF(AND(I995&gt;=608.638,I995&lt;=698.981),"Miracema","")&amp;IF(AND(I995&gt;=698.982,I995&lt;=735.6),"Porto Nacional","")&amp;IF(AND(I995&gt;=195.1,I995&lt;=213.603),"ESTREITO","")&amp;IF(AND(I995&gt;=213.604,I995&lt;=218.976),"AGUIARNÓPOLIS","")&amp;IF(AND(I995&gt;=218.977,I995&lt;=253.5),"PALMEIRAS DO TOCANTINS","")&amp;IF(AND(I995&gt;=253.501,I995&lt;=274.15),"DARCINÓPOLIS","")&amp;IF(AND(I995&gt;=274.151,I995&lt;=299.999),"BABAÇULÂNDIA","")&amp;IF(AND(I995&gt;=356.62,I995&lt;=385.4),"ARAGUAÍNA","")&amp;IF(AND(I995&gt;=300.001,I995&lt;=356.619),"BABAÇULÂNDIA","")&amp;IF(AND(I995&gt;=900,I995&lt;=902),"ENG. VLI","")</f>
        <v>Tupiratins</v>
      </c>
      <c r="K995" s="16">
        <v>120</v>
      </c>
      <c r="L995" s="167" t="str">
        <f>IF(K995&lt;&gt;"",VLOOKUP(K995,'Catálogo SAP'!A:F,3,FALSE),"")</f>
        <v>S.VP-01437</v>
      </c>
      <c r="M995" s="162" t="str">
        <f>IF(K995&lt;&gt;"",VLOOKUP(K995,'Catálogo SAP'!A:F,4,FALSE),"")</f>
        <v>Hr Produtiva Retroescavadeira C/Operador</v>
      </c>
      <c r="N995" s="168" t="str">
        <f>IF(K995&lt;&gt;"",VLOOKUP(K995,'Catálogo SAP'!A:F,5,FALSE),"")</f>
        <v>H</v>
      </c>
      <c r="O995" s="160">
        <v>3</v>
      </c>
      <c r="P995" s="70">
        <f t="shared" si="286"/>
        <v>3</v>
      </c>
      <c r="Q995" s="163" t="e">
        <f t="shared" ref="Q995:Q1004" si="290">IF(K995="","-",N995*O995)</f>
        <v>#VALUE!</v>
      </c>
      <c r="R995" s="44" t="str">
        <f>IF(J995&lt;&gt;"",VLOOKUP(J995,'RESUMO DR'!$B$4:$E$253,4,FALSE),"-")</f>
        <v>T-03</v>
      </c>
      <c r="S995" s="58" t="str">
        <f>IF(J995&lt;&gt;"",VLOOKUP(J995,'RESUMO DR'!$B$4:$E$253,3,FALSE),"-")</f>
        <v>PALMAS</v>
      </c>
    </row>
    <row r="996" spans="1:19" ht="13.8">
      <c r="A996" s="233">
        <v>2688</v>
      </c>
      <c r="B996" s="21">
        <v>45677</v>
      </c>
      <c r="C996" s="21" t="s">
        <v>310</v>
      </c>
      <c r="D996" s="74" t="str">
        <f t="shared" si="288"/>
        <v>seg</v>
      </c>
      <c r="E996" s="169">
        <f>IF(K996&lt;&gt;"",VLOOKUP(K996,'Catálogo SAP'!$A$1:$F$245,2,FALSE),"-")</f>
        <v>130</v>
      </c>
      <c r="F996" s="16">
        <v>199</v>
      </c>
      <c r="G996" s="16">
        <v>199</v>
      </c>
      <c r="H996" s="22"/>
      <c r="I996" s="133">
        <v>475</v>
      </c>
      <c r="J996" s="162" t="str">
        <f t="shared" si="289"/>
        <v>Tupiratins</v>
      </c>
      <c r="K996" s="16">
        <v>130</v>
      </c>
      <c r="L996" s="167" t="str">
        <f>IF(K996&lt;&gt;"",VLOOKUP(K996,'Catálogo SAP'!A:F,3,FALSE),"")</f>
        <v>S.VP-01438</v>
      </c>
      <c r="M996" s="162" t="str">
        <f>IF(K996&lt;&gt;"",VLOOKUP(K996,'Catálogo SAP'!A:F,4,FALSE),"")</f>
        <v>Hr Improdutiva Retroescavadeira C/Operador</v>
      </c>
      <c r="N996" s="168" t="str">
        <f>IF(K996&lt;&gt;"",VLOOKUP(K996,'Catálogo SAP'!A:F,5,FALSE),"")</f>
        <v>H</v>
      </c>
      <c r="O996" s="160">
        <v>6</v>
      </c>
      <c r="P996" s="70">
        <f t="shared" si="286"/>
        <v>0</v>
      </c>
      <c r="Q996" s="163" t="e">
        <f t="shared" si="290"/>
        <v>#VALUE!</v>
      </c>
      <c r="R996" s="44" t="str">
        <f>IF(J996&lt;&gt;"",VLOOKUP(J996,'RESUMO DR'!$B$4:$E$253,4,FALSE),"-")</f>
        <v>T-03</v>
      </c>
      <c r="S996" s="58" t="str">
        <f>IF(J996&lt;&gt;"",VLOOKUP(J996,'RESUMO DR'!$B$4:$E$253,3,FALSE),"-")</f>
        <v>PALMAS</v>
      </c>
    </row>
    <row r="997" spans="1:19" ht="13.8">
      <c r="A997" s="233"/>
      <c r="B997" s="21">
        <v>45677</v>
      </c>
      <c r="C997" s="21" t="s">
        <v>123</v>
      </c>
      <c r="D997" s="74" t="str">
        <f t="shared" si="288"/>
        <v>seg</v>
      </c>
      <c r="E997" s="169" t="str">
        <f>IF(K997&lt;&gt;"",VLOOKUP(K997,'Catálogo SAP'!$A$1:$F$245,2,FALSE),"-")</f>
        <v>-</v>
      </c>
      <c r="F997" s="16"/>
      <c r="G997" s="16"/>
      <c r="H997" s="22"/>
      <c r="I997" s="133"/>
      <c r="J997" s="162" t="str">
        <f t="shared" si="289"/>
        <v/>
      </c>
      <c r="K997" s="16"/>
      <c r="L997" s="167" t="str">
        <f>IF(K997&lt;&gt;"",VLOOKUP(K997,'Catálogo SAP'!A:F,3,FALSE),"")</f>
        <v/>
      </c>
      <c r="M997" s="162" t="str">
        <f>IF(K997&lt;&gt;"",VLOOKUP(K997,'Catálogo SAP'!A:F,4,FALSE),"")</f>
        <v/>
      </c>
      <c r="N997" s="168" t="str">
        <f>IF(K997&lt;&gt;"",VLOOKUP(K997,'Catálogo SAP'!A:F,5,FALSE),"")</f>
        <v/>
      </c>
      <c r="O997" s="160"/>
      <c r="P997" s="70" t="str">
        <f t="shared" si="286"/>
        <v>-</v>
      </c>
      <c r="Q997" s="163" t="str">
        <f t="shared" si="290"/>
        <v>-</v>
      </c>
      <c r="R997" s="44" t="str">
        <f>IF(J997&lt;&gt;"",VLOOKUP(J997,'RESUMO DR'!$B$4:$E$253,4,FALSE),"-")</f>
        <v>-</v>
      </c>
      <c r="S997" s="58" t="str">
        <f>IF(J997&lt;&gt;"",VLOOKUP(J997,'RESUMO DR'!$B$4:$E$253,3,FALSE),"-")</f>
        <v>-</v>
      </c>
    </row>
    <row r="998" spans="1:19" ht="13.8">
      <c r="A998" s="233">
        <v>2683</v>
      </c>
      <c r="B998" s="21">
        <v>45677</v>
      </c>
      <c r="C998" s="21" t="s">
        <v>314</v>
      </c>
      <c r="D998" s="74" t="str">
        <f t="shared" si="288"/>
        <v>seg</v>
      </c>
      <c r="E998" s="169">
        <f>IF(K998&lt;&gt;"",VLOOKUP(K998,'Catálogo SAP'!$A$1:$F$245,2,FALSE),"-")</f>
        <v>200</v>
      </c>
      <c r="F998" s="16">
        <v>69541</v>
      </c>
      <c r="G998" s="16">
        <v>69796</v>
      </c>
      <c r="H998" s="22"/>
      <c r="I998" s="133">
        <v>146</v>
      </c>
      <c r="J998" s="162" t="str">
        <f t="shared" si="289"/>
        <v>RIBAMAR FIQUENE</v>
      </c>
      <c r="K998" s="16">
        <v>200</v>
      </c>
      <c r="L998" s="167" t="str">
        <f>IF(K998&lt;&gt;"",VLOOKUP(K998,'Catálogo SAP'!A:F,3,FALSE),"")</f>
        <v>S.VP-01445</v>
      </c>
      <c r="M998" s="162" t="str">
        <f>IF(K998&lt;&gt;"",VLOOKUP(K998,'Catálogo SAP'!A:F,4,FALSE),"")</f>
        <v>Km Rodado Caminhão Basculante - C/Motorista</v>
      </c>
      <c r="N998" s="168" t="str">
        <f>IF(K998&lt;&gt;"",VLOOKUP(K998,'Catálogo SAP'!A:F,5,FALSE),"")</f>
        <v>KM</v>
      </c>
      <c r="O998" s="160">
        <v>255</v>
      </c>
      <c r="P998" s="70">
        <f t="shared" si="286"/>
        <v>255</v>
      </c>
      <c r="Q998" s="163" t="e">
        <f t="shared" si="290"/>
        <v>#VALUE!</v>
      </c>
      <c r="R998" s="44" t="str">
        <f>IF(J998&lt;&gt;"",VLOOKUP(J998,'RESUMO DR'!$B$4:$E$253,4,FALSE),"-")</f>
        <v>T-01</v>
      </c>
      <c r="S998" s="58" t="str">
        <f>IF(J998&lt;&gt;"",VLOOKUP(J998,'RESUMO DR'!$B$4:$E$253,3,FALSE),"-")</f>
        <v>IMPERATRIZ</v>
      </c>
    </row>
    <row r="999" spans="1:19" ht="13.8">
      <c r="A999" s="233"/>
      <c r="B999" s="21">
        <v>45677</v>
      </c>
      <c r="C999" s="21" t="s">
        <v>151</v>
      </c>
      <c r="D999" s="74" t="str">
        <f t="shared" si="288"/>
        <v>seg</v>
      </c>
      <c r="E999" s="169" t="str">
        <f>IF(K999&lt;&gt;"",VLOOKUP(K999,'Catálogo SAP'!$A$1:$F$245,2,FALSE),"-")</f>
        <v>-</v>
      </c>
      <c r="F999" s="16"/>
      <c r="G999" s="16"/>
      <c r="H999" s="22"/>
      <c r="I999" s="133"/>
      <c r="J999" s="162" t="str">
        <f t="shared" si="289"/>
        <v/>
      </c>
      <c r="K999" s="16"/>
      <c r="L999" s="167" t="str">
        <f>IF(K999&lt;&gt;"",VLOOKUP(K999,'Catálogo SAP'!A:F,3,FALSE),"")</f>
        <v/>
      </c>
      <c r="M999" s="162" t="str">
        <f>IF(K999&lt;&gt;"",VLOOKUP(K999,'Catálogo SAP'!A:F,4,FALSE),"")</f>
        <v/>
      </c>
      <c r="N999" s="168" t="str">
        <f>IF(K999&lt;&gt;"",VLOOKUP(K999,'Catálogo SAP'!A:F,5,FALSE),"")</f>
        <v/>
      </c>
      <c r="O999" s="160"/>
      <c r="P999" s="70" t="str">
        <f t="shared" si="286"/>
        <v>-</v>
      </c>
      <c r="Q999" s="163" t="str">
        <f t="shared" si="290"/>
        <v>-</v>
      </c>
      <c r="R999" s="44" t="str">
        <f>IF(J999&lt;&gt;"",VLOOKUP(J999,'RESUMO DR'!$B$4:$E$253,4,FALSE),"-")</f>
        <v>-</v>
      </c>
      <c r="S999" s="58" t="str">
        <f>IF(J999&lt;&gt;"",VLOOKUP(J999,'RESUMO DR'!$B$4:$E$253,3,FALSE),"-")</f>
        <v>-</v>
      </c>
    </row>
    <row r="1000" spans="1:19" ht="13.8">
      <c r="A1000" s="233"/>
      <c r="B1000" s="21">
        <v>45677</v>
      </c>
      <c r="C1000" s="21" t="s">
        <v>152</v>
      </c>
      <c r="D1000" s="74" t="str">
        <f t="shared" si="288"/>
        <v>seg</v>
      </c>
      <c r="E1000" s="169" t="str">
        <f>IF(K1000&lt;&gt;"",VLOOKUP(K1000,'Catálogo SAP'!$A$1:$F$245,2,FALSE),"-")</f>
        <v>-</v>
      </c>
      <c r="F1000" s="16"/>
      <c r="G1000" s="16"/>
      <c r="H1000" s="22"/>
      <c r="I1000" s="133"/>
      <c r="J1000" s="162" t="str">
        <f t="shared" si="289"/>
        <v/>
      </c>
      <c r="K1000" s="16"/>
      <c r="L1000" s="167" t="str">
        <f>IF(K1000&lt;&gt;"",VLOOKUP(K1000,'Catálogo SAP'!A:F,3,FALSE),"")</f>
        <v/>
      </c>
      <c r="M1000" s="162" t="str">
        <f>IF(K1000&lt;&gt;"",VLOOKUP(K1000,'Catálogo SAP'!A:F,4,FALSE),"")</f>
        <v/>
      </c>
      <c r="N1000" s="168" t="str">
        <f>IF(K1000&lt;&gt;"",VLOOKUP(K1000,'Catálogo SAP'!A:F,5,FALSE),"")</f>
        <v/>
      </c>
      <c r="O1000" s="160"/>
      <c r="P1000" s="70" t="str">
        <f t="shared" si="286"/>
        <v>-</v>
      </c>
      <c r="Q1000" s="163" t="str">
        <f t="shared" si="290"/>
        <v>-</v>
      </c>
      <c r="R1000" s="44" t="str">
        <f>IF(J1000&lt;&gt;"",VLOOKUP(J1000,'RESUMO DR'!$B$4:$E$253,4,FALSE),"-")</f>
        <v>-</v>
      </c>
      <c r="S1000" s="58" t="str">
        <f>IF(J1000&lt;&gt;"",VLOOKUP(J1000,'RESUMO DR'!$B$4:$E$253,3,FALSE),"-")</f>
        <v>-</v>
      </c>
    </row>
    <row r="1001" spans="1:19" ht="13.8">
      <c r="A1001" s="233"/>
      <c r="B1001" s="21">
        <v>45677</v>
      </c>
      <c r="C1001" s="21" t="s">
        <v>152</v>
      </c>
      <c r="D1001" s="74" t="str">
        <f t="shared" si="288"/>
        <v>seg</v>
      </c>
      <c r="E1001" s="169" t="str">
        <f>IF(K1001&lt;&gt;"",VLOOKUP(K1001,'Catálogo SAP'!$A$1:$F$245,2,FALSE),"-")</f>
        <v>-</v>
      </c>
      <c r="F1001" s="16"/>
      <c r="G1001" s="16"/>
      <c r="H1001" s="22"/>
      <c r="I1001" s="133"/>
      <c r="J1001" s="162" t="str">
        <f t="shared" si="289"/>
        <v/>
      </c>
      <c r="K1001" s="16"/>
      <c r="L1001" s="167" t="str">
        <f>IF(K1001&lt;&gt;"",VLOOKUP(K1001,'Catálogo SAP'!A:F,3,FALSE),"")</f>
        <v/>
      </c>
      <c r="M1001" s="162" t="str">
        <f>IF(K1001&lt;&gt;"",VLOOKUP(K1001,'Catálogo SAP'!A:F,4,FALSE),"")</f>
        <v/>
      </c>
      <c r="N1001" s="168" t="str">
        <f>IF(K1001&lt;&gt;"",VLOOKUP(K1001,'Catálogo SAP'!A:F,5,FALSE),"")</f>
        <v/>
      </c>
      <c r="O1001" s="160"/>
      <c r="P1001" s="70" t="str">
        <f t="shared" si="286"/>
        <v>-</v>
      </c>
      <c r="Q1001" s="163" t="str">
        <f t="shared" si="290"/>
        <v>-</v>
      </c>
      <c r="R1001" s="44" t="str">
        <f>IF(J1001&lt;&gt;"",VLOOKUP(J1001,'RESUMO DR'!$B$4:$E$253,4,FALSE),"-")</f>
        <v>-</v>
      </c>
      <c r="S1001" s="58" t="str">
        <f>IF(J1001&lt;&gt;"",VLOOKUP(J1001,'RESUMO DR'!$B$4:$E$253,3,FALSE),"-")</f>
        <v>-</v>
      </c>
    </row>
    <row r="1002" spans="1:19" ht="13.8">
      <c r="A1002" s="233">
        <v>2678</v>
      </c>
      <c r="B1002" s="21">
        <v>45677</v>
      </c>
      <c r="C1002" s="234" t="s">
        <v>321</v>
      </c>
      <c r="D1002" s="74" t="str">
        <f t="shared" si="288"/>
        <v>seg</v>
      </c>
      <c r="E1002" s="169">
        <f>IF(K1002&lt;&gt;"",VLOOKUP(K1002,'Catálogo SAP'!$A$1:$F$245,2,FALSE),"-")</f>
        <v>580</v>
      </c>
      <c r="F1002" s="16"/>
      <c r="G1002" s="16"/>
      <c r="H1002" s="22"/>
      <c r="I1002" s="133">
        <v>438</v>
      </c>
      <c r="J1002" s="162" t="str">
        <f t="shared" si="289"/>
        <v>Palmeirante</v>
      </c>
      <c r="K1002" s="16">
        <v>580</v>
      </c>
      <c r="L1002" s="167" t="str">
        <f>IF(K1002&lt;&gt;"",VLOOKUP(K1002,'Catálogo SAP'!A:F,3,FALSE),"")</f>
        <v>S.VP-01475</v>
      </c>
      <c r="M1002" s="162" t="str">
        <f>IF(K1002&lt;&gt;"",VLOOKUP(K1002,'Catálogo SAP'!A:F,4,FALSE),"")</f>
        <v>Transporte Rodoviario Carro 5 Passageiros</v>
      </c>
      <c r="N1002" s="168" t="str">
        <f>IF(K1002&lt;&gt;"",VLOOKUP(K1002,'Catálogo SAP'!A:F,5,FALSE),"")</f>
        <v>MES</v>
      </c>
      <c r="O1002" s="160">
        <v>1</v>
      </c>
      <c r="P1002" s="70" t="str">
        <f t="shared" si="286"/>
        <v>-</v>
      </c>
      <c r="Q1002" s="163" t="e">
        <f t="shared" si="290"/>
        <v>#VALUE!</v>
      </c>
      <c r="R1002" s="44" t="str">
        <f>IF(J1002&lt;&gt;"",VLOOKUP(J1002,'RESUMO DR'!$B$4:$E$253,4,FALSE),"-")</f>
        <v>T-02</v>
      </c>
      <c r="S1002" s="58" t="str">
        <f>IF(J1002&lt;&gt;"",VLOOKUP(J1002,'RESUMO DR'!$B$4:$E$253,3,FALSE),"-")</f>
        <v>ARAGUAINA</v>
      </c>
    </row>
    <row r="1003" spans="1:19" ht="13.8">
      <c r="A1003" s="233">
        <v>2679</v>
      </c>
      <c r="B1003" s="21">
        <v>45677</v>
      </c>
      <c r="C1003" s="234" t="s">
        <v>318</v>
      </c>
      <c r="D1003" s="74" t="str">
        <f t="shared" si="288"/>
        <v>seg</v>
      </c>
      <c r="E1003" s="169">
        <f>IF(K1003&lt;&gt;"",VLOOKUP(K1003,'Catálogo SAP'!$A$1:$F$245,2,FALSE),"-")</f>
        <v>580</v>
      </c>
      <c r="F1003" s="16"/>
      <c r="G1003" s="16"/>
      <c r="H1003" s="22"/>
      <c r="I1003" s="133">
        <v>475</v>
      </c>
      <c r="J1003" s="162" t="str">
        <f t="shared" si="289"/>
        <v>Tupiratins</v>
      </c>
      <c r="K1003" s="16">
        <v>580</v>
      </c>
      <c r="L1003" s="167" t="str">
        <f>IF(K1003&lt;&gt;"",VLOOKUP(K1003,'Catálogo SAP'!A:F,3,FALSE),"")</f>
        <v>S.VP-01475</v>
      </c>
      <c r="M1003" s="162" t="str">
        <f>IF(K1003&lt;&gt;"",VLOOKUP(K1003,'Catálogo SAP'!A:F,4,FALSE),"")</f>
        <v>Transporte Rodoviario Carro 5 Passageiros</v>
      </c>
      <c r="N1003" s="168" t="str">
        <f>IF(K1003&lt;&gt;"",VLOOKUP(K1003,'Catálogo SAP'!A:F,5,FALSE),"")</f>
        <v>MES</v>
      </c>
      <c r="O1003" s="160">
        <v>1</v>
      </c>
      <c r="P1003" s="70" t="str">
        <f t="shared" si="286"/>
        <v>-</v>
      </c>
      <c r="Q1003" s="163" t="e">
        <f t="shared" si="290"/>
        <v>#VALUE!</v>
      </c>
      <c r="R1003" s="44" t="str">
        <f>IF(J1003&lt;&gt;"",VLOOKUP(J1003,'RESUMO DR'!$B$4:$E$253,4,FALSE),"-")</f>
        <v>T-03</v>
      </c>
      <c r="S1003" s="58" t="str">
        <f>IF(J1003&lt;&gt;"",VLOOKUP(J1003,'RESUMO DR'!$B$4:$E$253,3,FALSE),"-")</f>
        <v>PALMAS</v>
      </c>
    </row>
    <row r="1004" spans="1:19" ht="13.8">
      <c r="A1004" s="233">
        <v>2677</v>
      </c>
      <c r="B1004" s="21">
        <v>45677</v>
      </c>
      <c r="C1004" s="234" t="s">
        <v>319</v>
      </c>
      <c r="D1004" s="74" t="str">
        <f t="shared" si="288"/>
        <v>seg</v>
      </c>
      <c r="E1004" s="169">
        <f>IF(K1004&lt;&gt;"",VLOOKUP(K1004,'Catálogo SAP'!$A$1:$F$245,2,FALSE),"-")</f>
        <v>580</v>
      </c>
      <c r="F1004" s="16"/>
      <c r="G1004" s="16"/>
      <c r="H1004" s="22"/>
      <c r="I1004" s="133">
        <v>216</v>
      </c>
      <c r="J1004" s="162" t="str">
        <f t="shared" si="289"/>
        <v>AGUIARNÓPOLIS</v>
      </c>
      <c r="K1004" s="16">
        <v>580</v>
      </c>
      <c r="L1004" s="167" t="str">
        <f>IF(K1004&lt;&gt;"",VLOOKUP(K1004,'Catálogo SAP'!A:F,3,FALSE),"")</f>
        <v>S.VP-01475</v>
      </c>
      <c r="M1004" s="162" t="str">
        <f>IF(K1004&lt;&gt;"",VLOOKUP(K1004,'Catálogo SAP'!A:F,4,FALSE),"")</f>
        <v>Transporte Rodoviario Carro 5 Passageiros</v>
      </c>
      <c r="N1004" s="168" t="str">
        <f>IF(K1004&lt;&gt;"",VLOOKUP(K1004,'Catálogo SAP'!A:F,5,FALSE),"")</f>
        <v>MES</v>
      </c>
      <c r="O1004" s="160">
        <v>1</v>
      </c>
      <c r="P1004" s="70" t="str">
        <f t="shared" si="286"/>
        <v>-</v>
      </c>
      <c r="Q1004" s="163" t="e">
        <f t="shared" si="290"/>
        <v>#VALUE!</v>
      </c>
      <c r="R1004" s="44" t="str">
        <f>IF(J1004&lt;&gt;"",VLOOKUP(J1004,'RESUMO DR'!$B$4:$E$253,4,FALSE),"-")</f>
        <v>T-02</v>
      </c>
      <c r="S1004" s="58" t="str">
        <f>IF(J1004&lt;&gt;"",VLOOKUP(J1004,'RESUMO DR'!$B$4:$E$253,3,FALSE),"-")</f>
        <v>ARAGUAINA</v>
      </c>
    </row>
    <row r="1005" spans="1:19">
      <c r="C1005" s="173"/>
    </row>
    <row r="1006" spans="1:19">
      <c r="C1006" s="173"/>
    </row>
  </sheetData>
  <autoFilter ref="A5:Z1004" xr:uid="{00000000-0009-0000-0000-000001000000}">
    <sortState xmlns:xlrd2="http://schemas.microsoft.com/office/spreadsheetml/2017/richdata2" ref="A6:Z899">
      <sortCondition ref="B5:B899"/>
    </sortState>
  </autoFilter>
  <mergeCells count="3">
    <mergeCell ref="L3:O3"/>
    <mergeCell ref="A1:K3"/>
    <mergeCell ref="T4:X4"/>
  </mergeCells>
  <phoneticPr fontId="19" type="noConversion"/>
  <pageMargins left="0.23622047244094491" right="0.23622047244094491" top="0.74803149606299213" bottom="0.74803149606299213" header="0.31496062992125984" footer="0.31496062992125984"/>
  <pageSetup paperSize="9" scale="10" orientation="landscape" horizontalDpi="360" verticalDpi="36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9721-0DBD-45C4-9223-A4D5700E40BF}">
  <sheetPr codeName="Planilha7">
    <pageSetUpPr fitToPage="1"/>
  </sheetPr>
  <dimension ref="B1:AG804"/>
  <sheetViews>
    <sheetView zoomScale="92" workbookViewId="0">
      <selection activeCell="J9" sqref="J9"/>
    </sheetView>
  </sheetViews>
  <sheetFormatPr defaultRowHeight="13.2"/>
  <cols>
    <col min="1" max="1" width="14.33203125" customWidth="1"/>
    <col min="2" max="2" width="22.5546875" bestFit="1" customWidth="1"/>
    <col min="3" max="3" width="20.109375" bestFit="1" customWidth="1"/>
    <col min="4" max="4" width="75.33203125" customWidth="1"/>
    <col min="5" max="5" width="7.33203125" bestFit="1" customWidth="1"/>
    <col min="6" max="6" width="21.88671875" style="102" bestFit="1" customWidth="1"/>
    <col min="7" max="7" width="19.5546875" bestFit="1" customWidth="1"/>
    <col min="8" max="8" width="20.109375" bestFit="1" customWidth="1"/>
    <col min="9" max="9" width="20.33203125" bestFit="1" customWidth="1"/>
    <col min="10" max="10" width="21.88671875" bestFit="1" customWidth="1"/>
    <col min="11" max="11" width="19.5546875" style="151" bestFit="1" customWidth="1"/>
    <col min="12" max="12" width="13.88671875" bestFit="1" customWidth="1"/>
    <col min="13" max="13" width="25" style="151" bestFit="1" customWidth="1"/>
    <col min="14" max="14" width="26.88671875" bestFit="1" customWidth="1"/>
    <col min="15" max="15" width="25" bestFit="1" customWidth="1"/>
    <col min="16" max="16" width="33.44140625" bestFit="1" customWidth="1"/>
    <col min="17" max="17" width="31.5546875" style="151" bestFit="1" customWidth="1"/>
    <col min="18" max="18" width="13.33203125" bestFit="1" customWidth="1"/>
    <col min="19" max="19" width="9.109375" bestFit="1" customWidth="1"/>
    <col min="20" max="20" width="4" bestFit="1" customWidth="1"/>
    <col min="21" max="21" width="4" customWidth="1"/>
    <col min="22" max="22" width="8.33203125" style="114" bestFit="1" customWidth="1"/>
    <col min="23" max="23" width="5" style="114" customWidth="1"/>
    <col min="24" max="24" width="13.33203125" style="114" bestFit="1" customWidth="1"/>
    <col min="25" max="25" width="12.33203125" style="114" bestFit="1" customWidth="1"/>
    <col min="26" max="27" width="12.33203125" style="114" customWidth="1"/>
    <col min="28" max="28" width="12.44140625" style="115" bestFit="1" customWidth="1"/>
    <col min="29" max="29" width="13.88671875" style="114" bestFit="1" customWidth="1"/>
    <col min="30" max="30" width="14.33203125" bestFit="1" customWidth="1"/>
    <col min="31" max="31" width="10.88671875" bestFit="1" customWidth="1"/>
    <col min="32" max="32" width="9" bestFit="1" customWidth="1"/>
    <col min="33" max="33" width="10.5546875" bestFit="1" customWidth="1"/>
    <col min="34" max="36" width="9" bestFit="1" customWidth="1"/>
    <col min="37" max="37" width="11.109375" bestFit="1" customWidth="1"/>
    <col min="38" max="38" width="9" bestFit="1" customWidth="1"/>
    <col min="39" max="39" width="1.5546875" bestFit="1" customWidth="1"/>
  </cols>
  <sheetData>
    <row r="1" spans="2:33">
      <c r="I1" s="97" t="s">
        <v>112</v>
      </c>
      <c r="J1" t="s">
        <v>255</v>
      </c>
      <c r="M1" s="152"/>
    </row>
    <row r="2" spans="2:33">
      <c r="B2" s="97" t="s">
        <v>113</v>
      </c>
      <c r="C2" t="s">
        <v>255</v>
      </c>
      <c r="I2" s="97" t="s">
        <v>1</v>
      </c>
      <c r="J2" t="s">
        <v>255</v>
      </c>
      <c r="M2" s="152"/>
    </row>
    <row r="3" spans="2:33">
      <c r="B3" s="97" t="s">
        <v>98</v>
      </c>
      <c r="C3" t="s">
        <v>256</v>
      </c>
    </row>
    <row r="4" spans="2:33" ht="13.8" thickBot="1">
      <c r="B4" s="97" t="s">
        <v>106</v>
      </c>
      <c r="C4" t="s">
        <v>255</v>
      </c>
      <c r="I4" s="103" t="s">
        <v>257</v>
      </c>
      <c r="J4" t="s">
        <v>258</v>
      </c>
      <c r="K4" t="s">
        <v>259</v>
      </c>
      <c r="M4"/>
      <c r="Q4"/>
    </row>
    <row r="5" spans="2:33">
      <c r="B5" s="97" t="s">
        <v>99</v>
      </c>
      <c r="C5" t="s">
        <v>255</v>
      </c>
      <c r="F5"/>
      <c r="I5" s="102" t="s">
        <v>125</v>
      </c>
      <c r="J5" s="102"/>
      <c r="K5" s="153">
        <v>0</v>
      </c>
      <c r="M5"/>
      <c r="Q5"/>
      <c r="V5" s="123" t="s">
        <v>232</v>
      </c>
      <c r="W5" s="106" t="s">
        <v>226</v>
      </c>
      <c r="X5" s="106" t="s">
        <v>219</v>
      </c>
      <c r="Y5" s="112" t="s">
        <v>260</v>
      </c>
      <c r="Z5" s="112" t="s">
        <v>261</v>
      </c>
      <c r="AA5" s="112" t="s">
        <v>262</v>
      </c>
      <c r="AB5" s="116" t="s">
        <v>263</v>
      </c>
      <c r="AC5" s="117" t="s">
        <v>264</v>
      </c>
    </row>
    <row r="6" spans="2:33" ht="14.4">
      <c r="F6"/>
      <c r="I6" s="102" t="s">
        <v>126</v>
      </c>
      <c r="J6" s="102"/>
      <c r="K6" s="153">
        <v>0</v>
      </c>
      <c r="M6"/>
      <c r="Q6"/>
      <c r="R6" s="125">
        <f>P6*Q6</f>
        <v>0</v>
      </c>
      <c r="V6" s="107" t="s">
        <v>168</v>
      </c>
      <c r="W6" s="108">
        <v>26</v>
      </c>
      <c r="X6" s="108">
        <v>176</v>
      </c>
      <c r="Y6" s="108">
        <v>89</v>
      </c>
      <c r="Z6" s="108">
        <v>167</v>
      </c>
      <c r="AA6" s="108">
        <f t="shared" ref="AA6:AA15" si="0">Z6-Y6</f>
        <v>78</v>
      </c>
      <c r="AB6" s="111">
        <v>160.99</v>
      </c>
      <c r="AC6" s="118">
        <f t="shared" ref="AC6:AC15" si="1">AA6*AB6</f>
        <v>12557.220000000001</v>
      </c>
      <c r="AE6" s="90" t="s">
        <v>237</v>
      </c>
      <c r="AF6" s="90">
        <v>2</v>
      </c>
      <c r="AG6" s="92">
        <v>232.53</v>
      </c>
    </row>
    <row r="7" spans="2:33" ht="14.4">
      <c r="F7" s="103" t="s">
        <v>265</v>
      </c>
      <c r="I7" s="102" t="s">
        <v>127</v>
      </c>
      <c r="J7" s="102"/>
      <c r="K7" s="153">
        <v>0</v>
      </c>
      <c r="M7"/>
      <c r="Q7"/>
      <c r="R7" s="125">
        <f t="shared" ref="R7:R20" si="2">P7*Q7</f>
        <v>0</v>
      </c>
      <c r="V7" s="107" t="s">
        <v>252</v>
      </c>
      <c r="W7" s="108">
        <v>81</v>
      </c>
      <c r="X7" s="108">
        <v>113</v>
      </c>
      <c r="Y7" s="108">
        <v>89</v>
      </c>
      <c r="Z7" s="108">
        <v>167</v>
      </c>
      <c r="AA7" s="108">
        <f t="shared" si="0"/>
        <v>78</v>
      </c>
      <c r="AB7" s="111">
        <v>232.93</v>
      </c>
      <c r="AC7" s="118">
        <f t="shared" si="1"/>
        <v>18168.54</v>
      </c>
      <c r="AE7" s="90" t="s">
        <v>238</v>
      </c>
      <c r="AF7" s="90">
        <v>2</v>
      </c>
      <c r="AG7" s="92">
        <v>132.26</v>
      </c>
    </row>
    <row r="8" spans="2:33" ht="14.4">
      <c r="B8" s="97" t="s">
        <v>0</v>
      </c>
      <c r="C8" s="97" t="s">
        <v>101</v>
      </c>
      <c r="D8" s="97" t="s">
        <v>107</v>
      </c>
      <c r="E8" s="97" t="s">
        <v>1</v>
      </c>
      <c r="F8" s="102" t="s">
        <v>258</v>
      </c>
      <c r="G8" t="s">
        <v>259</v>
      </c>
      <c r="I8" s="102" t="s">
        <v>128</v>
      </c>
      <c r="J8" s="102"/>
      <c r="K8" s="153">
        <v>0</v>
      </c>
      <c r="M8"/>
      <c r="Q8"/>
      <c r="R8" s="125">
        <f t="shared" si="2"/>
        <v>0</v>
      </c>
      <c r="V8" s="107" t="s">
        <v>266</v>
      </c>
      <c r="W8" s="108">
        <v>43</v>
      </c>
      <c r="X8" s="108">
        <v>154</v>
      </c>
      <c r="Y8" s="108">
        <v>123</v>
      </c>
      <c r="Z8" s="108">
        <v>167</v>
      </c>
      <c r="AA8" s="108">
        <f t="shared" si="0"/>
        <v>44</v>
      </c>
      <c r="AB8" s="111">
        <v>132.26</v>
      </c>
      <c r="AC8" s="118">
        <f t="shared" si="1"/>
        <v>5819.44</v>
      </c>
      <c r="AE8" s="90" t="s">
        <v>239</v>
      </c>
      <c r="AF8" s="90">
        <v>4</v>
      </c>
      <c r="AG8" s="92">
        <v>160.99</v>
      </c>
    </row>
    <row r="9" spans="2:33" ht="14.4">
      <c r="B9" t="s">
        <v>256</v>
      </c>
      <c r="C9" t="s">
        <v>453</v>
      </c>
      <c r="D9" t="s">
        <v>8</v>
      </c>
      <c r="G9" s="98">
        <v>0</v>
      </c>
      <c r="I9" s="102" t="s">
        <v>129</v>
      </c>
      <c r="J9" s="102"/>
      <c r="K9" s="153">
        <v>0</v>
      </c>
      <c r="M9"/>
      <c r="Q9"/>
      <c r="R9" s="125">
        <f t="shared" si="2"/>
        <v>0</v>
      </c>
      <c r="V9" s="107" t="s">
        <v>159</v>
      </c>
      <c r="W9" s="108">
        <v>26</v>
      </c>
      <c r="X9" s="108">
        <v>179</v>
      </c>
      <c r="Y9" s="108">
        <v>148</v>
      </c>
      <c r="Z9" s="108">
        <v>167</v>
      </c>
      <c r="AA9" s="108">
        <f t="shared" si="0"/>
        <v>19</v>
      </c>
      <c r="AB9" s="111">
        <v>160.99</v>
      </c>
      <c r="AC9" s="118">
        <f t="shared" si="1"/>
        <v>3058.8100000000004</v>
      </c>
      <c r="AE9" s="90" t="s">
        <v>241</v>
      </c>
      <c r="AF9" s="90">
        <v>1</v>
      </c>
      <c r="AG9" s="92">
        <v>232.93</v>
      </c>
    </row>
    <row r="10" spans="2:33" ht="14.4">
      <c r="D10" t="s">
        <v>462</v>
      </c>
      <c r="G10" s="98"/>
      <c r="I10" s="102" t="s">
        <v>150</v>
      </c>
      <c r="J10" s="102"/>
      <c r="K10" s="153">
        <v>0</v>
      </c>
      <c r="M10"/>
      <c r="Q10"/>
      <c r="R10" s="125">
        <f t="shared" si="2"/>
        <v>0</v>
      </c>
      <c r="V10" s="107" t="s">
        <v>167</v>
      </c>
      <c r="W10" s="108">
        <v>53</v>
      </c>
      <c r="X10" s="108">
        <v>151</v>
      </c>
      <c r="Y10" s="108">
        <v>149</v>
      </c>
      <c r="Z10" s="108">
        <v>167</v>
      </c>
      <c r="AA10" s="108">
        <f t="shared" si="0"/>
        <v>18</v>
      </c>
      <c r="AB10" s="111">
        <v>232.53</v>
      </c>
      <c r="AC10" s="118">
        <f t="shared" si="1"/>
        <v>4185.54</v>
      </c>
      <c r="AE10" s="90" t="s">
        <v>243</v>
      </c>
      <c r="AF10" s="90">
        <v>1</v>
      </c>
      <c r="AG10" s="92">
        <v>253.87</v>
      </c>
    </row>
    <row r="11" spans="2:33">
      <c r="E11" t="s">
        <v>256</v>
      </c>
      <c r="G11" s="98"/>
      <c r="I11" s="102" t="s">
        <v>124</v>
      </c>
      <c r="J11" s="102"/>
      <c r="K11" s="153">
        <v>0</v>
      </c>
      <c r="M11"/>
      <c r="Q11"/>
      <c r="R11" s="125">
        <f t="shared" si="2"/>
        <v>0</v>
      </c>
      <c r="V11" s="107" t="s">
        <v>133</v>
      </c>
      <c r="W11" s="108">
        <v>12</v>
      </c>
      <c r="X11" s="108">
        <v>134</v>
      </c>
      <c r="Y11" s="108">
        <v>152</v>
      </c>
      <c r="Z11" s="108">
        <v>167</v>
      </c>
      <c r="AA11" s="108">
        <f t="shared" si="0"/>
        <v>15</v>
      </c>
      <c r="AB11" s="111">
        <v>253.87</v>
      </c>
      <c r="AC11" s="118">
        <f t="shared" si="1"/>
        <v>3808.05</v>
      </c>
    </row>
    <row r="12" spans="2:33">
      <c r="D12" t="s">
        <v>256</v>
      </c>
      <c r="E12" t="s">
        <v>256</v>
      </c>
      <c r="G12" s="98"/>
      <c r="I12" s="102" t="s">
        <v>151</v>
      </c>
      <c r="J12" s="102"/>
      <c r="K12" s="153">
        <v>0</v>
      </c>
      <c r="M12"/>
      <c r="Q12"/>
      <c r="R12" s="125">
        <f t="shared" si="2"/>
        <v>0</v>
      </c>
      <c r="V12" s="107" t="s">
        <v>156</v>
      </c>
      <c r="W12" s="108">
        <v>17</v>
      </c>
      <c r="X12" s="108">
        <v>128</v>
      </c>
      <c r="Y12" s="108">
        <v>168</v>
      </c>
      <c r="Z12" s="108">
        <v>167</v>
      </c>
      <c r="AA12" s="108">
        <f t="shared" si="0"/>
        <v>-1</v>
      </c>
      <c r="AB12" s="111">
        <v>160.99</v>
      </c>
      <c r="AC12" s="118">
        <f t="shared" si="1"/>
        <v>-160.99</v>
      </c>
    </row>
    <row r="13" spans="2:33">
      <c r="C13" t="s">
        <v>256</v>
      </c>
      <c r="G13" s="98">
        <v>0</v>
      </c>
      <c r="H13" s="102"/>
      <c r="I13" s="102" t="s">
        <v>152</v>
      </c>
      <c r="J13" s="102"/>
      <c r="K13" s="153">
        <v>0</v>
      </c>
      <c r="M13"/>
      <c r="Q13"/>
      <c r="R13" s="125">
        <f t="shared" si="2"/>
        <v>0</v>
      </c>
      <c r="V13" s="107" t="s">
        <v>121</v>
      </c>
      <c r="W13" s="108">
        <v>54</v>
      </c>
      <c r="X13" s="108">
        <v>148</v>
      </c>
      <c r="Y13" s="108">
        <v>168</v>
      </c>
      <c r="Z13" s="108">
        <v>167</v>
      </c>
      <c r="AA13" s="108">
        <f t="shared" si="0"/>
        <v>-1</v>
      </c>
      <c r="AB13" s="111">
        <v>132.26</v>
      </c>
      <c r="AC13" s="118">
        <f t="shared" si="1"/>
        <v>-132.26</v>
      </c>
    </row>
    <row r="14" spans="2:33">
      <c r="B14" t="s">
        <v>260</v>
      </c>
      <c r="G14" s="98">
        <v>0</v>
      </c>
      <c r="H14" s="102"/>
      <c r="I14" s="102" t="s">
        <v>138</v>
      </c>
      <c r="J14" s="102"/>
      <c r="K14" s="153">
        <v>0</v>
      </c>
      <c r="M14"/>
      <c r="Q14"/>
      <c r="R14" s="125">
        <f t="shared" si="2"/>
        <v>0</v>
      </c>
      <c r="V14" s="107" t="s">
        <v>130</v>
      </c>
      <c r="W14" s="108">
        <v>31</v>
      </c>
      <c r="X14" s="108">
        <v>127</v>
      </c>
      <c r="Y14" s="108">
        <v>176</v>
      </c>
      <c r="Z14" s="108">
        <v>167</v>
      </c>
      <c r="AA14" s="108">
        <f t="shared" si="0"/>
        <v>-9</v>
      </c>
      <c r="AB14" s="111">
        <v>232.53</v>
      </c>
      <c r="AC14" s="118">
        <f t="shared" si="1"/>
        <v>-2092.77</v>
      </c>
    </row>
    <row r="15" spans="2:33" ht="13.8" thickBot="1">
      <c r="F15"/>
      <c r="H15" s="102"/>
      <c r="I15" s="102" t="s">
        <v>139</v>
      </c>
      <c r="J15" s="102"/>
      <c r="K15" s="153">
        <v>0</v>
      </c>
      <c r="M15"/>
      <c r="Q15"/>
      <c r="R15" s="125">
        <f t="shared" si="2"/>
        <v>0</v>
      </c>
      <c r="V15" s="109" t="s">
        <v>267</v>
      </c>
      <c r="W15" s="110">
        <v>34</v>
      </c>
      <c r="X15" s="110">
        <v>160</v>
      </c>
      <c r="Y15" s="110">
        <v>177</v>
      </c>
      <c r="Z15" s="110">
        <v>167</v>
      </c>
      <c r="AA15" s="110">
        <f t="shared" si="0"/>
        <v>-10</v>
      </c>
      <c r="AB15" s="113">
        <v>160.99</v>
      </c>
      <c r="AC15" s="119">
        <f t="shared" si="1"/>
        <v>-1609.9</v>
      </c>
    </row>
    <row r="16" spans="2:33">
      <c r="F16"/>
      <c r="H16" s="102"/>
      <c r="I16" s="102" t="s">
        <v>131</v>
      </c>
      <c r="J16" s="102"/>
      <c r="K16" s="153">
        <v>0</v>
      </c>
      <c r="M16"/>
      <c r="Q16"/>
      <c r="R16" s="125">
        <f t="shared" si="2"/>
        <v>0</v>
      </c>
      <c r="AC16" s="120">
        <f>SUMIF(AC6:AC15,"&gt;0")</f>
        <v>47597.600000000006</v>
      </c>
      <c r="AD16" s="125">
        <f>AC16-AC7</f>
        <v>29429.060000000005</v>
      </c>
    </row>
    <row r="17" spans="6:31">
      <c r="F17"/>
      <c r="H17" s="102"/>
      <c r="I17" s="102" t="s">
        <v>135</v>
      </c>
      <c r="J17" s="102">
        <v>88</v>
      </c>
      <c r="K17" s="153">
        <v>0</v>
      </c>
      <c r="M17"/>
      <c r="Q17"/>
      <c r="R17" s="125">
        <f t="shared" si="2"/>
        <v>0</v>
      </c>
    </row>
    <row r="18" spans="6:31" ht="14.4">
      <c r="F18"/>
      <c r="H18" s="102"/>
      <c r="I18" s="102" t="s">
        <v>134</v>
      </c>
      <c r="J18" s="102"/>
      <c r="K18" s="153">
        <v>0</v>
      </c>
      <c r="M18"/>
      <c r="Q18"/>
      <c r="R18" s="125">
        <f t="shared" si="2"/>
        <v>0</v>
      </c>
      <c r="V18" s="288" t="s">
        <v>268</v>
      </c>
      <c r="W18" s="288"/>
      <c r="X18" s="288"/>
      <c r="Y18" s="288"/>
      <c r="Z18" s="288"/>
      <c r="AA18" s="288"/>
      <c r="AB18" s="288"/>
      <c r="AC18" s="288"/>
      <c r="AD18" s="288"/>
      <c r="AE18" s="288"/>
    </row>
    <row r="19" spans="6:31" ht="14.4">
      <c r="F19"/>
      <c r="I19" s="102" t="s">
        <v>133</v>
      </c>
      <c r="J19" s="102"/>
      <c r="K19" s="153">
        <v>0</v>
      </c>
      <c r="M19"/>
      <c r="Q19"/>
      <c r="R19" s="125">
        <f t="shared" si="2"/>
        <v>0</v>
      </c>
      <c r="V19" s="90" t="s">
        <v>232</v>
      </c>
      <c r="W19" s="90" t="s">
        <v>248</v>
      </c>
      <c r="X19" s="90" t="s">
        <v>219</v>
      </c>
      <c r="Y19" s="90" t="s">
        <v>226</v>
      </c>
      <c r="Z19" s="287" t="s">
        <v>233</v>
      </c>
      <c r="AA19" s="287"/>
      <c r="AB19" s="287" t="s">
        <v>234</v>
      </c>
      <c r="AC19" s="287"/>
      <c r="AD19" s="91" t="s">
        <v>235</v>
      </c>
      <c r="AE19" s="100" t="s">
        <v>249</v>
      </c>
    </row>
    <row r="20" spans="6:31" ht="14.4">
      <c r="F20"/>
      <c r="I20" s="102" t="s">
        <v>454</v>
      </c>
      <c r="J20" s="102"/>
      <c r="K20" s="153">
        <v>0</v>
      </c>
      <c r="M20"/>
      <c r="Q20"/>
      <c r="R20" s="125">
        <f t="shared" si="2"/>
        <v>0</v>
      </c>
      <c r="V20" s="90" t="s">
        <v>267</v>
      </c>
      <c r="W20" s="90">
        <v>1</v>
      </c>
      <c r="X20" s="92">
        <v>160.99</v>
      </c>
      <c r="Y20" s="92">
        <v>129.38999999999999</v>
      </c>
      <c r="Z20" s="90">
        <v>16</v>
      </c>
      <c r="AA20" s="90">
        <v>9</v>
      </c>
      <c r="AB20" s="90">
        <v>4</v>
      </c>
      <c r="AC20" s="90">
        <v>8</v>
      </c>
      <c r="AD20" s="93">
        <f>X20*AE20</f>
        <v>28334.240000000002</v>
      </c>
      <c r="AE20" s="100">
        <f>((Z20*AA20)+(AB20*AC20))*W20</f>
        <v>176</v>
      </c>
    </row>
    <row r="21" spans="6:31" ht="14.4">
      <c r="F21"/>
      <c r="I21" s="102" t="s">
        <v>136</v>
      </c>
      <c r="J21" s="102"/>
      <c r="K21" s="153">
        <v>0</v>
      </c>
      <c r="M21"/>
      <c r="Q21"/>
      <c r="V21" s="90" t="s">
        <v>156</v>
      </c>
      <c r="W21" s="90">
        <v>1</v>
      </c>
      <c r="X21" s="92">
        <v>160.99</v>
      </c>
      <c r="Y21" s="92">
        <v>129.38999999999999</v>
      </c>
      <c r="Z21" s="90">
        <f>16-1.5-0.5</f>
        <v>14</v>
      </c>
      <c r="AA21" s="90">
        <v>9</v>
      </c>
      <c r="AB21" s="90">
        <v>4</v>
      </c>
      <c r="AC21" s="90">
        <v>8</v>
      </c>
      <c r="AD21" s="93">
        <f t="shared" ref="AD21:AD30" si="3">X21*AE21</f>
        <v>25436.420000000002</v>
      </c>
      <c r="AE21" s="100">
        <f t="shared" ref="AE21:AE30" si="4">((Z21*AA21)+(AB21*AC21))*W21</f>
        <v>158</v>
      </c>
    </row>
    <row r="22" spans="6:31" ht="14.4">
      <c r="F22"/>
      <c r="I22" s="102" t="s">
        <v>130</v>
      </c>
      <c r="J22" s="102"/>
      <c r="K22" s="153">
        <v>0</v>
      </c>
      <c r="M22"/>
      <c r="Q22"/>
      <c r="V22" s="90" t="s">
        <v>159</v>
      </c>
      <c r="W22" s="90">
        <v>1</v>
      </c>
      <c r="X22" s="92">
        <v>160.99</v>
      </c>
      <c r="Y22" s="92">
        <v>129.38999999999999</v>
      </c>
      <c r="Z22" s="90">
        <v>17</v>
      </c>
      <c r="AA22" s="90">
        <v>9</v>
      </c>
      <c r="AB22" s="90">
        <v>4</v>
      </c>
      <c r="AC22" s="90">
        <v>8</v>
      </c>
      <c r="AD22" s="93">
        <f t="shared" si="3"/>
        <v>29783.15</v>
      </c>
      <c r="AE22" s="100">
        <f t="shared" si="4"/>
        <v>185</v>
      </c>
    </row>
    <row r="23" spans="6:31" ht="14.4">
      <c r="F23"/>
      <c r="I23" s="102" t="s">
        <v>455</v>
      </c>
      <c r="J23" s="102"/>
      <c r="K23" s="153">
        <v>0</v>
      </c>
      <c r="V23" s="90" t="s">
        <v>168</v>
      </c>
      <c r="W23" s="90">
        <v>1</v>
      </c>
      <c r="X23" s="92">
        <v>160.99</v>
      </c>
      <c r="Y23" s="92">
        <v>129.38999999999999</v>
      </c>
      <c r="Z23" s="90">
        <v>16</v>
      </c>
      <c r="AA23" s="90">
        <v>9</v>
      </c>
      <c r="AB23" s="90">
        <v>4</v>
      </c>
      <c r="AC23" s="90">
        <v>8</v>
      </c>
      <c r="AD23" s="93">
        <f t="shared" si="3"/>
        <v>28334.240000000002</v>
      </c>
      <c r="AE23" s="100">
        <f t="shared" si="4"/>
        <v>176</v>
      </c>
    </row>
    <row r="24" spans="6:31" ht="14.4">
      <c r="F24"/>
      <c r="I24" s="102" t="s">
        <v>123</v>
      </c>
      <c r="J24" s="102"/>
      <c r="K24" s="153">
        <v>0</v>
      </c>
      <c r="V24" s="90" t="s">
        <v>266</v>
      </c>
      <c r="W24" s="90">
        <v>1</v>
      </c>
      <c r="X24" s="92">
        <v>132.26</v>
      </c>
      <c r="Y24" s="92">
        <v>118.25</v>
      </c>
      <c r="Z24" s="90">
        <v>17</v>
      </c>
      <c r="AA24" s="90">
        <v>9</v>
      </c>
      <c r="AB24" s="90">
        <v>4</v>
      </c>
      <c r="AC24" s="90">
        <v>8</v>
      </c>
      <c r="AD24" s="93">
        <f t="shared" si="3"/>
        <v>24468.1</v>
      </c>
      <c r="AE24" s="100">
        <f t="shared" si="4"/>
        <v>185</v>
      </c>
    </row>
    <row r="25" spans="6:31" ht="14.4">
      <c r="F25"/>
      <c r="I25" s="102" t="s">
        <v>121</v>
      </c>
      <c r="J25" s="102"/>
      <c r="K25" s="153">
        <v>0</v>
      </c>
      <c r="V25" s="90" t="s">
        <v>121</v>
      </c>
      <c r="W25" s="90">
        <v>1</v>
      </c>
      <c r="X25" s="92">
        <v>132.26</v>
      </c>
      <c r="Y25" s="92">
        <v>118.25</v>
      </c>
      <c r="Z25" s="90">
        <v>15</v>
      </c>
      <c r="AA25" s="90">
        <v>9</v>
      </c>
      <c r="AB25" s="90">
        <v>4</v>
      </c>
      <c r="AC25" s="90">
        <v>8</v>
      </c>
      <c r="AD25" s="93">
        <f t="shared" si="3"/>
        <v>22087.42</v>
      </c>
      <c r="AE25" s="100">
        <f t="shared" si="4"/>
        <v>167</v>
      </c>
    </row>
    <row r="26" spans="6:31" ht="14.4">
      <c r="F26"/>
      <c r="I26" s="102" t="s">
        <v>122</v>
      </c>
      <c r="J26" s="102"/>
      <c r="K26" s="153">
        <v>0</v>
      </c>
      <c r="V26" s="90" t="s">
        <v>167</v>
      </c>
      <c r="W26" s="90">
        <v>1</v>
      </c>
      <c r="X26" s="92">
        <v>232.53</v>
      </c>
      <c r="Y26" s="92">
        <v>186.9</v>
      </c>
      <c r="Z26" s="90">
        <v>15</v>
      </c>
      <c r="AA26" s="90">
        <v>9</v>
      </c>
      <c r="AB26" s="90">
        <v>4</v>
      </c>
      <c r="AC26" s="90">
        <v>8</v>
      </c>
      <c r="AD26" s="93">
        <f t="shared" si="3"/>
        <v>38832.51</v>
      </c>
      <c r="AE26" s="100">
        <f t="shared" si="4"/>
        <v>167</v>
      </c>
    </row>
    <row r="27" spans="6:31" ht="14.4">
      <c r="F27"/>
      <c r="I27" s="102" t="s">
        <v>132</v>
      </c>
      <c r="J27" s="102"/>
      <c r="K27" s="153">
        <v>0</v>
      </c>
      <c r="V27" s="90" t="s">
        <v>130</v>
      </c>
      <c r="W27" s="90">
        <v>1</v>
      </c>
      <c r="X27" s="92">
        <v>232.53</v>
      </c>
      <c r="Y27" s="92">
        <v>186.9</v>
      </c>
      <c r="Z27" s="90">
        <v>16</v>
      </c>
      <c r="AA27" s="90">
        <v>9</v>
      </c>
      <c r="AB27" s="90">
        <v>4</v>
      </c>
      <c r="AC27" s="90">
        <v>8</v>
      </c>
      <c r="AD27" s="93">
        <f t="shared" si="3"/>
        <v>40925.279999999999</v>
      </c>
      <c r="AE27" s="100">
        <f t="shared" si="4"/>
        <v>176</v>
      </c>
    </row>
    <row r="28" spans="6:31" ht="14.4">
      <c r="F28"/>
      <c r="I28" s="102" t="s">
        <v>137</v>
      </c>
      <c r="J28" s="102"/>
      <c r="K28" s="153">
        <v>0</v>
      </c>
      <c r="V28" s="90" t="s">
        <v>133</v>
      </c>
      <c r="W28" s="90">
        <v>1</v>
      </c>
      <c r="X28" s="92">
        <v>253.87</v>
      </c>
      <c r="Y28" s="92">
        <v>205.4</v>
      </c>
      <c r="Z28" s="90">
        <v>15</v>
      </c>
      <c r="AA28" s="90">
        <v>9</v>
      </c>
      <c r="AB28" s="90">
        <v>4</v>
      </c>
      <c r="AC28" s="90">
        <v>8</v>
      </c>
      <c r="AD28" s="93">
        <f t="shared" si="3"/>
        <v>42396.29</v>
      </c>
      <c r="AE28" s="100">
        <f t="shared" si="4"/>
        <v>167</v>
      </c>
    </row>
    <row r="29" spans="6:31" ht="14.4">
      <c r="F29"/>
      <c r="I29" s="102" t="s">
        <v>456</v>
      </c>
      <c r="J29" s="102"/>
      <c r="K29" s="153">
        <v>0</v>
      </c>
      <c r="V29" s="90" t="s">
        <v>252</v>
      </c>
      <c r="W29" s="90">
        <v>1</v>
      </c>
      <c r="X29" s="92">
        <v>232.93</v>
      </c>
      <c r="Y29" s="92">
        <v>150.08000000000001</v>
      </c>
      <c r="Z29" s="90">
        <v>16</v>
      </c>
      <c r="AA29" s="90">
        <v>0</v>
      </c>
      <c r="AB29" s="90">
        <v>4</v>
      </c>
      <c r="AC29" s="90">
        <v>0</v>
      </c>
      <c r="AD29" s="93">
        <f t="shared" si="3"/>
        <v>0</v>
      </c>
      <c r="AE29" s="100">
        <f t="shared" si="4"/>
        <v>0</v>
      </c>
    </row>
    <row r="30" spans="6:31" ht="14.4">
      <c r="F30"/>
      <c r="I30" s="102" t="s">
        <v>457</v>
      </c>
      <c r="J30" s="102"/>
      <c r="K30" s="153">
        <v>0</v>
      </c>
      <c r="V30" s="90"/>
      <c r="W30" s="90"/>
      <c r="X30" s="92"/>
      <c r="Y30" s="92"/>
      <c r="Z30" s="90"/>
      <c r="AA30" s="90"/>
      <c r="AB30" s="90"/>
      <c r="AC30" s="90"/>
      <c r="AD30" s="93">
        <f t="shared" si="3"/>
        <v>0</v>
      </c>
      <c r="AE30" s="100">
        <f t="shared" si="4"/>
        <v>0</v>
      </c>
    </row>
    <row r="31" spans="6:31" ht="15" thickBot="1">
      <c r="F31"/>
      <c r="I31" s="102" t="s">
        <v>458</v>
      </c>
      <c r="J31" s="102"/>
      <c r="K31" s="153">
        <v>0</v>
      </c>
      <c r="V31" s="90" t="s">
        <v>164</v>
      </c>
      <c r="W31" s="90">
        <v>2</v>
      </c>
      <c r="X31" s="92">
        <v>15127.15</v>
      </c>
      <c r="Y31" s="92"/>
      <c r="Z31" s="90">
        <v>16</v>
      </c>
      <c r="AA31" s="90">
        <v>9</v>
      </c>
      <c r="AB31" s="90">
        <v>4</v>
      </c>
      <c r="AC31" s="90">
        <v>8</v>
      </c>
      <c r="AD31" s="94">
        <f>X31*W31</f>
        <v>30254.3</v>
      </c>
      <c r="AE31" s="100"/>
    </row>
    <row r="32" spans="6:31" ht="15" thickBot="1">
      <c r="F32"/>
      <c r="I32" s="102" t="s">
        <v>459</v>
      </c>
      <c r="J32" s="102"/>
      <c r="K32" s="153">
        <v>0</v>
      </c>
      <c r="V32" s="2"/>
      <c r="W32" s="2"/>
      <c r="X32" s="2"/>
      <c r="Y32" s="2"/>
      <c r="Z32" s="2"/>
      <c r="AA32" s="2"/>
      <c r="AB32" s="2"/>
      <c r="AC32" s="2"/>
      <c r="AD32" s="95">
        <f>SUM(AD20:AD31)</f>
        <v>310851.95</v>
      </c>
      <c r="AE32" s="105">
        <v>1</v>
      </c>
    </row>
    <row r="33" spans="6:31" ht="15" thickBot="1">
      <c r="F33"/>
      <c r="I33" s="102" t="s">
        <v>460</v>
      </c>
      <c r="J33" s="102"/>
      <c r="K33" s="153">
        <v>0</v>
      </c>
      <c r="V33" s="2"/>
      <c r="W33" s="2"/>
      <c r="X33" s="2"/>
      <c r="Y33" s="2"/>
      <c r="Z33" s="2"/>
      <c r="AA33" s="86" t="s">
        <v>245</v>
      </c>
      <c r="AB33" s="89">
        <v>0.1</v>
      </c>
      <c r="AC33" s="48">
        <f>AD32*AB33</f>
        <v>31085.195000000003</v>
      </c>
      <c r="AD33" s="96">
        <f>AD32-AC33</f>
        <v>279766.755</v>
      </c>
      <c r="AE33" s="104">
        <f>AD33/AD32</f>
        <v>0.9</v>
      </c>
    </row>
    <row r="34" spans="6:31" ht="14.4">
      <c r="F34"/>
      <c r="I34" s="102" t="s">
        <v>461</v>
      </c>
      <c r="J34" s="102"/>
      <c r="K34" s="153">
        <v>0</v>
      </c>
      <c r="V34" s="2"/>
      <c r="W34" s="2"/>
      <c r="X34" s="2"/>
      <c r="Y34" s="2"/>
      <c r="Z34" s="2"/>
      <c r="AA34" s="2" t="s">
        <v>246</v>
      </c>
      <c r="AB34" s="2"/>
      <c r="AC34" s="2"/>
      <c r="AD34" s="99">
        <f t="array" ref="AD34:AD35">'RESUMO DR'!I14:I15</f>
        <v>0</v>
      </c>
      <c r="AE34" s="104">
        <f>AD34/AD32</f>
        <v>0</v>
      </c>
    </row>
    <row r="35" spans="6:31">
      <c r="F35"/>
      <c r="I35" s="102" t="s">
        <v>256</v>
      </c>
      <c r="J35" s="102">
        <v>0</v>
      </c>
      <c r="K35" s="153">
        <v>0</v>
      </c>
      <c r="AD35">
        <v>0</v>
      </c>
    </row>
    <row r="36" spans="6:31">
      <c r="F36"/>
      <c r="I36" s="102" t="s">
        <v>260</v>
      </c>
      <c r="J36" s="102">
        <v>88</v>
      </c>
      <c r="K36" s="153">
        <v>0</v>
      </c>
      <c r="V36" s="124" t="s">
        <v>269</v>
      </c>
      <c r="AD36" s="125">
        <f>AD32-AD16</f>
        <v>281422.89</v>
      </c>
    </row>
    <row r="37" spans="6:31">
      <c r="F37"/>
      <c r="K37"/>
    </row>
    <row r="38" spans="6:31">
      <c r="F38"/>
      <c r="K38"/>
    </row>
    <row r="39" spans="6:31">
      <c r="F39"/>
      <c r="K39"/>
    </row>
    <row r="40" spans="6:31">
      <c r="F40"/>
      <c r="K40"/>
    </row>
    <row r="41" spans="6:31">
      <c r="F41"/>
      <c r="K41"/>
    </row>
    <row r="42" spans="6:31">
      <c r="F42"/>
      <c r="K42"/>
    </row>
    <row r="43" spans="6:31">
      <c r="F43"/>
      <c r="K43"/>
    </row>
    <row r="44" spans="6:31">
      <c r="F44"/>
      <c r="K44"/>
    </row>
    <row r="45" spans="6:31">
      <c r="F45"/>
      <c r="K45"/>
    </row>
    <row r="46" spans="6:31">
      <c r="F46"/>
      <c r="K46"/>
    </row>
    <row r="47" spans="6:31">
      <c r="F47"/>
      <c r="K47"/>
    </row>
    <row r="48" spans="6:31">
      <c r="F48"/>
      <c r="K48"/>
    </row>
    <row r="49" spans="6:11">
      <c r="F49"/>
      <c r="K49"/>
    </row>
    <row r="50" spans="6:11">
      <c r="F50"/>
      <c r="K50"/>
    </row>
    <row r="51" spans="6:11">
      <c r="F51"/>
      <c r="K51"/>
    </row>
    <row r="52" spans="6:11">
      <c r="F52"/>
      <c r="K52"/>
    </row>
    <row r="53" spans="6:11">
      <c r="F53"/>
      <c r="K53"/>
    </row>
    <row r="54" spans="6:11">
      <c r="F54"/>
      <c r="K54"/>
    </row>
    <row r="55" spans="6:11">
      <c r="F55"/>
      <c r="K55"/>
    </row>
    <row r="56" spans="6:11">
      <c r="F56"/>
      <c r="K56"/>
    </row>
    <row r="57" spans="6:11">
      <c r="F57"/>
      <c r="K57"/>
    </row>
    <row r="58" spans="6:11">
      <c r="F58"/>
      <c r="K58"/>
    </row>
    <row r="59" spans="6:11">
      <c r="F59"/>
      <c r="K59"/>
    </row>
    <row r="60" spans="6:11">
      <c r="F60"/>
      <c r="K60"/>
    </row>
    <row r="61" spans="6:11">
      <c r="F61"/>
      <c r="K61"/>
    </row>
    <row r="62" spans="6:11">
      <c r="F62"/>
      <c r="K62"/>
    </row>
    <row r="63" spans="6:11">
      <c r="F63"/>
      <c r="K63"/>
    </row>
    <row r="64" spans="6:11">
      <c r="F64"/>
      <c r="K64"/>
    </row>
    <row r="65" spans="6:11">
      <c r="F65"/>
      <c r="K65"/>
    </row>
    <row r="66" spans="6:11">
      <c r="F66"/>
      <c r="K66"/>
    </row>
    <row r="67" spans="6:11">
      <c r="F67"/>
      <c r="K67"/>
    </row>
    <row r="68" spans="6:11">
      <c r="F68"/>
    </row>
    <row r="69" spans="6:11">
      <c r="F69"/>
    </row>
    <row r="70" spans="6:11">
      <c r="F70"/>
    </row>
    <row r="71" spans="6:11">
      <c r="F71"/>
    </row>
    <row r="72" spans="6:11">
      <c r="F72"/>
    </row>
    <row r="73" spans="6:11">
      <c r="F73"/>
    </row>
    <row r="74" spans="6:11">
      <c r="F74"/>
    </row>
    <row r="75" spans="6:11">
      <c r="F75"/>
    </row>
    <row r="76" spans="6:11">
      <c r="F76"/>
    </row>
    <row r="77" spans="6:11">
      <c r="F77"/>
    </row>
    <row r="78" spans="6:11">
      <c r="F78"/>
    </row>
    <row r="79" spans="6:11">
      <c r="F79"/>
    </row>
    <row r="80" spans="6:11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  <row r="140" spans="6:6">
      <c r="F140"/>
    </row>
    <row r="141" spans="6:6">
      <c r="F141"/>
    </row>
    <row r="142" spans="6:6">
      <c r="F142"/>
    </row>
    <row r="143" spans="6:6">
      <c r="F143"/>
    </row>
    <row r="144" spans="6:6">
      <c r="F144"/>
    </row>
    <row r="145" spans="6:6">
      <c r="F145"/>
    </row>
    <row r="146" spans="6:6">
      <c r="F146"/>
    </row>
    <row r="147" spans="6:6">
      <c r="F147"/>
    </row>
    <row r="148" spans="6:6">
      <c r="F148"/>
    </row>
    <row r="149" spans="6:6">
      <c r="F149"/>
    </row>
    <row r="150" spans="6:6">
      <c r="F150"/>
    </row>
    <row r="151" spans="6:6">
      <c r="F151"/>
    </row>
    <row r="152" spans="6:6">
      <c r="F152"/>
    </row>
    <row r="153" spans="6:6">
      <c r="F153"/>
    </row>
    <row r="154" spans="6:6">
      <c r="F154"/>
    </row>
    <row r="155" spans="6:6">
      <c r="F155"/>
    </row>
    <row r="156" spans="6:6">
      <c r="F156"/>
    </row>
    <row r="157" spans="6:6">
      <c r="F157"/>
    </row>
    <row r="158" spans="6:6">
      <c r="F158"/>
    </row>
    <row r="159" spans="6:6">
      <c r="F159"/>
    </row>
    <row r="160" spans="6:6">
      <c r="F160"/>
    </row>
    <row r="161" spans="6:6">
      <c r="F161"/>
    </row>
    <row r="162" spans="6:6">
      <c r="F162"/>
    </row>
    <row r="163" spans="6:6">
      <c r="F163"/>
    </row>
    <row r="164" spans="6:6">
      <c r="F164"/>
    </row>
    <row r="165" spans="6:6">
      <c r="F165"/>
    </row>
    <row r="166" spans="6:6">
      <c r="F166"/>
    </row>
    <row r="167" spans="6:6">
      <c r="F167"/>
    </row>
    <row r="168" spans="6:6">
      <c r="F168"/>
    </row>
    <row r="169" spans="6:6">
      <c r="F169"/>
    </row>
    <row r="170" spans="6:6">
      <c r="F170"/>
    </row>
    <row r="171" spans="6:6">
      <c r="F171"/>
    </row>
    <row r="172" spans="6:6">
      <c r="F172"/>
    </row>
    <row r="173" spans="6:6">
      <c r="F173"/>
    </row>
    <row r="174" spans="6:6">
      <c r="F174"/>
    </row>
    <row r="175" spans="6:6">
      <c r="F175"/>
    </row>
    <row r="176" spans="6:6">
      <c r="F176"/>
    </row>
    <row r="177" spans="6:6">
      <c r="F177"/>
    </row>
    <row r="178" spans="6:6">
      <c r="F178"/>
    </row>
    <row r="179" spans="6:6">
      <c r="F179"/>
    </row>
    <row r="180" spans="6:6">
      <c r="F180"/>
    </row>
    <row r="181" spans="6:6">
      <c r="F181"/>
    </row>
    <row r="182" spans="6:6">
      <c r="F182"/>
    </row>
    <row r="183" spans="6:6">
      <c r="F183"/>
    </row>
    <row r="184" spans="6:6">
      <c r="F184"/>
    </row>
    <row r="185" spans="6:6">
      <c r="F185"/>
    </row>
    <row r="186" spans="6:6">
      <c r="F186"/>
    </row>
    <row r="187" spans="6:6">
      <c r="F187"/>
    </row>
    <row r="188" spans="6:6">
      <c r="F188"/>
    </row>
    <row r="189" spans="6:6">
      <c r="F189"/>
    </row>
    <row r="190" spans="6:6">
      <c r="F190"/>
    </row>
    <row r="191" spans="6:6">
      <c r="F191"/>
    </row>
    <row r="192" spans="6:6">
      <c r="F192"/>
    </row>
    <row r="193" spans="6:6">
      <c r="F193"/>
    </row>
    <row r="194" spans="6:6">
      <c r="F194"/>
    </row>
    <row r="195" spans="6:6">
      <c r="F195"/>
    </row>
    <row r="196" spans="6:6">
      <c r="F196"/>
    </row>
    <row r="197" spans="6:6">
      <c r="F197"/>
    </row>
    <row r="198" spans="6:6">
      <c r="F198"/>
    </row>
    <row r="199" spans="6:6">
      <c r="F199"/>
    </row>
    <row r="200" spans="6:6">
      <c r="F200"/>
    </row>
    <row r="201" spans="6:6">
      <c r="F201"/>
    </row>
    <row r="202" spans="6:6">
      <c r="F202"/>
    </row>
    <row r="203" spans="6:6">
      <c r="F203"/>
    </row>
    <row r="204" spans="6:6">
      <c r="F204"/>
    </row>
    <row r="205" spans="6:6">
      <c r="F205"/>
    </row>
    <row r="206" spans="6:6">
      <c r="F206"/>
    </row>
    <row r="207" spans="6:6">
      <c r="F207"/>
    </row>
    <row r="208" spans="6:6">
      <c r="F208"/>
    </row>
    <row r="209" spans="6:6">
      <c r="F209"/>
    </row>
    <row r="210" spans="6:6">
      <c r="F210"/>
    </row>
    <row r="211" spans="6:6">
      <c r="F211"/>
    </row>
    <row r="212" spans="6:6">
      <c r="F212"/>
    </row>
    <row r="213" spans="6:6">
      <c r="F213"/>
    </row>
    <row r="214" spans="6:6">
      <c r="F214"/>
    </row>
    <row r="215" spans="6:6">
      <c r="F215"/>
    </row>
    <row r="216" spans="6:6">
      <c r="F216"/>
    </row>
    <row r="217" spans="6:6">
      <c r="F217"/>
    </row>
    <row r="218" spans="6:6">
      <c r="F218"/>
    </row>
    <row r="219" spans="6:6">
      <c r="F219"/>
    </row>
    <row r="220" spans="6:6">
      <c r="F220"/>
    </row>
    <row r="221" spans="6:6">
      <c r="F221"/>
    </row>
    <row r="222" spans="6:6">
      <c r="F222"/>
    </row>
    <row r="223" spans="6:6">
      <c r="F223"/>
    </row>
    <row r="224" spans="6:6">
      <c r="F224"/>
    </row>
    <row r="225" spans="6:6">
      <c r="F225"/>
    </row>
    <row r="226" spans="6:6">
      <c r="F226"/>
    </row>
    <row r="227" spans="6:6">
      <c r="F227"/>
    </row>
    <row r="228" spans="6:6">
      <c r="F228"/>
    </row>
    <row r="229" spans="6:6">
      <c r="F229"/>
    </row>
    <row r="230" spans="6:6">
      <c r="F230"/>
    </row>
    <row r="231" spans="6:6">
      <c r="F231"/>
    </row>
    <row r="232" spans="6:6">
      <c r="F232"/>
    </row>
    <row r="233" spans="6:6">
      <c r="F233"/>
    </row>
    <row r="234" spans="6:6">
      <c r="F234"/>
    </row>
    <row r="235" spans="6:6">
      <c r="F235"/>
    </row>
    <row r="236" spans="6:6">
      <c r="F236"/>
    </row>
    <row r="237" spans="6:6">
      <c r="F237"/>
    </row>
    <row r="238" spans="6:6">
      <c r="F238"/>
    </row>
    <row r="239" spans="6:6">
      <c r="F239"/>
    </row>
    <row r="240" spans="6:6">
      <c r="F240"/>
    </row>
    <row r="241" spans="6:6">
      <c r="F241"/>
    </row>
    <row r="242" spans="6:6">
      <c r="F242"/>
    </row>
    <row r="243" spans="6:6">
      <c r="F243"/>
    </row>
    <row r="244" spans="6:6">
      <c r="F244"/>
    </row>
    <row r="245" spans="6:6">
      <c r="F245"/>
    </row>
    <row r="246" spans="6:6">
      <c r="F246"/>
    </row>
    <row r="247" spans="6:6">
      <c r="F247"/>
    </row>
    <row r="248" spans="6:6">
      <c r="F248"/>
    </row>
    <row r="249" spans="6:6">
      <c r="F249"/>
    </row>
    <row r="250" spans="6:6">
      <c r="F250"/>
    </row>
    <row r="251" spans="6:6">
      <c r="F251"/>
    </row>
    <row r="252" spans="6:6">
      <c r="F252"/>
    </row>
    <row r="253" spans="6:6">
      <c r="F253"/>
    </row>
    <row r="254" spans="6:6">
      <c r="F254"/>
    </row>
    <row r="255" spans="6:6">
      <c r="F255"/>
    </row>
    <row r="256" spans="6:6">
      <c r="F256"/>
    </row>
    <row r="257" spans="6:6">
      <c r="F257"/>
    </row>
    <row r="258" spans="6:6">
      <c r="F258"/>
    </row>
    <row r="259" spans="6:6">
      <c r="F259"/>
    </row>
    <row r="260" spans="6:6">
      <c r="F260"/>
    </row>
    <row r="261" spans="6:6">
      <c r="F261"/>
    </row>
    <row r="262" spans="6:6">
      <c r="F262"/>
    </row>
    <row r="263" spans="6:6">
      <c r="F263"/>
    </row>
    <row r="264" spans="6:6">
      <c r="F264"/>
    </row>
    <row r="265" spans="6:6">
      <c r="F265"/>
    </row>
    <row r="266" spans="6:6">
      <c r="F266"/>
    </row>
    <row r="267" spans="6:6">
      <c r="F267"/>
    </row>
    <row r="268" spans="6:6">
      <c r="F268"/>
    </row>
    <row r="269" spans="6:6">
      <c r="F269"/>
    </row>
    <row r="270" spans="6:6">
      <c r="F270"/>
    </row>
    <row r="271" spans="6:6">
      <c r="F271"/>
    </row>
    <row r="272" spans="6:6">
      <c r="F272"/>
    </row>
    <row r="273" spans="6:6">
      <c r="F273"/>
    </row>
    <row r="274" spans="6:6">
      <c r="F274"/>
    </row>
    <row r="275" spans="6:6">
      <c r="F275"/>
    </row>
    <row r="276" spans="6:6">
      <c r="F276"/>
    </row>
    <row r="277" spans="6:6">
      <c r="F277"/>
    </row>
    <row r="278" spans="6:6">
      <c r="F278"/>
    </row>
    <row r="279" spans="6:6">
      <c r="F279"/>
    </row>
    <row r="280" spans="6:6">
      <c r="F280"/>
    </row>
    <row r="281" spans="6:6">
      <c r="F281"/>
    </row>
    <row r="282" spans="6:6">
      <c r="F282"/>
    </row>
    <row r="283" spans="6:6">
      <c r="F283"/>
    </row>
    <row r="284" spans="6:6">
      <c r="F284"/>
    </row>
    <row r="285" spans="6:6">
      <c r="F285"/>
    </row>
    <row r="286" spans="6:6">
      <c r="F286"/>
    </row>
    <row r="287" spans="6:6">
      <c r="F287"/>
    </row>
    <row r="288" spans="6:6">
      <c r="F288"/>
    </row>
    <row r="289" spans="6:6">
      <c r="F289"/>
    </row>
    <row r="290" spans="6:6">
      <c r="F290"/>
    </row>
    <row r="291" spans="6:6">
      <c r="F291"/>
    </row>
    <row r="292" spans="6:6">
      <c r="F292"/>
    </row>
    <row r="293" spans="6:6">
      <c r="F293"/>
    </row>
    <row r="294" spans="6:6">
      <c r="F294"/>
    </row>
    <row r="295" spans="6:6">
      <c r="F295"/>
    </row>
    <row r="296" spans="6:6">
      <c r="F296"/>
    </row>
    <row r="297" spans="6:6">
      <c r="F297"/>
    </row>
    <row r="298" spans="6:6">
      <c r="F298"/>
    </row>
    <row r="299" spans="6:6">
      <c r="F299"/>
    </row>
    <row r="300" spans="6:6">
      <c r="F300"/>
    </row>
    <row r="301" spans="6:6">
      <c r="F301"/>
    </row>
    <row r="302" spans="6:6">
      <c r="F302"/>
    </row>
    <row r="303" spans="6:6">
      <c r="F303"/>
    </row>
    <row r="304" spans="6:6">
      <c r="F304"/>
    </row>
    <row r="305" spans="6:6">
      <c r="F305"/>
    </row>
    <row r="306" spans="6:6">
      <c r="F306"/>
    </row>
    <row r="307" spans="6:6">
      <c r="F307"/>
    </row>
    <row r="308" spans="6:6">
      <c r="F308"/>
    </row>
    <row r="309" spans="6:6">
      <c r="F309"/>
    </row>
    <row r="310" spans="6:6">
      <c r="F310"/>
    </row>
    <row r="311" spans="6:6">
      <c r="F311"/>
    </row>
    <row r="312" spans="6:6">
      <c r="F312"/>
    </row>
    <row r="313" spans="6:6">
      <c r="F313"/>
    </row>
    <row r="314" spans="6:6">
      <c r="F314"/>
    </row>
    <row r="315" spans="6:6">
      <c r="F315"/>
    </row>
    <row r="316" spans="6:6">
      <c r="F316"/>
    </row>
    <row r="317" spans="6:6">
      <c r="F317"/>
    </row>
    <row r="318" spans="6:6">
      <c r="F318"/>
    </row>
    <row r="319" spans="6:6">
      <c r="F319"/>
    </row>
    <row r="320" spans="6:6">
      <c r="F320"/>
    </row>
    <row r="321" spans="6:6">
      <c r="F321"/>
    </row>
    <row r="322" spans="6:6">
      <c r="F322"/>
    </row>
    <row r="323" spans="6:6">
      <c r="F323"/>
    </row>
    <row r="324" spans="6:6">
      <c r="F324"/>
    </row>
    <row r="325" spans="6:6">
      <c r="F325"/>
    </row>
    <row r="326" spans="6:6">
      <c r="F326"/>
    </row>
    <row r="327" spans="6:6">
      <c r="F327"/>
    </row>
    <row r="328" spans="6:6">
      <c r="F328"/>
    </row>
    <row r="329" spans="6:6">
      <c r="F329"/>
    </row>
    <row r="330" spans="6:6">
      <c r="F330"/>
    </row>
    <row r="331" spans="6:6">
      <c r="F331"/>
    </row>
    <row r="332" spans="6:6">
      <c r="F332"/>
    </row>
    <row r="333" spans="6:6">
      <c r="F333"/>
    </row>
    <row r="334" spans="6:6">
      <c r="F334"/>
    </row>
    <row r="335" spans="6:6">
      <c r="F335"/>
    </row>
    <row r="336" spans="6:6">
      <c r="F336"/>
    </row>
    <row r="337" spans="6:6">
      <c r="F337"/>
    </row>
    <row r="338" spans="6:6">
      <c r="F338"/>
    </row>
    <row r="339" spans="6:6">
      <c r="F339"/>
    </row>
    <row r="340" spans="6:6">
      <c r="F340"/>
    </row>
    <row r="341" spans="6:6">
      <c r="F341"/>
    </row>
    <row r="342" spans="6:6">
      <c r="F342"/>
    </row>
    <row r="343" spans="6:6">
      <c r="F343"/>
    </row>
    <row r="344" spans="6:6">
      <c r="F344"/>
    </row>
    <row r="345" spans="6:6">
      <c r="F345"/>
    </row>
    <row r="346" spans="6:6">
      <c r="F346"/>
    </row>
    <row r="347" spans="6:6">
      <c r="F347"/>
    </row>
    <row r="348" spans="6:6">
      <c r="F348"/>
    </row>
    <row r="349" spans="6:6">
      <c r="F349"/>
    </row>
    <row r="350" spans="6:6">
      <c r="F350"/>
    </row>
    <row r="351" spans="6:6">
      <c r="F351"/>
    </row>
    <row r="352" spans="6:6">
      <c r="F352"/>
    </row>
    <row r="353" spans="6:6">
      <c r="F353"/>
    </row>
    <row r="354" spans="6:6">
      <c r="F354"/>
    </row>
    <row r="355" spans="6:6">
      <c r="F355"/>
    </row>
    <row r="356" spans="6:6">
      <c r="F356"/>
    </row>
    <row r="357" spans="6:6">
      <c r="F357"/>
    </row>
    <row r="358" spans="6:6">
      <c r="F358"/>
    </row>
    <row r="359" spans="6:6">
      <c r="F359"/>
    </row>
    <row r="360" spans="6:6">
      <c r="F360"/>
    </row>
    <row r="361" spans="6:6">
      <c r="F361"/>
    </row>
    <row r="362" spans="6:6">
      <c r="F362"/>
    </row>
    <row r="363" spans="6:6">
      <c r="F363"/>
    </row>
    <row r="364" spans="6:6">
      <c r="F364"/>
    </row>
    <row r="365" spans="6:6">
      <c r="F365"/>
    </row>
    <row r="366" spans="6:6">
      <c r="F366"/>
    </row>
    <row r="367" spans="6:6">
      <c r="F367"/>
    </row>
    <row r="368" spans="6:6">
      <c r="F368"/>
    </row>
    <row r="369" spans="6:6">
      <c r="F369"/>
    </row>
    <row r="370" spans="6:6">
      <c r="F370"/>
    </row>
    <row r="371" spans="6:6">
      <c r="F371"/>
    </row>
    <row r="372" spans="6:6">
      <c r="F372"/>
    </row>
    <row r="373" spans="6:6">
      <c r="F373"/>
    </row>
    <row r="374" spans="6:6">
      <c r="F374"/>
    </row>
    <row r="375" spans="6:6">
      <c r="F375"/>
    </row>
    <row r="376" spans="6:6">
      <c r="F376"/>
    </row>
    <row r="377" spans="6:6">
      <c r="F377"/>
    </row>
    <row r="378" spans="6:6">
      <c r="F378"/>
    </row>
    <row r="379" spans="6:6">
      <c r="F379"/>
    </row>
    <row r="380" spans="6:6">
      <c r="F380"/>
    </row>
    <row r="381" spans="6:6">
      <c r="F381"/>
    </row>
    <row r="382" spans="6:6">
      <c r="F382"/>
    </row>
    <row r="383" spans="6:6">
      <c r="F383"/>
    </row>
    <row r="384" spans="6:6">
      <c r="F384"/>
    </row>
    <row r="385" spans="6:6">
      <c r="F385"/>
    </row>
    <row r="386" spans="6:6">
      <c r="F386"/>
    </row>
    <row r="387" spans="6:6">
      <c r="F387"/>
    </row>
    <row r="388" spans="6:6">
      <c r="F388"/>
    </row>
    <row r="389" spans="6:6">
      <c r="F389"/>
    </row>
    <row r="390" spans="6:6">
      <c r="F390"/>
    </row>
    <row r="391" spans="6:6">
      <c r="F391"/>
    </row>
    <row r="392" spans="6:6">
      <c r="F392"/>
    </row>
    <row r="393" spans="6:6">
      <c r="F393"/>
    </row>
    <row r="394" spans="6:6">
      <c r="F394"/>
    </row>
    <row r="395" spans="6:6">
      <c r="F395"/>
    </row>
    <row r="396" spans="6:6">
      <c r="F396"/>
    </row>
    <row r="397" spans="6:6">
      <c r="F397"/>
    </row>
    <row r="398" spans="6:6">
      <c r="F398"/>
    </row>
    <row r="399" spans="6:6">
      <c r="F399"/>
    </row>
    <row r="400" spans="6:6">
      <c r="F400"/>
    </row>
    <row r="401" spans="6:6">
      <c r="F401"/>
    </row>
    <row r="402" spans="6:6">
      <c r="F402"/>
    </row>
    <row r="403" spans="6:6">
      <c r="F403"/>
    </row>
    <row r="404" spans="6:6">
      <c r="F404"/>
    </row>
    <row r="405" spans="6:6">
      <c r="F405"/>
    </row>
    <row r="406" spans="6:6">
      <c r="F406"/>
    </row>
    <row r="407" spans="6:6">
      <c r="F407"/>
    </row>
    <row r="408" spans="6:6">
      <c r="F408"/>
    </row>
    <row r="409" spans="6:6">
      <c r="F409"/>
    </row>
    <row r="410" spans="6:6">
      <c r="F410"/>
    </row>
    <row r="411" spans="6:6">
      <c r="F411"/>
    </row>
    <row r="412" spans="6:6">
      <c r="F412"/>
    </row>
    <row r="413" spans="6:6">
      <c r="F413"/>
    </row>
    <row r="414" spans="6:6">
      <c r="F414"/>
    </row>
    <row r="415" spans="6:6">
      <c r="F415"/>
    </row>
    <row r="416" spans="6:6">
      <c r="F416"/>
    </row>
    <row r="417" spans="6:6">
      <c r="F417"/>
    </row>
    <row r="418" spans="6:6">
      <c r="F418"/>
    </row>
    <row r="419" spans="6:6">
      <c r="F419"/>
    </row>
    <row r="420" spans="6:6">
      <c r="F420"/>
    </row>
    <row r="421" spans="6:6">
      <c r="F421"/>
    </row>
    <row r="422" spans="6:6">
      <c r="F422"/>
    </row>
    <row r="423" spans="6:6">
      <c r="F423"/>
    </row>
    <row r="424" spans="6:6">
      <c r="F424"/>
    </row>
    <row r="425" spans="6:6">
      <c r="F425"/>
    </row>
    <row r="426" spans="6:6">
      <c r="F426"/>
    </row>
    <row r="427" spans="6:6">
      <c r="F427"/>
    </row>
    <row r="428" spans="6:6">
      <c r="F428"/>
    </row>
    <row r="429" spans="6:6">
      <c r="F429"/>
    </row>
    <row r="430" spans="6:6">
      <c r="F430"/>
    </row>
    <row r="431" spans="6:6">
      <c r="F431"/>
    </row>
    <row r="432" spans="6:6">
      <c r="F432"/>
    </row>
    <row r="433" spans="6:6">
      <c r="F433"/>
    </row>
    <row r="434" spans="6:6">
      <c r="F434"/>
    </row>
    <row r="435" spans="6:6">
      <c r="F435"/>
    </row>
    <row r="436" spans="6:6">
      <c r="F436"/>
    </row>
    <row r="437" spans="6:6">
      <c r="F437"/>
    </row>
    <row r="438" spans="6:6">
      <c r="F438"/>
    </row>
    <row r="439" spans="6:6">
      <c r="F439"/>
    </row>
    <row r="440" spans="6:6">
      <c r="F440"/>
    </row>
    <row r="441" spans="6:6">
      <c r="F441"/>
    </row>
    <row r="442" spans="6:6">
      <c r="F442"/>
    </row>
    <row r="443" spans="6:6">
      <c r="F443"/>
    </row>
    <row r="444" spans="6:6">
      <c r="F444"/>
    </row>
    <row r="445" spans="6:6">
      <c r="F445"/>
    </row>
    <row r="446" spans="6:6">
      <c r="F446"/>
    </row>
    <row r="447" spans="6:6">
      <c r="F447"/>
    </row>
    <row r="448" spans="6:6">
      <c r="F448"/>
    </row>
    <row r="449" spans="6:6">
      <c r="F449"/>
    </row>
    <row r="450" spans="6:6">
      <c r="F450"/>
    </row>
    <row r="451" spans="6:6">
      <c r="F451"/>
    </row>
    <row r="452" spans="6:6">
      <c r="F452"/>
    </row>
    <row r="453" spans="6:6">
      <c r="F453"/>
    </row>
    <row r="454" spans="6:6">
      <c r="F454"/>
    </row>
    <row r="455" spans="6:6">
      <c r="F455"/>
    </row>
    <row r="456" spans="6:6">
      <c r="F456"/>
    </row>
    <row r="457" spans="6:6">
      <c r="F457"/>
    </row>
    <row r="458" spans="6:6">
      <c r="F458"/>
    </row>
    <row r="459" spans="6:6">
      <c r="F459"/>
    </row>
    <row r="460" spans="6:6">
      <c r="F460"/>
    </row>
    <row r="461" spans="6:6">
      <c r="F461"/>
    </row>
    <row r="462" spans="6:6">
      <c r="F462"/>
    </row>
    <row r="463" spans="6:6">
      <c r="F463"/>
    </row>
    <row r="464" spans="6:6">
      <c r="F464"/>
    </row>
    <row r="465" spans="6:6">
      <c r="F465"/>
    </row>
    <row r="466" spans="6:6">
      <c r="F466"/>
    </row>
    <row r="467" spans="6:6">
      <c r="F467"/>
    </row>
    <row r="468" spans="6:6">
      <c r="F468"/>
    </row>
    <row r="469" spans="6:6">
      <c r="F469"/>
    </row>
    <row r="470" spans="6:6">
      <c r="F470"/>
    </row>
    <row r="471" spans="6:6">
      <c r="F471"/>
    </row>
    <row r="472" spans="6:6">
      <c r="F472"/>
    </row>
    <row r="473" spans="6:6">
      <c r="F473"/>
    </row>
    <row r="474" spans="6:6">
      <c r="F474"/>
    </row>
    <row r="475" spans="6:6">
      <c r="F475"/>
    </row>
    <row r="476" spans="6:6">
      <c r="F476"/>
    </row>
    <row r="477" spans="6:6">
      <c r="F477"/>
    </row>
    <row r="478" spans="6:6">
      <c r="F478"/>
    </row>
    <row r="479" spans="6:6">
      <c r="F479"/>
    </row>
    <row r="480" spans="6:6">
      <c r="F480"/>
    </row>
    <row r="481" spans="6:6">
      <c r="F481"/>
    </row>
    <row r="482" spans="6:6">
      <c r="F482"/>
    </row>
    <row r="483" spans="6:6">
      <c r="F483"/>
    </row>
    <row r="484" spans="6:6">
      <c r="F484"/>
    </row>
    <row r="485" spans="6:6">
      <c r="F485"/>
    </row>
    <row r="486" spans="6:6">
      <c r="F486"/>
    </row>
    <row r="487" spans="6:6">
      <c r="F487"/>
    </row>
    <row r="488" spans="6:6">
      <c r="F488"/>
    </row>
    <row r="489" spans="6:6">
      <c r="F489"/>
    </row>
    <row r="490" spans="6:6">
      <c r="F490"/>
    </row>
    <row r="491" spans="6:6">
      <c r="F491"/>
    </row>
    <row r="492" spans="6:6">
      <c r="F492"/>
    </row>
    <row r="493" spans="6:6">
      <c r="F493"/>
    </row>
    <row r="494" spans="6:6">
      <c r="F494"/>
    </row>
    <row r="495" spans="6:6">
      <c r="F495"/>
    </row>
    <row r="496" spans="6:6">
      <c r="F496"/>
    </row>
    <row r="497" spans="6:6">
      <c r="F497"/>
    </row>
    <row r="498" spans="6:6">
      <c r="F498"/>
    </row>
    <row r="499" spans="6:6">
      <c r="F499"/>
    </row>
    <row r="500" spans="6:6">
      <c r="F500"/>
    </row>
    <row r="501" spans="6:6">
      <c r="F501"/>
    </row>
    <row r="502" spans="6:6">
      <c r="F502"/>
    </row>
    <row r="503" spans="6:6">
      <c r="F503"/>
    </row>
    <row r="504" spans="6:6">
      <c r="F504"/>
    </row>
    <row r="505" spans="6:6">
      <c r="F505"/>
    </row>
    <row r="506" spans="6:6">
      <c r="F506"/>
    </row>
    <row r="507" spans="6:6">
      <c r="F507"/>
    </row>
    <row r="508" spans="6:6">
      <c r="F508"/>
    </row>
    <row r="509" spans="6:6">
      <c r="F509"/>
    </row>
    <row r="510" spans="6:6">
      <c r="F510"/>
    </row>
    <row r="511" spans="6:6">
      <c r="F511"/>
    </row>
    <row r="512" spans="6:6">
      <c r="F512"/>
    </row>
    <row r="513" spans="6:6">
      <c r="F513"/>
    </row>
    <row r="514" spans="6:6">
      <c r="F514"/>
    </row>
    <row r="515" spans="6:6">
      <c r="F515"/>
    </row>
    <row r="516" spans="6:6">
      <c r="F516"/>
    </row>
    <row r="517" spans="6:6">
      <c r="F517"/>
    </row>
    <row r="518" spans="6:6">
      <c r="F518"/>
    </row>
    <row r="519" spans="6:6">
      <c r="F519"/>
    </row>
    <row r="520" spans="6:6">
      <c r="F520"/>
    </row>
    <row r="521" spans="6:6">
      <c r="F521"/>
    </row>
    <row r="522" spans="6:6">
      <c r="F522"/>
    </row>
    <row r="523" spans="6:6">
      <c r="F523"/>
    </row>
    <row r="524" spans="6:6">
      <c r="F524"/>
    </row>
    <row r="525" spans="6:6">
      <c r="F525"/>
    </row>
    <row r="526" spans="6:6">
      <c r="F526"/>
    </row>
    <row r="527" spans="6:6">
      <c r="F527"/>
    </row>
    <row r="528" spans="6:6">
      <c r="F528"/>
    </row>
    <row r="529" spans="6:6">
      <c r="F529"/>
    </row>
    <row r="530" spans="6:6">
      <c r="F530"/>
    </row>
    <row r="531" spans="6:6">
      <c r="F531"/>
    </row>
    <row r="532" spans="6:6">
      <c r="F532"/>
    </row>
    <row r="533" spans="6:6">
      <c r="F533"/>
    </row>
    <row r="534" spans="6:6">
      <c r="F534"/>
    </row>
    <row r="535" spans="6:6">
      <c r="F535"/>
    </row>
    <row r="536" spans="6:6">
      <c r="F536"/>
    </row>
    <row r="537" spans="6:6">
      <c r="F537"/>
    </row>
    <row r="538" spans="6:6">
      <c r="F538"/>
    </row>
    <row r="539" spans="6:6">
      <c r="F539"/>
    </row>
    <row r="540" spans="6:6">
      <c r="F540"/>
    </row>
    <row r="541" spans="6:6">
      <c r="F541"/>
    </row>
    <row r="542" spans="6:6">
      <c r="F542"/>
    </row>
    <row r="543" spans="6:6">
      <c r="F543"/>
    </row>
    <row r="544" spans="6:6">
      <c r="F544"/>
    </row>
    <row r="545" spans="6:6">
      <c r="F545"/>
    </row>
    <row r="546" spans="6:6">
      <c r="F546"/>
    </row>
    <row r="547" spans="6:6">
      <c r="F547"/>
    </row>
    <row r="548" spans="6:6">
      <c r="F548"/>
    </row>
    <row r="549" spans="6:6">
      <c r="F549"/>
    </row>
    <row r="550" spans="6:6">
      <c r="F550"/>
    </row>
    <row r="551" spans="6:6">
      <c r="F551"/>
    </row>
    <row r="552" spans="6:6">
      <c r="F552"/>
    </row>
    <row r="553" spans="6:6">
      <c r="F553"/>
    </row>
    <row r="554" spans="6:6">
      <c r="F554"/>
    </row>
    <row r="555" spans="6:6">
      <c r="F555"/>
    </row>
    <row r="556" spans="6:6">
      <c r="F556"/>
    </row>
    <row r="557" spans="6:6">
      <c r="F557"/>
    </row>
    <row r="558" spans="6:6">
      <c r="F558"/>
    </row>
    <row r="559" spans="6:6">
      <c r="F559"/>
    </row>
    <row r="560" spans="6:6">
      <c r="F560"/>
    </row>
    <row r="561" spans="6:6">
      <c r="F561"/>
    </row>
    <row r="562" spans="6:6">
      <c r="F562"/>
    </row>
    <row r="563" spans="6:6">
      <c r="F563"/>
    </row>
    <row r="564" spans="6:6">
      <c r="F564"/>
    </row>
    <row r="565" spans="6:6">
      <c r="F565"/>
    </row>
    <row r="566" spans="6:6">
      <c r="F566"/>
    </row>
    <row r="567" spans="6:6">
      <c r="F567"/>
    </row>
    <row r="568" spans="6:6">
      <c r="F568"/>
    </row>
    <row r="569" spans="6:6">
      <c r="F569"/>
    </row>
    <row r="570" spans="6:6">
      <c r="F570"/>
    </row>
    <row r="571" spans="6:6">
      <c r="F571"/>
    </row>
    <row r="572" spans="6:6">
      <c r="F572"/>
    </row>
    <row r="573" spans="6:6">
      <c r="F573"/>
    </row>
    <row r="574" spans="6:6">
      <c r="F574"/>
    </row>
    <row r="575" spans="6:6">
      <c r="F575"/>
    </row>
    <row r="576" spans="6:6">
      <c r="F576"/>
    </row>
    <row r="577" spans="6:6">
      <c r="F577"/>
    </row>
    <row r="578" spans="6:6">
      <c r="F578"/>
    </row>
    <row r="579" spans="6:6">
      <c r="F579"/>
    </row>
    <row r="580" spans="6:6">
      <c r="F580"/>
    </row>
    <row r="581" spans="6:6">
      <c r="F581"/>
    </row>
    <row r="582" spans="6:6">
      <c r="F582"/>
    </row>
    <row r="583" spans="6:6">
      <c r="F583"/>
    </row>
    <row r="584" spans="6:6">
      <c r="F584"/>
    </row>
    <row r="585" spans="6:6">
      <c r="F585"/>
    </row>
    <row r="586" spans="6:6">
      <c r="F586"/>
    </row>
    <row r="587" spans="6:6">
      <c r="F587"/>
    </row>
    <row r="588" spans="6:6">
      <c r="F588"/>
    </row>
    <row r="589" spans="6:6">
      <c r="F589"/>
    </row>
    <row r="590" spans="6:6">
      <c r="F590"/>
    </row>
    <row r="591" spans="6:6">
      <c r="F591"/>
    </row>
    <row r="592" spans="6:6">
      <c r="F592"/>
    </row>
    <row r="593" spans="6:6">
      <c r="F593"/>
    </row>
    <row r="594" spans="6:6">
      <c r="F594"/>
    </row>
    <row r="595" spans="6:6">
      <c r="F595"/>
    </row>
    <row r="596" spans="6:6">
      <c r="F596"/>
    </row>
    <row r="597" spans="6:6">
      <c r="F597"/>
    </row>
    <row r="598" spans="6:6">
      <c r="F598"/>
    </row>
    <row r="599" spans="6:6">
      <c r="F599"/>
    </row>
    <row r="600" spans="6:6">
      <c r="F600"/>
    </row>
    <row r="601" spans="6:6">
      <c r="F601"/>
    </row>
    <row r="602" spans="6:6">
      <c r="F602"/>
    </row>
    <row r="603" spans="6:6">
      <c r="F603"/>
    </row>
    <row r="604" spans="6:6">
      <c r="F604"/>
    </row>
    <row r="605" spans="6:6">
      <c r="F605"/>
    </row>
    <row r="606" spans="6:6">
      <c r="F606"/>
    </row>
    <row r="607" spans="6:6">
      <c r="F607"/>
    </row>
    <row r="608" spans="6:6">
      <c r="F608"/>
    </row>
    <row r="609" spans="6:6">
      <c r="F609"/>
    </row>
    <row r="610" spans="6:6">
      <c r="F610"/>
    </row>
    <row r="611" spans="6:6">
      <c r="F611"/>
    </row>
    <row r="612" spans="6:6">
      <c r="F612"/>
    </row>
    <row r="613" spans="6:6">
      <c r="F613"/>
    </row>
    <row r="614" spans="6:6">
      <c r="F614"/>
    </row>
    <row r="615" spans="6:6">
      <c r="F615"/>
    </row>
    <row r="616" spans="6:6">
      <c r="F616"/>
    </row>
    <row r="617" spans="6:6">
      <c r="F617"/>
    </row>
    <row r="618" spans="6:6">
      <c r="F618"/>
    </row>
    <row r="619" spans="6:6">
      <c r="F619"/>
    </row>
    <row r="620" spans="6:6">
      <c r="F620"/>
    </row>
    <row r="621" spans="6:6">
      <c r="F621"/>
    </row>
    <row r="622" spans="6:6">
      <c r="F622"/>
    </row>
    <row r="623" spans="6:6">
      <c r="F623"/>
    </row>
    <row r="624" spans="6:6">
      <c r="F624"/>
    </row>
    <row r="625" spans="6:6">
      <c r="F625"/>
    </row>
    <row r="626" spans="6:6">
      <c r="F626"/>
    </row>
    <row r="627" spans="6:6">
      <c r="F627"/>
    </row>
    <row r="628" spans="6:6">
      <c r="F628"/>
    </row>
    <row r="629" spans="6:6">
      <c r="F629"/>
    </row>
    <row r="630" spans="6:6">
      <c r="F630"/>
    </row>
    <row r="631" spans="6:6">
      <c r="F631"/>
    </row>
    <row r="632" spans="6:6">
      <c r="F632"/>
    </row>
    <row r="633" spans="6:6">
      <c r="F633"/>
    </row>
    <row r="634" spans="6:6">
      <c r="F634"/>
    </row>
    <row r="635" spans="6:6">
      <c r="F635"/>
    </row>
    <row r="636" spans="6:6">
      <c r="F636"/>
    </row>
    <row r="637" spans="6:6">
      <c r="F637"/>
    </row>
    <row r="638" spans="6:6">
      <c r="F638"/>
    </row>
    <row r="639" spans="6:6">
      <c r="F639"/>
    </row>
    <row r="640" spans="6:6">
      <c r="F640"/>
    </row>
    <row r="641" spans="6:6">
      <c r="F641"/>
    </row>
    <row r="642" spans="6:6">
      <c r="F642"/>
    </row>
    <row r="643" spans="6:6">
      <c r="F643"/>
    </row>
    <row r="644" spans="6:6">
      <c r="F644"/>
    </row>
    <row r="645" spans="6:6">
      <c r="F645"/>
    </row>
    <row r="646" spans="6:6">
      <c r="F646"/>
    </row>
    <row r="647" spans="6:6">
      <c r="F647"/>
    </row>
    <row r="648" spans="6:6">
      <c r="F648"/>
    </row>
    <row r="649" spans="6:6">
      <c r="F649"/>
    </row>
    <row r="650" spans="6:6">
      <c r="F650"/>
    </row>
    <row r="651" spans="6:6">
      <c r="F651"/>
    </row>
    <row r="652" spans="6:6">
      <c r="F652"/>
    </row>
    <row r="653" spans="6:6">
      <c r="F653"/>
    </row>
    <row r="654" spans="6:6">
      <c r="F654"/>
    </row>
    <row r="655" spans="6:6">
      <c r="F655"/>
    </row>
    <row r="656" spans="6:6">
      <c r="F656"/>
    </row>
    <row r="657" spans="6:6">
      <c r="F657"/>
    </row>
    <row r="658" spans="6:6">
      <c r="F658"/>
    </row>
    <row r="659" spans="6:6">
      <c r="F659"/>
    </row>
    <row r="660" spans="6:6">
      <c r="F660"/>
    </row>
    <row r="661" spans="6:6">
      <c r="F661"/>
    </row>
    <row r="662" spans="6:6">
      <c r="F662"/>
    </row>
    <row r="663" spans="6:6">
      <c r="F663"/>
    </row>
    <row r="664" spans="6:6">
      <c r="F664"/>
    </row>
    <row r="665" spans="6:6">
      <c r="F665"/>
    </row>
    <row r="666" spans="6:6">
      <c r="F666"/>
    </row>
    <row r="667" spans="6:6">
      <c r="F667"/>
    </row>
    <row r="668" spans="6:6">
      <c r="F668"/>
    </row>
    <row r="669" spans="6:6">
      <c r="F669"/>
    </row>
    <row r="670" spans="6:6">
      <c r="F670"/>
    </row>
    <row r="671" spans="6:6">
      <c r="F671"/>
    </row>
    <row r="672" spans="6:6">
      <c r="F672"/>
    </row>
    <row r="673" spans="6:6">
      <c r="F673"/>
    </row>
    <row r="674" spans="6:6">
      <c r="F674"/>
    </row>
    <row r="675" spans="6:6">
      <c r="F675"/>
    </row>
    <row r="676" spans="6:6">
      <c r="F676"/>
    </row>
    <row r="677" spans="6:6">
      <c r="F677"/>
    </row>
    <row r="678" spans="6:6">
      <c r="F678"/>
    </row>
    <row r="679" spans="6:6">
      <c r="F679"/>
    </row>
    <row r="680" spans="6:6">
      <c r="F680"/>
    </row>
    <row r="681" spans="6:6">
      <c r="F681"/>
    </row>
    <row r="682" spans="6:6">
      <c r="F682"/>
    </row>
    <row r="683" spans="6:6">
      <c r="F683"/>
    </row>
    <row r="684" spans="6:6">
      <c r="F684"/>
    </row>
    <row r="685" spans="6:6">
      <c r="F685"/>
    </row>
    <row r="686" spans="6:6">
      <c r="F686"/>
    </row>
    <row r="687" spans="6:6">
      <c r="F687"/>
    </row>
    <row r="688" spans="6:6">
      <c r="F688"/>
    </row>
    <row r="689" spans="6:6">
      <c r="F689"/>
    </row>
    <row r="690" spans="6:6">
      <c r="F690"/>
    </row>
    <row r="691" spans="6:6">
      <c r="F691"/>
    </row>
    <row r="692" spans="6:6">
      <c r="F692"/>
    </row>
    <row r="693" spans="6:6">
      <c r="F693"/>
    </row>
    <row r="694" spans="6:6">
      <c r="F694"/>
    </row>
    <row r="695" spans="6:6">
      <c r="F695"/>
    </row>
    <row r="696" spans="6:6">
      <c r="F696"/>
    </row>
    <row r="697" spans="6:6">
      <c r="F697"/>
    </row>
    <row r="698" spans="6:6">
      <c r="F698"/>
    </row>
    <row r="699" spans="6:6">
      <c r="F699"/>
    </row>
    <row r="700" spans="6:6">
      <c r="F700"/>
    </row>
    <row r="701" spans="6:6">
      <c r="F701"/>
    </row>
    <row r="702" spans="6:6">
      <c r="F702"/>
    </row>
    <row r="703" spans="6:6">
      <c r="F703"/>
    </row>
    <row r="704" spans="6:6">
      <c r="F704"/>
    </row>
    <row r="705" spans="6:6">
      <c r="F705"/>
    </row>
    <row r="706" spans="6:6">
      <c r="F706"/>
    </row>
    <row r="707" spans="6:6">
      <c r="F707"/>
    </row>
    <row r="708" spans="6:6">
      <c r="F708"/>
    </row>
    <row r="709" spans="6:6">
      <c r="F709"/>
    </row>
    <row r="710" spans="6:6">
      <c r="F710"/>
    </row>
    <row r="711" spans="6:6">
      <c r="F711"/>
    </row>
    <row r="712" spans="6:6">
      <c r="F712"/>
    </row>
    <row r="713" spans="6:6">
      <c r="F713"/>
    </row>
    <row r="714" spans="6:6">
      <c r="F714"/>
    </row>
    <row r="715" spans="6:6">
      <c r="F715"/>
    </row>
    <row r="716" spans="6:6">
      <c r="F716"/>
    </row>
    <row r="717" spans="6:6">
      <c r="F717"/>
    </row>
    <row r="718" spans="6:6">
      <c r="F718"/>
    </row>
    <row r="719" spans="6:6">
      <c r="F719"/>
    </row>
    <row r="720" spans="6:6">
      <c r="F720"/>
    </row>
    <row r="721" spans="6:6">
      <c r="F721"/>
    </row>
    <row r="722" spans="6:6">
      <c r="F722"/>
    </row>
    <row r="723" spans="6:6">
      <c r="F723"/>
    </row>
    <row r="724" spans="6:6">
      <c r="F724"/>
    </row>
    <row r="725" spans="6:6">
      <c r="F725"/>
    </row>
    <row r="726" spans="6:6">
      <c r="F726"/>
    </row>
    <row r="727" spans="6:6">
      <c r="F727"/>
    </row>
    <row r="728" spans="6:6">
      <c r="F728"/>
    </row>
    <row r="729" spans="6:6">
      <c r="F729"/>
    </row>
    <row r="730" spans="6:6">
      <c r="F730"/>
    </row>
    <row r="731" spans="6:6">
      <c r="F731"/>
    </row>
    <row r="732" spans="6:6">
      <c r="F732"/>
    </row>
    <row r="733" spans="6:6">
      <c r="F733"/>
    </row>
    <row r="734" spans="6:6">
      <c r="F734"/>
    </row>
    <row r="735" spans="6:6">
      <c r="F735"/>
    </row>
    <row r="736" spans="6:6">
      <c r="F736"/>
    </row>
    <row r="737" spans="6:6">
      <c r="F737"/>
    </row>
    <row r="738" spans="6:6">
      <c r="F738"/>
    </row>
    <row r="739" spans="6:6">
      <c r="F739"/>
    </row>
    <row r="740" spans="6:6">
      <c r="F740"/>
    </row>
    <row r="741" spans="6:6">
      <c r="F741"/>
    </row>
    <row r="742" spans="6:6">
      <c r="F742"/>
    </row>
    <row r="743" spans="6:6">
      <c r="F743"/>
    </row>
    <row r="744" spans="6:6">
      <c r="F744"/>
    </row>
    <row r="745" spans="6:6">
      <c r="F745"/>
    </row>
    <row r="746" spans="6:6">
      <c r="F746"/>
    </row>
    <row r="747" spans="6:6">
      <c r="F747"/>
    </row>
    <row r="748" spans="6:6">
      <c r="F748"/>
    </row>
    <row r="749" spans="6:6">
      <c r="F749"/>
    </row>
    <row r="750" spans="6:6">
      <c r="F750"/>
    </row>
    <row r="751" spans="6:6">
      <c r="F751"/>
    </row>
    <row r="752" spans="6:6">
      <c r="F752"/>
    </row>
    <row r="753" spans="6:6">
      <c r="F753"/>
    </row>
    <row r="754" spans="6:6">
      <c r="F754"/>
    </row>
    <row r="755" spans="6:6">
      <c r="F755"/>
    </row>
    <row r="756" spans="6:6">
      <c r="F756"/>
    </row>
    <row r="757" spans="6:6">
      <c r="F757"/>
    </row>
    <row r="758" spans="6:6">
      <c r="F758"/>
    </row>
    <row r="759" spans="6:6">
      <c r="F759"/>
    </row>
    <row r="760" spans="6:6">
      <c r="F760"/>
    </row>
    <row r="761" spans="6:6">
      <c r="F761"/>
    </row>
    <row r="762" spans="6:6">
      <c r="F762"/>
    </row>
    <row r="763" spans="6:6">
      <c r="F763"/>
    </row>
    <row r="764" spans="6:6">
      <c r="F764"/>
    </row>
    <row r="765" spans="6:6">
      <c r="F765"/>
    </row>
    <row r="766" spans="6:6">
      <c r="F766"/>
    </row>
    <row r="767" spans="6:6">
      <c r="F767"/>
    </row>
    <row r="768" spans="6:6">
      <c r="F768"/>
    </row>
    <row r="769" spans="6:6">
      <c r="F769"/>
    </row>
    <row r="770" spans="6:6">
      <c r="F770"/>
    </row>
    <row r="771" spans="6:6">
      <c r="F771"/>
    </row>
    <row r="772" spans="6:6">
      <c r="F772"/>
    </row>
    <row r="773" spans="6:6">
      <c r="F773"/>
    </row>
    <row r="774" spans="6:6">
      <c r="F774"/>
    </row>
    <row r="775" spans="6:6">
      <c r="F775"/>
    </row>
    <row r="776" spans="6:6">
      <c r="F776"/>
    </row>
    <row r="777" spans="6:6">
      <c r="F777"/>
    </row>
    <row r="778" spans="6:6">
      <c r="F778"/>
    </row>
    <row r="779" spans="6:6">
      <c r="F779"/>
    </row>
    <row r="780" spans="6:6">
      <c r="F780"/>
    </row>
    <row r="781" spans="6:6">
      <c r="F781"/>
    </row>
    <row r="782" spans="6:6">
      <c r="F782"/>
    </row>
    <row r="783" spans="6:6">
      <c r="F783"/>
    </row>
    <row r="784" spans="6:6">
      <c r="F784"/>
    </row>
    <row r="785" spans="6:6">
      <c r="F785"/>
    </row>
    <row r="786" spans="6:6">
      <c r="F786"/>
    </row>
    <row r="787" spans="6:6">
      <c r="F787"/>
    </row>
    <row r="788" spans="6:6">
      <c r="F788"/>
    </row>
    <row r="789" spans="6:6">
      <c r="F789"/>
    </row>
    <row r="790" spans="6:6">
      <c r="F790"/>
    </row>
    <row r="791" spans="6:6">
      <c r="F791"/>
    </row>
    <row r="792" spans="6:6">
      <c r="F792"/>
    </row>
    <row r="793" spans="6:6">
      <c r="F793"/>
    </row>
    <row r="794" spans="6:6">
      <c r="F794"/>
    </row>
    <row r="795" spans="6:6">
      <c r="F795"/>
    </row>
    <row r="796" spans="6:6">
      <c r="F796"/>
    </row>
    <row r="797" spans="6:6">
      <c r="F797"/>
    </row>
    <row r="798" spans="6:6">
      <c r="F798"/>
    </row>
    <row r="799" spans="6:6">
      <c r="F799"/>
    </row>
    <row r="800" spans="6:6">
      <c r="F800"/>
    </row>
    <row r="801" spans="6:6">
      <c r="F801"/>
    </row>
    <row r="802" spans="6:6">
      <c r="F802"/>
    </row>
    <row r="803" spans="6:6">
      <c r="F803"/>
    </row>
    <row r="804" spans="6:6">
      <c r="F804"/>
    </row>
  </sheetData>
  <autoFilter ref="V5:AC5" xr:uid="{66CC9721-0DBD-45C4-9223-A4D5700E40BF}">
    <sortState xmlns:xlrd2="http://schemas.microsoft.com/office/spreadsheetml/2017/richdata2" ref="V6:AC16">
      <sortCondition descending="1" ref="AA5"/>
    </sortState>
  </autoFilter>
  <mergeCells count="3">
    <mergeCell ref="AB19:AC19"/>
    <mergeCell ref="Z19:AA19"/>
    <mergeCell ref="V18:AE18"/>
  </mergeCells>
  <pageMargins left="0.51181102362204722" right="0.51181102362204722" top="0.78740157480314965" bottom="0.78740157480314965" header="0.31496062992125984" footer="0.31496062992125984"/>
  <pageSetup paperSize="9" scale="24" orientation="landscape" horizontalDpi="0" verticalDpi="0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8342-615C-4C3C-9B2D-DEEAEFD1B9E8}">
  <sheetPr codeName="Planilha8">
    <pageSetUpPr fitToPage="1"/>
  </sheetPr>
  <dimension ref="A1:O46"/>
  <sheetViews>
    <sheetView view="pageBreakPreview" zoomScale="90" zoomScaleNormal="100" zoomScaleSheetLayoutView="90" workbookViewId="0">
      <selection activeCell="I31" sqref="I31"/>
    </sheetView>
  </sheetViews>
  <sheetFormatPr defaultColWidth="9.109375" defaultRowHeight="14.4"/>
  <cols>
    <col min="1" max="1" width="12.88671875" style="10" customWidth="1"/>
    <col min="2" max="3" width="18.109375" style="10" customWidth="1"/>
    <col min="4" max="4" width="22.88671875" style="10" bestFit="1" customWidth="1"/>
    <col min="5" max="5" width="16.44140625" style="10" customWidth="1"/>
    <col min="6" max="6" width="16.109375" style="10" customWidth="1"/>
    <col min="7" max="8" width="15.109375" style="8" customWidth="1"/>
    <col min="9" max="9" width="13.33203125" style="8" customWidth="1"/>
    <col min="10" max="10" width="14.5546875" style="8" customWidth="1"/>
    <col min="11" max="16384" width="9.109375" style="8"/>
  </cols>
  <sheetData>
    <row r="1" spans="1:11" ht="15" customHeight="1">
      <c r="A1" s="327" t="s">
        <v>270</v>
      </c>
      <c r="B1" s="327"/>
      <c r="C1" s="327"/>
      <c r="D1" s="327"/>
      <c r="E1" s="327"/>
      <c r="F1" s="327"/>
      <c r="G1" s="327"/>
      <c r="H1" s="327"/>
      <c r="I1" s="327"/>
      <c r="J1" s="327"/>
      <c r="K1" s="7"/>
    </row>
    <row r="2" spans="1:11" ht="15" customHeight="1">
      <c r="A2" s="327"/>
      <c r="B2" s="327"/>
      <c r="C2" s="327"/>
      <c r="D2" s="327"/>
      <c r="E2" s="327"/>
      <c r="F2" s="327"/>
      <c r="G2" s="327"/>
      <c r="H2" s="327"/>
      <c r="I2" s="327"/>
      <c r="J2" s="327"/>
      <c r="K2" s="7"/>
    </row>
    <row r="3" spans="1:11" ht="9" customHeight="1">
      <c r="A3" s="327"/>
      <c r="B3" s="327"/>
      <c r="C3" s="327"/>
      <c r="D3" s="327"/>
      <c r="E3" s="327"/>
      <c r="F3" s="327"/>
      <c r="G3" s="327"/>
      <c r="H3" s="327"/>
      <c r="I3" s="327"/>
      <c r="J3" s="327"/>
      <c r="K3" s="7"/>
    </row>
    <row r="4" spans="1:11" ht="42.75" customHeight="1">
      <c r="A4" s="326" t="s">
        <v>271</v>
      </c>
      <c r="B4" s="328"/>
      <c r="C4" s="328"/>
      <c r="D4" s="328"/>
      <c r="E4" s="328"/>
      <c r="F4" s="328"/>
      <c r="G4" s="328"/>
      <c r="H4" s="328"/>
      <c r="I4" s="328"/>
      <c r="J4" s="328"/>
    </row>
    <row r="5" spans="1:11" ht="56.25" customHeight="1">
      <c r="A5" s="328"/>
      <c r="B5" s="328"/>
      <c r="C5" s="328"/>
      <c r="D5" s="328"/>
      <c r="E5" s="328"/>
      <c r="F5" s="328"/>
      <c r="G5" s="328"/>
      <c r="H5" s="328"/>
      <c r="I5" s="328"/>
      <c r="J5" s="328"/>
    </row>
    <row r="6" spans="1:11" ht="56.25" customHeight="1">
      <c r="A6" s="328"/>
      <c r="B6" s="328"/>
      <c r="C6" s="328"/>
      <c r="D6" s="328"/>
      <c r="E6" s="328"/>
      <c r="F6" s="328"/>
      <c r="G6" s="328"/>
      <c r="H6" s="328"/>
      <c r="I6" s="328"/>
      <c r="J6" s="328"/>
    </row>
    <row r="7" spans="1:11" ht="56.25" customHeight="1">
      <c r="A7" s="328"/>
      <c r="B7" s="328"/>
      <c r="C7" s="328"/>
      <c r="D7" s="328"/>
      <c r="E7" s="328"/>
      <c r="F7" s="328"/>
      <c r="G7" s="328"/>
      <c r="H7" s="328"/>
      <c r="I7" s="328"/>
      <c r="J7" s="328"/>
    </row>
    <row r="8" spans="1:11">
      <c r="A8" s="329" t="s">
        <v>272</v>
      </c>
      <c r="B8" s="330"/>
      <c r="C8" s="330"/>
      <c r="D8" s="330"/>
      <c r="E8" s="330"/>
      <c r="F8" s="330"/>
      <c r="G8" s="330"/>
      <c r="H8" s="330"/>
      <c r="I8" s="330"/>
      <c r="J8" s="330"/>
    </row>
    <row r="9" spans="1:11" ht="43.2">
      <c r="A9" s="9" t="s">
        <v>100</v>
      </c>
      <c r="B9" s="9" t="s">
        <v>98</v>
      </c>
      <c r="C9" s="9" t="s">
        <v>273</v>
      </c>
      <c r="D9" s="9" t="s">
        <v>274</v>
      </c>
      <c r="E9" s="9" t="s">
        <v>275</v>
      </c>
      <c r="F9" s="9" t="s">
        <v>276</v>
      </c>
      <c r="G9" s="9" t="s">
        <v>277</v>
      </c>
      <c r="H9" s="9" t="s">
        <v>278</v>
      </c>
      <c r="I9" s="9" t="s">
        <v>279</v>
      </c>
      <c r="J9" s="9" t="s">
        <v>280</v>
      </c>
    </row>
    <row r="10" spans="1:11">
      <c r="A10" s="331">
        <v>1</v>
      </c>
      <c r="B10" s="71">
        <v>45037</v>
      </c>
      <c r="C10" s="71" t="str">
        <f>TEXT(B10,"dddd")</f>
        <v>sexta-feira</v>
      </c>
      <c r="D10" s="154" t="s">
        <v>191</v>
      </c>
      <c r="E10" s="154" t="s">
        <v>281</v>
      </c>
      <c r="F10" s="154" t="s">
        <v>158</v>
      </c>
      <c r="G10" s="72">
        <v>170604</v>
      </c>
      <c r="H10" s="72">
        <f>G10+165</f>
        <v>170769</v>
      </c>
      <c r="I10" s="121"/>
      <c r="J10" s="121"/>
    </row>
    <row r="11" spans="1:11">
      <c r="A11" s="332"/>
      <c r="B11" s="71">
        <v>45038</v>
      </c>
      <c r="C11" s="71" t="str">
        <f t="shared" ref="C11:C39" si="0">TEXT(B11,"dddd")</f>
        <v>sábado</v>
      </c>
      <c r="D11" s="154" t="s">
        <v>191</v>
      </c>
      <c r="E11" s="154" t="s">
        <v>281</v>
      </c>
      <c r="F11" s="154"/>
      <c r="G11" s="72"/>
      <c r="H11" s="72"/>
      <c r="I11" s="72"/>
      <c r="J11" s="121"/>
    </row>
    <row r="12" spans="1:11">
      <c r="A12" s="332"/>
      <c r="B12" s="71">
        <v>45039</v>
      </c>
      <c r="C12" s="71" t="str">
        <f t="shared" ref="C12:C19" si="1">TEXT(B12,"dddd")</f>
        <v>domingo</v>
      </c>
      <c r="D12" s="154" t="s">
        <v>191</v>
      </c>
      <c r="E12" s="154" t="s">
        <v>281</v>
      </c>
      <c r="F12" s="154"/>
      <c r="G12" s="72"/>
      <c r="H12" s="72"/>
      <c r="I12" s="72"/>
      <c r="J12" s="121"/>
    </row>
    <row r="13" spans="1:11">
      <c r="A13" s="332"/>
      <c r="B13" s="71">
        <v>45040</v>
      </c>
      <c r="C13" s="71" t="str">
        <f t="shared" si="1"/>
        <v>segunda-feira</v>
      </c>
      <c r="D13" s="154" t="s">
        <v>191</v>
      </c>
      <c r="E13" s="154" t="s">
        <v>281</v>
      </c>
      <c r="F13" s="154" t="s">
        <v>158</v>
      </c>
      <c r="G13" s="72">
        <f>H10</f>
        <v>170769</v>
      </c>
      <c r="H13" s="72">
        <f>G13+179</f>
        <v>170948</v>
      </c>
      <c r="I13" s="72"/>
      <c r="J13" s="121"/>
    </row>
    <row r="14" spans="1:11">
      <c r="A14" s="332"/>
      <c r="B14" s="71">
        <v>45041</v>
      </c>
      <c r="C14" s="71" t="str">
        <f t="shared" si="1"/>
        <v>terça-feira</v>
      </c>
      <c r="D14" s="154" t="s">
        <v>191</v>
      </c>
      <c r="E14" s="154" t="s">
        <v>282</v>
      </c>
      <c r="F14" s="154" t="s">
        <v>158</v>
      </c>
      <c r="G14" s="72">
        <f>H13</f>
        <v>170948</v>
      </c>
      <c r="H14" s="72">
        <f>G14+179</f>
        <v>171127</v>
      </c>
      <c r="I14" s="72"/>
      <c r="J14" s="121"/>
    </row>
    <row r="15" spans="1:11">
      <c r="A15" s="332"/>
      <c r="B15" s="71">
        <v>45042</v>
      </c>
      <c r="C15" s="71" t="str">
        <f t="shared" si="1"/>
        <v>quarta-feira</v>
      </c>
      <c r="D15" s="154" t="s">
        <v>191</v>
      </c>
      <c r="E15" s="154" t="s">
        <v>282</v>
      </c>
      <c r="F15" s="154" t="s">
        <v>158</v>
      </c>
      <c r="G15" s="72">
        <f>H14</f>
        <v>171127</v>
      </c>
      <c r="H15" s="72">
        <f>G15+135</f>
        <v>171262</v>
      </c>
      <c r="I15" s="72"/>
      <c r="J15" s="121"/>
    </row>
    <row r="16" spans="1:11">
      <c r="A16" s="332">
        <v>2</v>
      </c>
      <c r="B16" s="71">
        <v>45043</v>
      </c>
      <c r="C16" s="71" t="str">
        <f t="shared" si="1"/>
        <v>quinta-feira</v>
      </c>
      <c r="D16" s="154" t="s">
        <v>191</v>
      </c>
      <c r="E16" s="154" t="s">
        <v>281</v>
      </c>
      <c r="F16" s="154" t="s">
        <v>158</v>
      </c>
      <c r="G16" s="72">
        <f>H15</f>
        <v>171262</v>
      </c>
      <c r="H16" s="72">
        <f>G16+165</f>
        <v>171427</v>
      </c>
      <c r="I16" s="72"/>
      <c r="J16" s="121"/>
    </row>
    <row r="17" spans="1:11">
      <c r="A17" s="332"/>
      <c r="B17" s="71">
        <v>45044</v>
      </c>
      <c r="C17" s="71" t="str">
        <f t="shared" si="1"/>
        <v>sexta-feira</v>
      </c>
      <c r="D17" s="154" t="s">
        <v>191</v>
      </c>
      <c r="E17" s="154" t="s">
        <v>281</v>
      </c>
      <c r="F17" s="154" t="s">
        <v>158</v>
      </c>
      <c r="G17" s="72">
        <f>H16</f>
        <v>171427</v>
      </c>
      <c r="H17" s="72">
        <f>G17+179</f>
        <v>171606</v>
      </c>
      <c r="I17" s="72"/>
      <c r="J17" s="121"/>
    </row>
    <row r="18" spans="1:11">
      <c r="A18" s="332"/>
      <c r="B18" s="71">
        <v>45045</v>
      </c>
      <c r="C18" s="71" t="str">
        <f t="shared" si="1"/>
        <v>sábado</v>
      </c>
      <c r="D18" s="154" t="s">
        <v>191</v>
      </c>
      <c r="E18" s="154" t="s">
        <v>281</v>
      </c>
      <c r="F18" s="154" t="s">
        <v>158</v>
      </c>
      <c r="G18" s="72"/>
      <c r="H18" s="72"/>
      <c r="I18" s="72"/>
      <c r="J18" s="121"/>
      <c r="K18" s="20"/>
    </row>
    <row r="19" spans="1:11">
      <c r="A19" s="332"/>
      <c r="B19" s="71">
        <v>45046</v>
      </c>
      <c r="C19" s="71" t="str">
        <f t="shared" si="1"/>
        <v>domingo</v>
      </c>
      <c r="D19" s="154" t="s">
        <v>191</v>
      </c>
      <c r="E19" s="154" t="s">
        <v>281</v>
      </c>
      <c r="F19" s="154" t="s">
        <v>158</v>
      </c>
      <c r="G19" s="72"/>
      <c r="H19" s="72"/>
      <c r="I19" s="72"/>
      <c r="J19" s="121"/>
      <c r="K19" s="20"/>
    </row>
    <row r="20" spans="1:11">
      <c r="A20" s="332"/>
      <c r="B20" s="71">
        <v>45047</v>
      </c>
      <c r="C20" s="71" t="str">
        <f t="shared" ref="C20:C25" si="2">TEXT(B20,"dddd")</f>
        <v>segunda-feira</v>
      </c>
      <c r="D20" s="154" t="s">
        <v>191</v>
      </c>
      <c r="E20" s="154" t="s">
        <v>281</v>
      </c>
      <c r="F20" s="154" t="s">
        <v>158</v>
      </c>
      <c r="G20" s="72">
        <f>H17</f>
        <v>171606</v>
      </c>
      <c r="H20" s="72">
        <f>G20+179</f>
        <v>171785</v>
      </c>
      <c r="I20" s="72"/>
      <c r="J20" s="121"/>
      <c r="K20" s="20"/>
    </row>
    <row r="21" spans="1:11">
      <c r="A21" s="332"/>
      <c r="B21" s="71">
        <v>45048</v>
      </c>
      <c r="C21" s="71" t="str">
        <f t="shared" si="2"/>
        <v>terça-feira</v>
      </c>
      <c r="D21" s="154" t="s">
        <v>191</v>
      </c>
      <c r="E21" s="154" t="s">
        <v>282</v>
      </c>
      <c r="F21" s="154" t="s">
        <v>158</v>
      </c>
      <c r="G21" s="72">
        <f>H20</f>
        <v>171785</v>
      </c>
      <c r="H21" s="72">
        <f>G21+179</f>
        <v>171964</v>
      </c>
      <c r="I21" s="72"/>
      <c r="J21" s="121"/>
      <c r="K21" s="20"/>
    </row>
    <row r="22" spans="1:11">
      <c r="A22" s="332"/>
      <c r="B22" s="71">
        <v>45049</v>
      </c>
      <c r="C22" s="71" t="str">
        <f t="shared" si="2"/>
        <v>quarta-feira</v>
      </c>
      <c r="D22" s="154" t="s">
        <v>191</v>
      </c>
      <c r="E22" s="154" t="s">
        <v>282</v>
      </c>
      <c r="F22" s="154" t="s">
        <v>158</v>
      </c>
      <c r="G22" s="72">
        <f>H21</f>
        <v>171964</v>
      </c>
      <c r="H22" s="72">
        <f>G22+135</f>
        <v>172099</v>
      </c>
      <c r="I22" s="72"/>
      <c r="J22" s="121"/>
    </row>
    <row r="23" spans="1:11">
      <c r="A23" s="332">
        <v>3</v>
      </c>
      <c r="B23" s="71">
        <v>45050</v>
      </c>
      <c r="C23" s="71" t="str">
        <f t="shared" si="2"/>
        <v>quinta-feira</v>
      </c>
      <c r="D23" s="154" t="s">
        <v>191</v>
      </c>
      <c r="E23" s="154" t="s">
        <v>281</v>
      </c>
      <c r="F23" s="154" t="s">
        <v>158</v>
      </c>
      <c r="G23" s="72">
        <f>H22</f>
        <v>172099</v>
      </c>
      <c r="H23" s="72">
        <f>G23+165</f>
        <v>172264</v>
      </c>
      <c r="I23" s="72"/>
      <c r="J23" s="121"/>
    </row>
    <row r="24" spans="1:11">
      <c r="A24" s="332"/>
      <c r="B24" s="71">
        <v>45051</v>
      </c>
      <c r="C24" s="71" t="str">
        <f t="shared" si="2"/>
        <v>sexta-feira</v>
      </c>
      <c r="D24" s="154" t="s">
        <v>191</v>
      </c>
      <c r="E24" s="154" t="s">
        <v>281</v>
      </c>
      <c r="F24" s="154" t="s">
        <v>158</v>
      </c>
      <c r="G24" s="72">
        <f>H23</f>
        <v>172264</v>
      </c>
      <c r="H24" s="72">
        <f>G24+179</f>
        <v>172443</v>
      </c>
      <c r="I24" s="72"/>
      <c r="J24" s="121"/>
    </row>
    <row r="25" spans="1:11">
      <c r="A25" s="332"/>
      <c r="B25" s="71">
        <v>45052</v>
      </c>
      <c r="C25" s="71" t="str">
        <f t="shared" si="2"/>
        <v>sábado</v>
      </c>
      <c r="D25" s="154" t="s">
        <v>191</v>
      </c>
      <c r="E25" s="154" t="s">
        <v>281</v>
      </c>
      <c r="F25" s="154" t="s">
        <v>158</v>
      </c>
      <c r="G25" s="72"/>
      <c r="H25" s="72"/>
      <c r="I25" s="72"/>
      <c r="J25" s="121"/>
    </row>
    <row r="26" spans="1:11">
      <c r="A26" s="332"/>
      <c r="B26" s="71">
        <v>45053</v>
      </c>
      <c r="C26" s="71" t="str">
        <f t="shared" si="0"/>
        <v>domingo</v>
      </c>
      <c r="D26" s="154" t="s">
        <v>191</v>
      </c>
      <c r="E26" s="154" t="s">
        <v>281</v>
      </c>
      <c r="F26" s="154" t="s">
        <v>158</v>
      </c>
      <c r="G26" s="72"/>
      <c r="H26" s="72"/>
      <c r="I26" s="72"/>
      <c r="J26" s="121"/>
    </row>
    <row r="27" spans="1:11">
      <c r="A27" s="332"/>
      <c r="B27" s="71">
        <v>45054</v>
      </c>
      <c r="C27" s="71" t="str">
        <f t="shared" si="0"/>
        <v>segunda-feira</v>
      </c>
      <c r="D27" s="154" t="s">
        <v>191</v>
      </c>
      <c r="E27" s="154" t="s">
        <v>282</v>
      </c>
      <c r="F27" s="154" t="s">
        <v>158</v>
      </c>
      <c r="G27" s="72">
        <f>H24</f>
        <v>172443</v>
      </c>
      <c r="H27" s="72">
        <f>G27+79</f>
        <v>172522</v>
      </c>
      <c r="I27" s="72"/>
      <c r="J27" s="121"/>
    </row>
    <row r="28" spans="1:11">
      <c r="A28" s="332"/>
      <c r="B28" s="71">
        <v>45055</v>
      </c>
      <c r="C28" s="71" t="str">
        <f t="shared" si="0"/>
        <v>terça-feira</v>
      </c>
      <c r="D28" s="154" t="s">
        <v>191</v>
      </c>
      <c r="E28" s="154" t="s">
        <v>282</v>
      </c>
      <c r="F28" s="154" t="s">
        <v>158</v>
      </c>
      <c r="G28" s="72">
        <f>H27</f>
        <v>172522</v>
      </c>
      <c r="H28" s="72">
        <f>G28+79</f>
        <v>172601</v>
      </c>
      <c r="I28" s="72"/>
      <c r="J28" s="121"/>
    </row>
    <row r="29" spans="1:11">
      <c r="A29" s="332"/>
      <c r="B29" s="71">
        <v>45056</v>
      </c>
      <c r="C29" s="71" t="str">
        <f t="shared" si="0"/>
        <v>quarta-feira</v>
      </c>
      <c r="D29" s="154" t="s">
        <v>191</v>
      </c>
      <c r="E29" s="154" t="s">
        <v>282</v>
      </c>
      <c r="F29" s="154" t="s">
        <v>158</v>
      </c>
      <c r="G29" s="72">
        <f>H28</f>
        <v>172601</v>
      </c>
      <c r="H29" s="72">
        <f>G29+79</f>
        <v>172680</v>
      </c>
      <c r="I29" s="72"/>
      <c r="J29" s="121"/>
    </row>
    <row r="30" spans="1:11">
      <c r="A30" s="332">
        <v>4</v>
      </c>
      <c r="B30" s="71">
        <v>45057</v>
      </c>
      <c r="C30" s="71" t="str">
        <f t="shared" si="0"/>
        <v>quinta-feira</v>
      </c>
      <c r="D30" s="154" t="s">
        <v>191</v>
      </c>
      <c r="E30" s="154" t="s">
        <v>281</v>
      </c>
      <c r="F30" s="154" t="s">
        <v>158</v>
      </c>
      <c r="G30" s="72">
        <f>H29</f>
        <v>172680</v>
      </c>
      <c r="H30" s="72">
        <f>G30+79</f>
        <v>172759</v>
      </c>
      <c r="I30" s="72"/>
      <c r="J30" s="73"/>
    </row>
    <row r="31" spans="1:11">
      <c r="A31" s="332"/>
      <c r="B31" s="71">
        <v>45058</v>
      </c>
      <c r="C31" s="71" t="str">
        <f t="shared" si="0"/>
        <v>sexta-feira</v>
      </c>
      <c r="D31" s="154" t="s">
        <v>191</v>
      </c>
      <c r="E31" s="154" t="s">
        <v>281</v>
      </c>
      <c r="F31" s="154" t="s">
        <v>158</v>
      </c>
      <c r="G31" s="72">
        <f>H30</f>
        <v>172759</v>
      </c>
      <c r="H31" s="72">
        <f>G31+79</f>
        <v>172838</v>
      </c>
      <c r="I31" s="72"/>
      <c r="J31" s="121"/>
    </row>
    <row r="32" spans="1:11">
      <c r="A32" s="332"/>
      <c r="B32" s="71">
        <v>45059</v>
      </c>
      <c r="C32" s="71" t="str">
        <f t="shared" si="0"/>
        <v>sábado</v>
      </c>
      <c r="D32" s="154" t="s">
        <v>191</v>
      </c>
      <c r="E32" s="154" t="s">
        <v>281</v>
      </c>
      <c r="F32" s="154" t="s">
        <v>158</v>
      </c>
      <c r="G32" s="72"/>
      <c r="H32" s="72"/>
      <c r="I32" s="72"/>
      <c r="J32" s="121"/>
    </row>
    <row r="33" spans="1:15">
      <c r="A33" s="332"/>
      <c r="B33" s="71">
        <v>45060</v>
      </c>
      <c r="C33" s="71" t="str">
        <f t="shared" si="0"/>
        <v>domingo</v>
      </c>
      <c r="D33" s="154" t="s">
        <v>191</v>
      </c>
      <c r="E33" s="154" t="s">
        <v>281</v>
      </c>
      <c r="F33" s="154" t="s">
        <v>158</v>
      </c>
      <c r="G33" s="72"/>
      <c r="H33" s="72"/>
      <c r="I33" s="72"/>
      <c r="J33" s="73"/>
    </row>
    <row r="34" spans="1:15">
      <c r="A34" s="332"/>
      <c r="B34" s="71">
        <v>45061</v>
      </c>
      <c r="C34" s="71" t="str">
        <f t="shared" si="0"/>
        <v>segunda-feira</v>
      </c>
      <c r="D34" s="154" t="s">
        <v>191</v>
      </c>
      <c r="E34" s="154" t="s">
        <v>281</v>
      </c>
      <c r="F34" s="154" t="s">
        <v>158</v>
      </c>
      <c r="G34" s="72">
        <f>H31</f>
        <v>172838</v>
      </c>
      <c r="H34" s="72">
        <f>G34+79</f>
        <v>172917</v>
      </c>
      <c r="I34" s="72"/>
      <c r="J34" s="73"/>
    </row>
    <row r="35" spans="1:15">
      <c r="A35" s="332"/>
      <c r="B35" s="71">
        <v>45062</v>
      </c>
      <c r="C35" s="71" t="str">
        <f t="shared" si="0"/>
        <v>terça-feira</v>
      </c>
      <c r="D35" s="154" t="s">
        <v>191</v>
      </c>
      <c r="E35" s="154" t="s">
        <v>282</v>
      </c>
      <c r="F35" s="154" t="s">
        <v>158</v>
      </c>
      <c r="G35" s="72">
        <f>H34</f>
        <v>172917</v>
      </c>
      <c r="H35" s="72">
        <f>G35+179</f>
        <v>173096</v>
      </c>
      <c r="I35" s="72"/>
      <c r="J35" s="73"/>
    </row>
    <row r="36" spans="1:15">
      <c r="A36" s="332"/>
      <c r="B36" s="71">
        <v>45063</v>
      </c>
      <c r="C36" s="71" t="str">
        <f t="shared" si="0"/>
        <v>quarta-feira</v>
      </c>
      <c r="D36" s="154" t="s">
        <v>191</v>
      </c>
      <c r="E36" s="154" t="s">
        <v>282</v>
      </c>
      <c r="F36" s="154" t="s">
        <v>158</v>
      </c>
      <c r="G36" s="72">
        <f>H35</f>
        <v>173096</v>
      </c>
      <c r="H36" s="72">
        <f>G36+75</f>
        <v>173171</v>
      </c>
      <c r="I36" s="72"/>
      <c r="J36" s="121"/>
    </row>
    <row r="37" spans="1:15">
      <c r="A37" s="332">
        <v>5</v>
      </c>
      <c r="B37" s="71">
        <v>45064</v>
      </c>
      <c r="C37" s="71" t="str">
        <f t="shared" si="0"/>
        <v>quinta-feira</v>
      </c>
      <c r="D37" s="154" t="s">
        <v>191</v>
      </c>
      <c r="E37" s="154" t="s">
        <v>281</v>
      </c>
      <c r="F37" s="154" t="s">
        <v>158</v>
      </c>
      <c r="G37" s="72">
        <f>H36</f>
        <v>173171</v>
      </c>
      <c r="H37" s="72">
        <f>G37+65</f>
        <v>173236</v>
      </c>
      <c r="I37" s="72"/>
      <c r="J37" s="121"/>
    </row>
    <row r="38" spans="1:15">
      <c r="A38" s="332"/>
      <c r="B38" s="71">
        <v>45065</v>
      </c>
      <c r="C38" s="71" t="str">
        <f t="shared" si="0"/>
        <v>sexta-feira</v>
      </c>
      <c r="D38" s="154" t="s">
        <v>191</v>
      </c>
      <c r="E38" s="154" t="s">
        <v>281</v>
      </c>
      <c r="F38" s="154" t="s">
        <v>158</v>
      </c>
      <c r="G38" s="72">
        <f>H37</f>
        <v>173236</v>
      </c>
      <c r="H38" s="72">
        <f>G38+75</f>
        <v>173311</v>
      </c>
      <c r="I38" s="72"/>
      <c r="J38" s="121"/>
      <c r="K38" s="76"/>
      <c r="L38" s="10"/>
      <c r="M38" s="10"/>
      <c r="N38" s="10"/>
      <c r="O38" s="10"/>
    </row>
    <row r="39" spans="1:15">
      <c r="A39" s="332"/>
      <c r="B39" s="71">
        <v>45066</v>
      </c>
      <c r="C39" s="71" t="str">
        <f t="shared" si="0"/>
        <v>sábado</v>
      </c>
      <c r="D39" s="154" t="s">
        <v>191</v>
      </c>
      <c r="E39" s="154" t="s">
        <v>281</v>
      </c>
      <c r="F39" s="154" t="s">
        <v>158</v>
      </c>
      <c r="G39" s="72"/>
      <c r="H39" s="72"/>
      <c r="I39" s="72"/>
      <c r="J39" s="121"/>
      <c r="K39" s="76"/>
      <c r="L39" s="10"/>
      <c r="M39" s="10"/>
      <c r="N39" s="10"/>
      <c r="O39" s="10"/>
    </row>
    <row r="40" spans="1:15">
      <c r="A40" s="333"/>
      <c r="B40" s="71"/>
      <c r="C40" s="71"/>
      <c r="D40" s="154"/>
      <c r="E40" s="154"/>
      <c r="F40" s="154"/>
      <c r="G40" s="72"/>
      <c r="H40" s="72"/>
      <c r="I40" s="72"/>
      <c r="J40" s="121"/>
    </row>
    <row r="41" spans="1:15">
      <c r="A41" s="36"/>
      <c r="B41" s="37"/>
      <c r="C41" s="37"/>
      <c r="D41" s="218"/>
      <c r="E41" s="218"/>
      <c r="F41" s="218"/>
      <c r="G41" s="36"/>
      <c r="H41" s="36"/>
      <c r="I41" s="36"/>
      <c r="J41" s="36"/>
    </row>
    <row r="42" spans="1:15" ht="15" customHeight="1">
      <c r="A42" s="326" t="s">
        <v>283</v>
      </c>
      <c r="B42" s="326"/>
      <c r="C42" s="326"/>
      <c r="D42" s="326"/>
      <c r="E42" s="326"/>
    </row>
    <row r="43" spans="1:15">
      <c r="A43" s="326"/>
      <c r="B43" s="326"/>
      <c r="C43" s="326"/>
      <c r="D43" s="326"/>
      <c r="E43" s="326"/>
    </row>
    <row r="44" spans="1:15">
      <c r="A44" s="326"/>
      <c r="B44" s="326"/>
      <c r="C44" s="326"/>
      <c r="D44" s="326"/>
      <c r="E44" s="326"/>
    </row>
    <row r="45" spans="1:15" s="10" customFormat="1">
      <c r="A45" s="326"/>
      <c r="B45" s="326"/>
      <c r="C45" s="326"/>
      <c r="D45" s="326"/>
      <c r="E45" s="326"/>
      <c r="G45" s="8"/>
      <c r="H45" s="8"/>
      <c r="I45" s="8"/>
      <c r="J45" s="8"/>
      <c r="K45" s="75" t="s">
        <v>284</v>
      </c>
      <c r="L45" s="75" t="s">
        <v>285</v>
      </c>
      <c r="M45" s="75" t="s">
        <v>228</v>
      </c>
      <c r="N45" s="75" t="s">
        <v>286</v>
      </c>
      <c r="O45" s="75" t="s">
        <v>287</v>
      </c>
    </row>
    <row r="46" spans="1:15">
      <c r="K46" s="10">
        <v>170604</v>
      </c>
      <c r="L46" s="10">
        <v>173311</v>
      </c>
      <c r="M46" s="10">
        <f>L46-K46</f>
        <v>2707</v>
      </c>
      <c r="N46" s="10">
        <v>21</v>
      </c>
      <c r="O46" s="10">
        <f>M46/N46</f>
        <v>128.9047619047619</v>
      </c>
    </row>
  </sheetData>
  <mergeCells count="9">
    <mergeCell ref="A42:E45"/>
    <mergeCell ref="A1:J3"/>
    <mergeCell ref="A4:J7"/>
    <mergeCell ref="A8:J8"/>
    <mergeCell ref="A10:A15"/>
    <mergeCell ref="A16:A22"/>
    <mergeCell ref="A23:A29"/>
    <mergeCell ref="A30:A36"/>
    <mergeCell ref="A37:A40"/>
  </mergeCells>
  <phoneticPr fontId="42" type="noConversion"/>
  <pageMargins left="0.51181102362204722" right="0.51181102362204722" top="0.78740157480314965" bottom="0.78740157480314965" header="0.31496062992125984" footer="0.31496062992125984"/>
  <pageSetup paperSize="9" scale="57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46BA-C343-42FA-BC7B-7004ED6E8932}">
  <sheetPr codeName="Planilha3">
    <pageSetUpPr fitToPage="1"/>
  </sheetPr>
  <dimension ref="A1:O45"/>
  <sheetViews>
    <sheetView view="pageBreakPreview" topLeftCell="A17" zoomScale="90" zoomScaleNormal="100" zoomScaleSheetLayoutView="90" workbookViewId="0">
      <selection activeCell="I31" sqref="I31"/>
    </sheetView>
  </sheetViews>
  <sheetFormatPr defaultColWidth="9.109375" defaultRowHeight="14.4"/>
  <cols>
    <col min="1" max="1" width="8.88671875" style="10" bestFit="1" customWidth="1"/>
    <col min="2" max="2" width="18.109375" style="10" customWidth="1"/>
    <col min="3" max="3" width="13.44140625" style="10" bestFit="1" customWidth="1"/>
    <col min="4" max="4" width="22.88671875" style="10" bestFit="1" customWidth="1"/>
    <col min="5" max="5" width="16.44140625" style="10" customWidth="1"/>
    <col min="6" max="6" width="16.109375" style="10" customWidth="1"/>
    <col min="7" max="8" width="15.109375" style="8" customWidth="1"/>
    <col min="9" max="9" width="13.33203125" style="8" customWidth="1"/>
    <col min="10" max="10" width="14.5546875" style="8" customWidth="1"/>
    <col min="11" max="16384" width="9.109375" style="8"/>
  </cols>
  <sheetData>
    <row r="1" spans="1:11" ht="15" customHeight="1">
      <c r="A1" s="327" t="s">
        <v>288</v>
      </c>
      <c r="B1" s="327"/>
      <c r="C1" s="327"/>
      <c r="D1" s="327"/>
      <c r="E1" s="327"/>
      <c r="F1" s="327"/>
      <c r="G1" s="327"/>
      <c r="H1" s="327"/>
      <c r="I1" s="327"/>
      <c r="J1" s="327"/>
      <c r="K1" s="7"/>
    </row>
    <row r="2" spans="1:11" ht="15" customHeight="1">
      <c r="A2" s="327"/>
      <c r="B2" s="327"/>
      <c r="C2" s="327"/>
      <c r="D2" s="327"/>
      <c r="E2" s="327"/>
      <c r="F2" s="327"/>
      <c r="G2" s="327"/>
      <c r="H2" s="327"/>
      <c r="I2" s="327"/>
      <c r="J2" s="327"/>
      <c r="K2" s="7"/>
    </row>
    <row r="3" spans="1:11" ht="9" customHeight="1">
      <c r="A3" s="327"/>
      <c r="B3" s="327"/>
      <c r="C3" s="327"/>
      <c r="D3" s="327"/>
      <c r="E3" s="327"/>
      <c r="F3" s="327"/>
      <c r="G3" s="327"/>
      <c r="H3" s="327"/>
      <c r="I3" s="327"/>
      <c r="J3" s="327"/>
      <c r="K3" s="7"/>
    </row>
    <row r="4" spans="1:11" ht="42.75" customHeight="1">
      <c r="A4" s="326" t="s">
        <v>289</v>
      </c>
      <c r="B4" s="328"/>
      <c r="C4" s="328"/>
      <c r="D4" s="328"/>
      <c r="E4" s="328"/>
      <c r="F4" s="328"/>
      <c r="G4" s="328"/>
      <c r="H4" s="328"/>
      <c r="I4" s="328"/>
      <c r="J4" s="328"/>
    </row>
    <row r="5" spans="1:11" ht="56.25" customHeight="1">
      <c r="A5" s="328"/>
      <c r="B5" s="328"/>
      <c r="C5" s="328"/>
      <c r="D5" s="328"/>
      <c r="E5" s="328"/>
      <c r="F5" s="328"/>
      <c r="G5" s="328"/>
      <c r="H5" s="328"/>
      <c r="I5" s="328"/>
      <c r="J5" s="328"/>
    </row>
    <row r="6" spans="1:11" ht="56.25" customHeight="1">
      <c r="A6" s="328"/>
      <c r="B6" s="328"/>
      <c r="C6" s="328"/>
      <c r="D6" s="328"/>
      <c r="E6" s="328"/>
      <c r="F6" s="328"/>
      <c r="G6" s="328"/>
      <c r="H6" s="328"/>
      <c r="I6" s="328"/>
      <c r="J6" s="328"/>
    </row>
    <row r="7" spans="1:11" ht="56.25" customHeight="1">
      <c r="A7" s="328"/>
      <c r="B7" s="328"/>
      <c r="C7" s="328"/>
      <c r="D7" s="328"/>
      <c r="E7" s="328"/>
      <c r="F7" s="328"/>
      <c r="G7" s="328"/>
      <c r="H7" s="328"/>
      <c r="I7" s="328"/>
      <c r="J7" s="328"/>
    </row>
    <row r="8" spans="1:11">
      <c r="A8" s="329" t="s">
        <v>272</v>
      </c>
      <c r="B8" s="330"/>
      <c r="C8" s="330"/>
      <c r="D8" s="330"/>
      <c r="E8" s="330"/>
      <c r="F8" s="330"/>
      <c r="G8" s="330"/>
      <c r="H8" s="330"/>
      <c r="I8" s="330"/>
      <c r="J8" s="330"/>
    </row>
    <row r="9" spans="1:11" ht="43.2">
      <c r="A9" s="9" t="s">
        <v>100</v>
      </c>
      <c r="B9" s="9" t="s">
        <v>98</v>
      </c>
      <c r="C9" s="9" t="s">
        <v>273</v>
      </c>
      <c r="D9" s="9" t="s">
        <v>274</v>
      </c>
      <c r="E9" s="9" t="s">
        <v>275</v>
      </c>
      <c r="F9" s="9" t="s">
        <v>276</v>
      </c>
      <c r="G9" s="9" t="s">
        <v>277</v>
      </c>
      <c r="H9" s="9" t="s">
        <v>278</v>
      </c>
      <c r="I9" s="9" t="s">
        <v>279</v>
      </c>
      <c r="J9" s="9" t="s">
        <v>280</v>
      </c>
    </row>
    <row r="10" spans="1:11">
      <c r="A10" s="334"/>
      <c r="B10" s="71">
        <v>45037</v>
      </c>
      <c r="C10" s="71" t="str">
        <f>TEXT(B10,"dddd")</f>
        <v>sexta-feira</v>
      </c>
      <c r="D10" s="219" t="s">
        <v>144</v>
      </c>
      <c r="E10" s="154" t="s">
        <v>281</v>
      </c>
      <c r="F10" s="154" t="s">
        <v>290</v>
      </c>
      <c r="G10" s="72">
        <v>135082</v>
      </c>
      <c r="H10" s="72">
        <f>G10+191</f>
        <v>135273</v>
      </c>
      <c r="I10" s="122"/>
      <c r="J10" s="122"/>
    </row>
    <row r="11" spans="1:11">
      <c r="A11" s="335"/>
      <c r="B11" s="71">
        <v>45038</v>
      </c>
      <c r="C11" s="71" t="str">
        <f t="shared" ref="C11:C39" si="0">TEXT(B11,"dddd")</f>
        <v>sábado</v>
      </c>
      <c r="D11" s="219" t="s">
        <v>144</v>
      </c>
      <c r="E11" s="154" t="s">
        <v>281</v>
      </c>
      <c r="F11" s="154" t="s">
        <v>290</v>
      </c>
      <c r="G11" s="72"/>
      <c r="H11" s="72"/>
      <c r="I11" s="122"/>
      <c r="J11" s="122"/>
    </row>
    <row r="12" spans="1:11">
      <c r="A12" s="335"/>
      <c r="B12" s="71">
        <v>45039</v>
      </c>
      <c r="C12" s="71" t="str">
        <f t="shared" si="0"/>
        <v>domingo</v>
      </c>
      <c r="D12" s="219" t="s">
        <v>144</v>
      </c>
      <c r="E12" s="154" t="s">
        <v>281</v>
      </c>
      <c r="F12" s="154" t="s">
        <v>290</v>
      </c>
      <c r="G12" s="72"/>
      <c r="H12" s="72"/>
      <c r="I12" s="121"/>
      <c r="J12" s="121"/>
    </row>
    <row r="13" spans="1:11">
      <c r="A13" s="335"/>
      <c r="B13" s="71">
        <v>45040</v>
      </c>
      <c r="C13" s="71" t="str">
        <f t="shared" si="0"/>
        <v>segunda-feira</v>
      </c>
      <c r="D13" s="219" t="s">
        <v>144</v>
      </c>
      <c r="E13" s="154" t="s">
        <v>281</v>
      </c>
      <c r="F13" s="154" t="s">
        <v>290</v>
      </c>
      <c r="G13" s="72">
        <f>H10</f>
        <v>135273</v>
      </c>
      <c r="H13" s="72">
        <f>G13+198</f>
        <v>135471</v>
      </c>
      <c r="I13" s="121"/>
      <c r="J13" s="121"/>
    </row>
    <row r="14" spans="1:11">
      <c r="A14" s="335"/>
      <c r="B14" s="71">
        <v>45041</v>
      </c>
      <c r="C14" s="71" t="str">
        <f t="shared" si="0"/>
        <v>terça-feira</v>
      </c>
      <c r="D14" s="219" t="s">
        <v>144</v>
      </c>
      <c r="E14" s="154" t="s">
        <v>282</v>
      </c>
      <c r="F14" s="154" t="s">
        <v>290</v>
      </c>
      <c r="G14" s="72">
        <f>H13</f>
        <v>135471</v>
      </c>
      <c r="H14" s="72">
        <f>G14+210</f>
        <v>135681</v>
      </c>
      <c r="I14" s="121"/>
      <c r="J14" s="121"/>
    </row>
    <row r="15" spans="1:11">
      <c r="A15" s="335"/>
      <c r="B15" s="71">
        <v>45042</v>
      </c>
      <c r="C15" s="71" t="str">
        <f t="shared" si="0"/>
        <v>quarta-feira</v>
      </c>
      <c r="D15" s="219" t="s">
        <v>144</v>
      </c>
      <c r="E15" s="154" t="s">
        <v>282</v>
      </c>
      <c r="F15" s="154" t="s">
        <v>290</v>
      </c>
      <c r="G15" s="72">
        <f>H14</f>
        <v>135681</v>
      </c>
      <c r="H15" s="72">
        <f>G15+198</f>
        <v>135879</v>
      </c>
      <c r="I15" s="121"/>
      <c r="J15" s="121"/>
    </row>
    <row r="16" spans="1:11">
      <c r="A16" s="335"/>
      <c r="B16" s="71">
        <v>45043</v>
      </c>
      <c r="C16" s="71" t="str">
        <f t="shared" si="0"/>
        <v>quinta-feira</v>
      </c>
      <c r="D16" s="219" t="s">
        <v>144</v>
      </c>
      <c r="E16" s="154" t="s">
        <v>282</v>
      </c>
      <c r="F16" s="154" t="s">
        <v>290</v>
      </c>
      <c r="G16" s="72">
        <f>H15</f>
        <v>135879</v>
      </c>
      <c r="H16" s="72">
        <f>G16+121</f>
        <v>136000</v>
      </c>
      <c r="I16" s="121"/>
      <c r="J16" s="121"/>
    </row>
    <row r="17" spans="1:11">
      <c r="A17" s="335"/>
      <c r="B17" s="71">
        <v>45044</v>
      </c>
      <c r="C17" s="71" t="str">
        <f t="shared" si="0"/>
        <v>sexta-feira</v>
      </c>
      <c r="D17" s="219" t="s">
        <v>144</v>
      </c>
      <c r="E17" s="154" t="s">
        <v>282</v>
      </c>
      <c r="F17" s="154" t="s">
        <v>290</v>
      </c>
      <c r="G17" s="72">
        <f>H16</f>
        <v>136000</v>
      </c>
      <c r="H17" s="72">
        <f>G17+191</f>
        <v>136191</v>
      </c>
      <c r="I17" s="121"/>
      <c r="J17" s="121"/>
    </row>
    <row r="18" spans="1:11">
      <c r="A18" s="335"/>
      <c r="B18" s="71">
        <v>45045</v>
      </c>
      <c r="C18" s="71" t="str">
        <f t="shared" si="0"/>
        <v>sábado</v>
      </c>
      <c r="D18" s="219" t="s">
        <v>144</v>
      </c>
      <c r="E18" s="154" t="s">
        <v>281</v>
      </c>
      <c r="F18" s="154" t="s">
        <v>290</v>
      </c>
      <c r="G18" s="72"/>
      <c r="H18" s="72"/>
      <c r="I18" s="121"/>
      <c r="J18" s="121"/>
    </row>
    <row r="19" spans="1:11">
      <c r="A19" s="335"/>
      <c r="B19" s="71">
        <v>45046</v>
      </c>
      <c r="C19" s="71" t="str">
        <f t="shared" si="0"/>
        <v>domingo</v>
      </c>
      <c r="D19" s="219" t="s">
        <v>144</v>
      </c>
      <c r="E19" s="154" t="s">
        <v>281</v>
      </c>
      <c r="F19" s="154" t="s">
        <v>290</v>
      </c>
      <c r="G19" s="72"/>
      <c r="H19" s="72"/>
      <c r="I19" s="121"/>
      <c r="J19" s="121"/>
      <c r="K19" s="20"/>
    </row>
    <row r="20" spans="1:11">
      <c r="A20" s="335"/>
      <c r="B20" s="71">
        <v>45047</v>
      </c>
      <c r="C20" s="71" t="str">
        <f t="shared" si="0"/>
        <v>segunda-feira</v>
      </c>
      <c r="D20" s="219" t="s">
        <v>144</v>
      </c>
      <c r="E20" s="154" t="s">
        <v>281</v>
      </c>
      <c r="F20" s="154" t="s">
        <v>290</v>
      </c>
      <c r="G20" s="72">
        <f>H17</f>
        <v>136191</v>
      </c>
      <c r="H20" s="72">
        <f>G20+121</f>
        <v>136312</v>
      </c>
      <c r="I20" s="121"/>
      <c r="J20" s="121"/>
      <c r="K20" s="20"/>
    </row>
    <row r="21" spans="1:11">
      <c r="A21" s="335"/>
      <c r="B21" s="71">
        <v>45048</v>
      </c>
      <c r="C21" s="71" t="str">
        <f t="shared" si="0"/>
        <v>terça-feira</v>
      </c>
      <c r="D21" s="219" t="s">
        <v>144</v>
      </c>
      <c r="E21" s="154" t="s">
        <v>281</v>
      </c>
      <c r="F21" s="154" t="s">
        <v>290</v>
      </c>
      <c r="G21" s="72">
        <f>H20</f>
        <v>136312</v>
      </c>
      <c r="H21" s="72">
        <f>G21+96</f>
        <v>136408</v>
      </c>
      <c r="I21" s="121"/>
      <c r="J21" s="121"/>
      <c r="K21" s="20"/>
    </row>
    <row r="22" spans="1:11">
      <c r="A22" s="335"/>
      <c r="B22" s="71">
        <v>45049</v>
      </c>
      <c r="C22" s="71" t="str">
        <f t="shared" si="0"/>
        <v>quarta-feira</v>
      </c>
      <c r="D22" s="219" t="s">
        <v>144</v>
      </c>
      <c r="E22" s="154" t="s">
        <v>282</v>
      </c>
      <c r="F22" s="154" t="s">
        <v>290</v>
      </c>
      <c r="G22" s="72">
        <f>H21</f>
        <v>136408</v>
      </c>
      <c r="H22" s="72">
        <f>G22+191</f>
        <v>136599</v>
      </c>
      <c r="I22" s="121"/>
      <c r="J22" s="121"/>
    </row>
    <row r="23" spans="1:11">
      <c r="A23" s="335"/>
      <c r="B23" s="71">
        <v>45050</v>
      </c>
      <c r="C23" s="71" t="str">
        <f t="shared" si="0"/>
        <v>quinta-feira</v>
      </c>
      <c r="D23" s="219" t="s">
        <v>144</v>
      </c>
      <c r="E23" s="154" t="s">
        <v>281</v>
      </c>
      <c r="F23" s="154" t="s">
        <v>290</v>
      </c>
      <c r="G23" s="72">
        <f>H22</f>
        <v>136599</v>
      </c>
      <c r="H23" s="72">
        <f>G23+121</f>
        <v>136720</v>
      </c>
      <c r="I23" s="121"/>
      <c r="J23" s="121"/>
    </row>
    <row r="24" spans="1:11">
      <c r="A24" s="335"/>
      <c r="B24" s="71">
        <v>45051</v>
      </c>
      <c r="C24" s="71" t="str">
        <f t="shared" si="0"/>
        <v>sexta-feira</v>
      </c>
      <c r="D24" s="219" t="s">
        <v>144</v>
      </c>
      <c r="E24" s="154" t="s">
        <v>281</v>
      </c>
      <c r="F24" s="154" t="s">
        <v>290</v>
      </c>
      <c r="G24" s="72">
        <f>H23</f>
        <v>136720</v>
      </c>
      <c r="H24" s="72">
        <f>G24+96</f>
        <v>136816</v>
      </c>
      <c r="I24" s="121"/>
      <c r="J24" s="121"/>
    </row>
    <row r="25" spans="1:11">
      <c r="A25" s="335"/>
      <c r="B25" s="71">
        <v>45052</v>
      </c>
      <c r="C25" s="71" t="str">
        <f t="shared" si="0"/>
        <v>sábado</v>
      </c>
      <c r="D25" s="219" t="s">
        <v>144</v>
      </c>
      <c r="E25" s="154" t="s">
        <v>281</v>
      </c>
      <c r="F25" s="154" t="s">
        <v>290</v>
      </c>
      <c r="G25" s="72"/>
      <c r="H25" s="72"/>
      <c r="I25" s="121"/>
      <c r="J25" s="121"/>
    </row>
    <row r="26" spans="1:11">
      <c r="A26" s="335"/>
      <c r="B26" s="71">
        <v>45053</v>
      </c>
      <c r="C26" s="71" t="str">
        <f t="shared" si="0"/>
        <v>domingo</v>
      </c>
      <c r="D26" s="219" t="s">
        <v>144</v>
      </c>
      <c r="E26" s="154" t="s">
        <v>281</v>
      </c>
      <c r="F26" s="154" t="s">
        <v>290</v>
      </c>
      <c r="G26" s="72"/>
      <c r="H26" s="72"/>
      <c r="I26" s="121"/>
      <c r="J26" s="121"/>
    </row>
    <row r="27" spans="1:11">
      <c r="A27" s="335"/>
      <c r="B27" s="71">
        <v>45054</v>
      </c>
      <c r="C27" s="71" t="str">
        <f t="shared" si="0"/>
        <v>segunda-feira</v>
      </c>
      <c r="D27" s="219" t="s">
        <v>144</v>
      </c>
      <c r="E27" s="154" t="s">
        <v>281</v>
      </c>
      <c r="F27" s="154" t="s">
        <v>290</v>
      </c>
      <c r="G27" s="72">
        <f>H24</f>
        <v>136816</v>
      </c>
      <c r="H27" s="72">
        <f>G27+191</f>
        <v>137007</v>
      </c>
      <c r="I27" s="121"/>
      <c r="J27" s="121"/>
    </row>
    <row r="28" spans="1:11">
      <c r="A28" s="335"/>
      <c r="B28" s="71">
        <v>45055</v>
      </c>
      <c r="C28" s="71" t="str">
        <f t="shared" si="0"/>
        <v>terça-feira</v>
      </c>
      <c r="D28" s="219" t="s">
        <v>144</v>
      </c>
      <c r="E28" s="154" t="s">
        <v>281</v>
      </c>
      <c r="F28" s="154" t="s">
        <v>290</v>
      </c>
      <c r="G28" s="72">
        <f>H27</f>
        <v>137007</v>
      </c>
      <c r="H28" s="72">
        <f>G28+191</f>
        <v>137198</v>
      </c>
      <c r="I28" s="121"/>
      <c r="J28" s="121"/>
    </row>
    <row r="29" spans="1:11">
      <c r="A29" s="335"/>
      <c r="B29" s="71">
        <v>45056</v>
      </c>
      <c r="C29" s="71" t="str">
        <f t="shared" si="0"/>
        <v>quarta-feira</v>
      </c>
      <c r="D29" s="219" t="s">
        <v>144</v>
      </c>
      <c r="E29" s="154" t="s">
        <v>282</v>
      </c>
      <c r="F29" s="154" t="s">
        <v>290</v>
      </c>
      <c r="G29" s="72">
        <f>H28</f>
        <v>137198</v>
      </c>
      <c r="H29" s="72">
        <f>G29+235</f>
        <v>137433</v>
      </c>
      <c r="I29" s="121"/>
      <c r="J29" s="121"/>
    </row>
    <row r="30" spans="1:11">
      <c r="A30" s="335"/>
      <c r="B30" s="71">
        <v>45057</v>
      </c>
      <c r="C30" s="71" t="str">
        <f t="shared" si="0"/>
        <v>quinta-feira</v>
      </c>
      <c r="D30" s="219" t="s">
        <v>144</v>
      </c>
      <c r="E30" s="154" t="s">
        <v>281</v>
      </c>
      <c r="F30" s="154" t="s">
        <v>290</v>
      </c>
      <c r="G30" s="72">
        <f>H29</f>
        <v>137433</v>
      </c>
      <c r="H30" s="72">
        <f>G30+99</f>
        <v>137532</v>
      </c>
      <c r="I30" s="121"/>
      <c r="J30" s="121"/>
    </row>
    <row r="31" spans="1:11">
      <c r="A31" s="335"/>
      <c r="B31" s="71">
        <v>45058</v>
      </c>
      <c r="C31" s="71" t="str">
        <f t="shared" si="0"/>
        <v>sexta-feira</v>
      </c>
      <c r="D31" s="219" t="s">
        <v>144</v>
      </c>
      <c r="E31" s="154" t="s">
        <v>281</v>
      </c>
      <c r="F31" s="154" t="s">
        <v>290</v>
      </c>
      <c r="G31" s="72">
        <f>H30</f>
        <v>137532</v>
      </c>
      <c r="H31" s="72">
        <f>G31+99</f>
        <v>137631</v>
      </c>
      <c r="I31" s="121"/>
      <c r="J31" s="121"/>
    </row>
    <row r="32" spans="1:11">
      <c r="A32" s="335"/>
      <c r="B32" s="71">
        <v>45059</v>
      </c>
      <c r="C32" s="71" t="str">
        <f t="shared" si="0"/>
        <v>sábado</v>
      </c>
      <c r="D32" s="219" t="s">
        <v>144</v>
      </c>
      <c r="E32" s="154" t="s">
        <v>281</v>
      </c>
      <c r="F32" s="154" t="s">
        <v>290</v>
      </c>
      <c r="G32" s="72"/>
      <c r="H32" s="72"/>
      <c r="I32" s="121"/>
      <c r="J32" s="121"/>
    </row>
    <row r="33" spans="1:15">
      <c r="A33" s="335"/>
      <c r="B33" s="71">
        <v>45060</v>
      </c>
      <c r="C33" s="71" t="str">
        <f t="shared" si="0"/>
        <v>domingo</v>
      </c>
      <c r="D33" s="219" t="s">
        <v>144</v>
      </c>
      <c r="E33" s="154" t="s">
        <v>281</v>
      </c>
      <c r="F33" s="154" t="s">
        <v>290</v>
      </c>
      <c r="G33" s="72"/>
      <c r="H33" s="72"/>
      <c r="I33" s="73"/>
      <c r="J33" s="73"/>
    </row>
    <row r="34" spans="1:15">
      <c r="A34" s="335"/>
      <c r="B34" s="71">
        <v>45061</v>
      </c>
      <c r="C34" s="71" t="str">
        <f t="shared" si="0"/>
        <v>segunda-feira</v>
      </c>
      <c r="D34" s="219" t="s">
        <v>144</v>
      </c>
      <c r="E34" s="154" t="s">
        <v>281</v>
      </c>
      <c r="F34" s="154" t="s">
        <v>290</v>
      </c>
      <c r="G34" s="72">
        <f>H31</f>
        <v>137631</v>
      </c>
      <c r="H34" s="72">
        <f>G34+121</f>
        <v>137752</v>
      </c>
      <c r="I34" s="121"/>
      <c r="J34" s="121"/>
    </row>
    <row r="35" spans="1:15">
      <c r="A35" s="335"/>
      <c r="B35" s="71">
        <v>45062</v>
      </c>
      <c r="C35" s="71" t="str">
        <f t="shared" si="0"/>
        <v>terça-feira</v>
      </c>
      <c r="D35" s="219" t="s">
        <v>144</v>
      </c>
      <c r="E35" s="154" t="s">
        <v>282</v>
      </c>
      <c r="F35" s="154" t="s">
        <v>290</v>
      </c>
      <c r="G35" s="72">
        <f>H34</f>
        <v>137752</v>
      </c>
      <c r="H35" s="72">
        <f>G35+96</f>
        <v>137848</v>
      </c>
      <c r="I35" s="121"/>
      <c r="J35" s="121"/>
    </row>
    <row r="36" spans="1:15">
      <c r="A36" s="335"/>
      <c r="B36" s="71">
        <v>45063</v>
      </c>
      <c r="C36" s="71" t="str">
        <f t="shared" si="0"/>
        <v>quarta-feira</v>
      </c>
      <c r="D36" s="219" t="s">
        <v>144</v>
      </c>
      <c r="E36" s="154" t="s">
        <v>282</v>
      </c>
      <c r="F36" s="154" t="s">
        <v>290</v>
      </c>
      <c r="G36" s="72">
        <f>H35</f>
        <v>137848</v>
      </c>
      <c r="H36" s="72">
        <f>G36+191</f>
        <v>138039</v>
      </c>
      <c r="I36" s="73"/>
      <c r="J36" s="73"/>
    </row>
    <row r="37" spans="1:15">
      <c r="A37" s="335"/>
      <c r="B37" s="71">
        <v>45064</v>
      </c>
      <c r="C37" s="71" t="str">
        <f t="shared" si="0"/>
        <v>quinta-feira</v>
      </c>
      <c r="D37" s="219" t="s">
        <v>144</v>
      </c>
      <c r="E37" s="154" t="s">
        <v>282</v>
      </c>
      <c r="F37" s="154" t="s">
        <v>290</v>
      </c>
      <c r="G37" s="72">
        <f>H36</f>
        <v>138039</v>
      </c>
      <c r="H37" s="72">
        <f>G37+121</f>
        <v>138160</v>
      </c>
      <c r="I37" s="121"/>
      <c r="J37" s="121"/>
    </row>
    <row r="38" spans="1:15">
      <c r="A38" s="335"/>
      <c r="B38" s="71">
        <v>45065</v>
      </c>
      <c r="C38" s="71" t="str">
        <f t="shared" si="0"/>
        <v>sexta-feira</v>
      </c>
      <c r="D38" s="219" t="s">
        <v>144</v>
      </c>
      <c r="E38" s="154" t="s">
        <v>282</v>
      </c>
      <c r="F38" s="154" t="s">
        <v>290</v>
      </c>
      <c r="G38" s="72">
        <f>H37</f>
        <v>138160</v>
      </c>
      <c r="H38" s="72">
        <f>G38+96</f>
        <v>138256</v>
      </c>
      <c r="I38" s="121"/>
      <c r="J38" s="121"/>
    </row>
    <row r="39" spans="1:15">
      <c r="A39" s="335"/>
      <c r="B39" s="71">
        <v>45066</v>
      </c>
      <c r="C39" s="71" t="str">
        <f t="shared" si="0"/>
        <v>sábado</v>
      </c>
      <c r="D39" s="219" t="s">
        <v>144</v>
      </c>
      <c r="E39" s="154" t="s">
        <v>281</v>
      </c>
      <c r="F39" s="154" t="s">
        <v>290</v>
      </c>
      <c r="G39" s="72"/>
      <c r="H39" s="72"/>
      <c r="I39" s="121"/>
      <c r="J39" s="121"/>
    </row>
    <row r="40" spans="1:15">
      <c r="A40" s="336"/>
      <c r="B40" s="71"/>
      <c r="C40" s="71"/>
      <c r="D40" s="219"/>
      <c r="E40" s="154"/>
      <c r="F40" s="154"/>
      <c r="G40" s="72"/>
      <c r="H40" s="72"/>
      <c r="I40" s="121"/>
      <c r="J40" s="121"/>
      <c r="K40" s="10"/>
      <c r="L40" s="10"/>
      <c r="M40" s="10"/>
      <c r="N40" s="10"/>
      <c r="O40" s="10"/>
    </row>
    <row r="41" spans="1:15">
      <c r="A41" s="36"/>
      <c r="B41" s="37"/>
      <c r="C41" s="37"/>
      <c r="D41" s="218"/>
      <c r="E41" s="218"/>
      <c r="F41" s="218"/>
      <c r="G41" s="36"/>
      <c r="H41" s="36"/>
      <c r="I41" s="36"/>
      <c r="J41" s="36"/>
      <c r="K41" s="220"/>
      <c r="L41" s="220"/>
      <c r="M41" s="220"/>
      <c r="N41" s="220"/>
      <c r="O41" s="220"/>
    </row>
    <row r="42" spans="1:15">
      <c r="A42" s="326" t="s">
        <v>283</v>
      </c>
      <c r="B42" s="328"/>
      <c r="C42" s="328"/>
      <c r="D42" s="328"/>
      <c r="E42" s="328"/>
      <c r="K42" s="10"/>
      <c r="L42" s="10"/>
      <c r="M42" s="10"/>
      <c r="N42" s="10"/>
      <c r="O42" s="10"/>
    </row>
    <row r="43" spans="1:15">
      <c r="A43" s="328"/>
      <c r="B43" s="328"/>
      <c r="C43" s="328"/>
      <c r="D43" s="328"/>
      <c r="E43" s="328"/>
      <c r="K43" s="10"/>
      <c r="L43" s="10"/>
      <c r="M43" s="10"/>
      <c r="N43" s="10"/>
      <c r="O43" s="10"/>
    </row>
    <row r="44" spans="1:15">
      <c r="A44" s="328"/>
      <c r="B44" s="328"/>
      <c r="C44" s="328"/>
      <c r="D44" s="328"/>
      <c r="E44" s="328"/>
    </row>
    <row r="45" spans="1:15" s="10" customFormat="1">
      <c r="A45" s="328"/>
      <c r="B45" s="328"/>
      <c r="C45" s="328"/>
      <c r="D45" s="328"/>
      <c r="E45" s="328"/>
      <c r="G45" s="8"/>
      <c r="H45" s="8"/>
      <c r="I45" s="8"/>
      <c r="J45" s="8"/>
    </row>
  </sheetData>
  <mergeCells count="5">
    <mergeCell ref="A42:E45"/>
    <mergeCell ref="A1:J3"/>
    <mergeCell ref="A4:J7"/>
    <mergeCell ref="A8:J8"/>
    <mergeCell ref="A10:A40"/>
  </mergeCells>
  <phoneticPr fontId="30" type="noConversion"/>
  <pageMargins left="0.51181102362204722" right="0.51181102362204722" top="0.78740157480314965" bottom="0.78740157480314965" header="0.31496062992125984" footer="0.31496062992125984"/>
  <pageSetup paperSize="9" scale="61" orientation="portrait" horizontalDpi="360" verticalDpi="36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CBFF-5C07-4EEE-B182-DC8AD08D2914}">
  <sheetPr codeName="Planilha4">
    <pageSetUpPr fitToPage="1"/>
  </sheetPr>
  <dimension ref="A1:M33"/>
  <sheetViews>
    <sheetView view="pageBreakPreview" zoomScale="90" zoomScaleNormal="100" zoomScaleSheetLayoutView="90" workbookViewId="0">
      <selection activeCell="N9" sqref="N9"/>
    </sheetView>
  </sheetViews>
  <sheetFormatPr defaultRowHeight="13.2"/>
  <cols>
    <col min="1" max="1" width="10.109375" bestFit="1" customWidth="1"/>
    <col min="2" max="2" width="15.109375" bestFit="1" customWidth="1"/>
    <col min="3" max="3" width="13.33203125" customWidth="1"/>
    <col min="4" max="4" width="13" customWidth="1"/>
    <col min="5" max="5" width="12.6640625" customWidth="1"/>
    <col min="6" max="6" width="13" customWidth="1"/>
    <col min="7" max="7" width="15.88671875" customWidth="1"/>
    <col min="8" max="8" width="12.88671875" customWidth="1"/>
    <col min="9" max="9" width="11" bestFit="1" customWidth="1"/>
    <col min="11" max="11" width="12.6640625" customWidth="1"/>
    <col min="12" max="12" width="15.6640625" customWidth="1"/>
  </cols>
  <sheetData>
    <row r="1" spans="1:13">
      <c r="A1" s="337" t="s">
        <v>61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24"/>
    </row>
    <row r="2" spans="1:13">
      <c r="A2" s="337"/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24"/>
    </row>
    <row r="3" spans="1:13" ht="26.4">
      <c r="A3" s="25" t="s">
        <v>62</v>
      </c>
      <c r="B3" s="338"/>
      <c r="C3" s="339"/>
      <c r="D3" s="339"/>
      <c r="E3" s="340"/>
      <c r="F3" s="26" t="s">
        <v>291</v>
      </c>
      <c r="G3" s="338"/>
      <c r="H3" s="340"/>
      <c r="I3" s="25" t="s">
        <v>292</v>
      </c>
      <c r="J3" s="339"/>
      <c r="K3" s="339"/>
      <c r="L3" s="340"/>
      <c r="M3" s="24"/>
    </row>
    <row r="4" spans="1:13" ht="10.5" customHeight="1">
      <c r="A4" s="341"/>
      <c r="B4" s="342"/>
      <c r="C4" s="342"/>
      <c r="D4" s="342"/>
      <c r="E4" s="342"/>
      <c r="F4" s="342"/>
      <c r="G4" s="342"/>
      <c r="H4" s="342"/>
      <c r="I4" s="342"/>
      <c r="J4" s="342"/>
      <c r="K4" s="342"/>
      <c r="L4" s="343"/>
      <c r="M4" s="24"/>
    </row>
    <row r="5" spans="1:13" ht="39.6">
      <c r="A5" s="25" t="s">
        <v>65</v>
      </c>
      <c r="B5" s="25" t="s">
        <v>66</v>
      </c>
      <c r="C5" s="25" t="s">
        <v>67</v>
      </c>
      <c r="D5" s="25" t="s">
        <v>68</v>
      </c>
      <c r="E5" s="25" t="s">
        <v>69</v>
      </c>
      <c r="F5" s="25" t="s">
        <v>70</v>
      </c>
      <c r="G5" s="26" t="s">
        <v>293</v>
      </c>
      <c r="H5" s="25" t="s">
        <v>72</v>
      </c>
      <c r="I5" s="26" t="s">
        <v>294</v>
      </c>
      <c r="J5" s="26" t="s">
        <v>295</v>
      </c>
      <c r="K5" s="26" t="s">
        <v>296</v>
      </c>
      <c r="L5" s="26" t="s">
        <v>297</v>
      </c>
    </row>
    <row r="6" spans="1: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3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8" spans="1:1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</row>
    <row r="9" spans="1:13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</row>
    <row r="10" spans="1:1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1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</row>
    <row r="12" spans="1:1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</row>
    <row r="14" spans="1:1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</row>
    <row r="15" spans="1:1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</row>
    <row r="16" spans="1:1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</row>
    <row r="17" spans="1:12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</row>
    <row r="18" spans="1:12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</row>
    <row r="19" spans="1:12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</row>
    <row r="20" spans="1:12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</row>
    <row r="21" spans="1:12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</row>
    <row r="24" spans="1:12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</row>
    <row r="25" spans="1:12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</row>
    <row r="26" spans="1:1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</row>
    <row r="27" spans="1:1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1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1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</row>
    <row r="30" spans="1:1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</row>
    <row r="31" spans="1:1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</row>
    <row r="32" spans="1:1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</row>
    <row r="33" spans="1:12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</row>
  </sheetData>
  <mergeCells count="5">
    <mergeCell ref="A1:L2"/>
    <mergeCell ref="B3:E3"/>
    <mergeCell ref="A4:L4"/>
    <mergeCell ref="G3:H3"/>
    <mergeCell ref="J3:L3"/>
  </mergeCells>
  <pageMargins left="0.23622047244094491" right="0.23622047244094491" top="0.74803149606299213" bottom="0.74803149606299213" header="0.31496062992125984" footer="0.31496062992125984"/>
  <pageSetup paperSize="9" scale="94" fitToHeight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6</vt:i4>
      </vt:variant>
    </vt:vector>
  </HeadingPairs>
  <TitlesOfParts>
    <vt:vector size="15" baseType="lpstr">
      <vt:lpstr>Catálogo SAP</vt:lpstr>
      <vt:lpstr>RESUMO DR</vt:lpstr>
      <vt:lpstr>Planilha1</vt:lpstr>
      <vt:lpstr>ITENS SAP</vt:lpstr>
      <vt:lpstr>REAL DR</vt:lpstr>
      <vt:lpstr>Dinamica</vt:lpstr>
      <vt:lpstr>Medição VL-041 SAVEIRO</vt:lpstr>
      <vt:lpstr>Medição VL-051 SAVEIRO</vt:lpstr>
      <vt:lpstr>ROMANEIRO DE TRANSPORTE</vt:lpstr>
      <vt:lpstr>'Catálogo SAP'!Area_de_impressao</vt:lpstr>
      <vt:lpstr>'ITENS SAP'!Area_de_impressao</vt:lpstr>
      <vt:lpstr>'Medição VL-041 SAVEIRO'!Area_de_impressao</vt:lpstr>
      <vt:lpstr>'Medição VL-051 SAVEIRO'!Area_de_impressao</vt:lpstr>
      <vt:lpstr>Planilha1!Area_de_impressao</vt:lpstr>
      <vt:lpstr>'Catálogo SAP'!QQP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2014-04-07T22:59:30Z</dcterms:created>
  <dcterms:modified xsi:type="dcterms:W3CDTF">2026-02-25T13:38:45Z</dcterms:modified>
  <cp:category/>
  <cp:contentStatus/>
</cp:coreProperties>
</file>